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universidaddealcala-my.sharepoint.com/personal/anna_carrion_edu_uah_es/Documents/01 MURE i Doctorat/14. PEX y TFM/TFM/Tratamiento datos/script_resultados_review_Anna/"/>
    </mc:Choice>
  </mc:AlternateContent>
  <xr:revisionPtr revIDLastSave="1805" documentId="8_{3D89B6C3-4673-42CC-925F-B865566A65B3}" xr6:coauthVersionLast="47" xr6:coauthVersionMax="47" xr10:uidLastSave="{EC6A806C-CC4B-4F38-9A16-F593766CCD97}"/>
  <bookViews>
    <workbookView xWindow="-110" yWindow="-110" windowWidth="19420" windowHeight="11500" activeTab="4" xr2:uid="{00000000-000D-0000-FFFF-FFFF00000000}"/>
  </bookViews>
  <sheets>
    <sheet name="V_class" sheetId="1" r:id="rId1"/>
    <sheet name="v_grupos" sheetId="2" r:id="rId2"/>
    <sheet name="S_class" sheetId="3" r:id="rId3"/>
    <sheet name="s_grupos" sheetId="4" r:id="rId4"/>
    <sheet name="M_classTotal" sheetId="5" r:id="rId5"/>
    <sheet name="ve_grupos" sheetId="6" r:id="rId6"/>
  </sheets>
  <definedNames>
    <definedName name="_xlnm._FilterDatabase" localSheetId="4" hidden="1">M_classTotal!$A$1:$C$1148</definedName>
    <definedName name="_xlnm._FilterDatabase" localSheetId="2" hidden="1">S_class!$A$1:$K$788</definedName>
    <definedName name="_xlnm._FilterDatabase" localSheetId="3" hidden="1">s_grupos!$A$1:$C$20</definedName>
    <definedName name="_xlnm._FilterDatabase" localSheetId="0" hidden="1">V_class!$A$1:$L$871</definedName>
    <definedName name="_xlnm._FilterDatabase" localSheetId="1" hidden="1">v_grupos!$A$1:$C$32</definedName>
    <definedName name="_xlnm._FilterDatabase" localSheetId="5" hidden="1">ve_grupos!$A$1:$C$28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6" l="1"/>
  <c r="C12" i="4"/>
  <c r="C2" i="4"/>
  <c r="C7" i="4"/>
</calcChain>
</file>

<file path=xl/sharedStrings.xml><?xml version="1.0" encoding="utf-8"?>
<sst xmlns="http://schemas.openxmlformats.org/spreadsheetml/2006/main" count="17563" uniqueCount="3498">
  <si>
    <t>our_id</t>
  </si>
  <si>
    <t>response_variable</t>
  </si>
  <si>
    <t>response_variable_clean</t>
  </si>
  <si>
    <t>response_units</t>
  </si>
  <si>
    <t>variable_type</t>
  </si>
  <si>
    <t>variable_subtype</t>
  </si>
  <si>
    <t>sampling_type</t>
  </si>
  <si>
    <t>measure_date</t>
  </si>
  <si>
    <t>season</t>
  </si>
  <si>
    <t>moderator_type</t>
  </si>
  <si>
    <t>comments</t>
  </si>
  <si>
    <t>country</t>
  </si>
  <si>
    <t>NDVI</t>
  </si>
  <si>
    <t>spectral response</t>
  </si>
  <si>
    <t>-1 to +1</t>
  </si>
  <si>
    <t>vegetation</t>
  </si>
  <si>
    <t>remote sensing</t>
  </si>
  <si>
    <t>2017_09_28</t>
  </si>
  <si>
    <t>gully morphology (width, plan area);topography (ruggeness index, altitude, slope, curvature, flow accumulation);fire severity;time</t>
  </si>
  <si>
    <t>spectral response refered to regeneration</t>
  </si>
  <si>
    <t>Portugal</t>
  </si>
  <si>
    <t>species composition</t>
  </si>
  <si>
    <t>diversity</t>
  </si>
  <si>
    <t>nº species</t>
  </si>
  <si>
    <t>composition</t>
  </si>
  <si>
    <t>transects</t>
  </si>
  <si>
    <t>1994_07</t>
  </si>
  <si>
    <t>NA</t>
  </si>
  <si>
    <t>Spain</t>
  </si>
  <si>
    <t>reproductive strategy</t>
  </si>
  <si>
    <t>vegetation function</t>
  </si>
  <si>
    <t>G, R</t>
  </si>
  <si>
    <t>height class</t>
  </si>
  <si>
    <t>structure</t>
  </si>
  <si>
    <t>%</t>
  </si>
  <si>
    <t>regeneration</t>
  </si>
  <si>
    <t>fire intensity</t>
  </si>
  <si>
    <t>Height class</t>
  </si>
  <si>
    <t>cm</t>
  </si>
  <si>
    <t>recovery of soil cover</t>
  </si>
  <si>
    <t>diversity (Berger-Parker index)</t>
  </si>
  <si>
    <t>0-5</t>
  </si>
  <si>
    <t>plots;transects</t>
  </si>
  <si>
    <t>1990_09</t>
  </si>
  <si>
    <t>soil type;time</t>
  </si>
  <si>
    <t>Greece</t>
  </si>
  <si>
    <t>eveness(Camargo's index)</t>
  </si>
  <si>
    <t>0-1</t>
  </si>
  <si>
    <t>relative abundance</t>
  </si>
  <si>
    <t>abundance</t>
  </si>
  <si>
    <t>nº individuals</t>
  </si>
  <si>
    <t>soil type;time;species rank</t>
  </si>
  <si>
    <t>snag basal diameter</t>
  </si>
  <si>
    <t>plots;subplots</t>
  </si>
  <si>
    <t>2006_02</t>
  </si>
  <si>
    <t>s_management type;elevation;</t>
  </si>
  <si>
    <t>snag fall rate</t>
  </si>
  <si>
    <t>ecological processes</t>
  </si>
  <si>
    <t>s_management type;time</t>
  </si>
  <si>
    <t>snag retention time</t>
  </si>
  <si>
    <t>days</t>
  </si>
  <si>
    <t>silvicultural treatment;elevation;snag basal diameter</t>
  </si>
  <si>
    <t>diversity (Shannon index)</t>
  </si>
  <si>
    <t>plots</t>
  </si>
  <si>
    <t>1999_07</t>
  </si>
  <si>
    <t>site;s_management type</t>
  </si>
  <si>
    <t>total average cover</t>
  </si>
  <si>
    <t>shrub richness</t>
  </si>
  <si>
    <t>macrolichens (IAP index)</t>
  </si>
  <si>
    <t>0-3,5</t>
  </si>
  <si>
    <t>site;s_management type;fire recurrence</t>
  </si>
  <si>
    <t>dead wood cover (TDWC index)</t>
  </si>
  <si>
    <t>ground cover index (GC)</t>
  </si>
  <si>
    <t>also could be soil subtype because groundcover classes are: bare soil, stone, organic matter, moss or lichen, ferns, herbaceous plants and shrubs</t>
  </si>
  <si>
    <t>macrolichens (SEF index)</t>
  </si>
  <si>
    <t>0-10</t>
  </si>
  <si>
    <t>vegetation cover</t>
  </si>
  <si>
    <t>2005_06</t>
  </si>
  <si>
    <t>regeneration mode;time;Raunkiaer's life form</t>
  </si>
  <si>
    <t>Turkey</t>
  </si>
  <si>
    <t>species richness</t>
  </si>
  <si>
    <t>Land cover change</t>
  </si>
  <si>
    <t>1956</t>
  </si>
  <si>
    <t>time; species; DBH</t>
  </si>
  <si>
    <t>Nº of trees</t>
  </si>
  <si>
    <t>species; DBH</t>
  </si>
  <si>
    <t>timber volume</t>
  </si>
  <si>
    <t>time; species</t>
  </si>
  <si>
    <t>1997_07_25</t>
  </si>
  <si>
    <t>time;NBR</t>
  </si>
  <si>
    <t>Algeria</t>
  </si>
  <si>
    <t>richness</t>
  </si>
  <si>
    <t>1991_03</t>
  </si>
  <si>
    <t>year;s_management type</t>
  </si>
  <si>
    <t>Israel</t>
  </si>
  <si>
    <t>pine seedling growth</t>
  </si>
  <si>
    <t>pine seedling mortality</t>
  </si>
  <si>
    <t>pine seedling production</t>
  </si>
  <si>
    <t>species cover</t>
  </si>
  <si>
    <t>seeder species relative abundance</t>
  </si>
  <si>
    <t>nº species / plot</t>
  </si>
  <si>
    <t>plot is 4900 m2</t>
  </si>
  <si>
    <t>1984</t>
  </si>
  <si>
    <t>time</t>
  </si>
  <si>
    <t>1995_02</t>
  </si>
  <si>
    <t>time;s_management type</t>
  </si>
  <si>
    <t>pine seedling height</t>
  </si>
  <si>
    <t>pine seedling density</t>
  </si>
  <si>
    <t>individuals / m2</t>
  </si>
  <si>
    <t>seedling emergence</t>
  </si>
  <si>
    <t>average frequency of height classes</t>
  </si>
  <si>
    <t>survival probability</t>
  </si>
  <si>
    <t>p. (0-1)</t>
  </si>
  <si>
    <t>time;s_management type;height class</t>
  </si>
  <si>
    <t>2001_04</t>
  </si>
  <si>
    <t>site;exposure</t>
  </si>
  <si>
    <t>floristic similarity (Sorensen index)</t>
  </si>
  <si>
    <t>1,4-2,7</t>
  </si>
  <si>
    <t>eveness</t>
  </si>
  <si>
    <t>survival</t>
  </si>
  <si>
    <t>plot</t>
  </si>
  <si>
    <t>2005_10</t>
  </si>
  <si>
    <t>site;r_management type;specie;time</t>
  </si>
  <si>
    <t>EVI index single fires</t>
  </si>
  <si>
    <t>1985_08_8</t>
  </si>
  <si>
    <t>aspect;year;site</t>
  </si>
  <si>
    <t>EVI index repeated fires</t>
  </si>
  <si>
    <t>aspect;nº times burnt;site</t>
  </si>
  <si>
    <t>Basal area increment (BAI)</t>
  </si>
  <si>
    <t>mm2 / y</t>
  </si>
  <si>
    <t>tree ring measurements</t>
  </si>
  <si>
    <t>2021_03</t>
  </si>
  <si>
    <t>postfire time</t>
  </si>
  <si>
    <t>Italy</t>
  </si>
  <si>
    <t>Intra-annual density fluctuations (IASDF)</t>
  </si>
  <si>
    <t>13C</t>
  </si>
  <si>
    <t>0/00</t>
  </si>
  <si>
    <t>biological properties</t>
  </si>
  <si>
    <t>18O</t>
  </si>
  <si>
    <t>Xilogenesis</t>
  </si>
  <si>
    <t>nº cells</t>
  </si>
  <si>
    <t>grid;transects</t>
  </si>
  <si>
    <t>2003_12</t>
  </si>
  <si>
    <t>plant status (resprout or planted);specie</t>
  </si>
  <si>
    <t>height</t>
  </si>
  <si>
    <t>diameter</t>
  </si>
  <si>
    <t>pine regeneration density</t>
  </si>
  <si>
    <t>plots;quadrants</t>
  </si>
  <si>
    <t>2002</t>
  </si>
  <si>
    <t>soil branches;previous land use;topographic position;distance to unburned woodlands;bedrock type</t>
  </si>
  <si>
    <t>pine density</t>
  </si>
  <si>
    <t>pines / ha</t>
  </si>
  <si>
    <t>transects;tree ring measurements</t>
  </si>
  <si>
    <t>2004</t>
  </si>
  <si>
    <t>fire recurrence</t>
  </si>
  <si>
    <t>pine height</t>
  </si>
  <si>
    <t>pine diameter</t>
  </si>
  <si>
    <t>mm</t>
  </si>
  <si>
    <t>pine radial growth</t>
  </si>
  <si>
    <t>pine time of recruitment</t>
  </si>
  <si>
    <t>year</t>
  </si>
  <si>
    <t>reproductive pines</t>
  </si>
  <si>
    <t>2003</t>
  </si>
  <si>
    <t>spring</t>
  </si>
  <si>
    <t>regeneration age;s_management type</t>
  </si>
  <si>
    <t>pine new cones produced</t>
  </si>
  <si>
    <t>cones / pine</t>
  </si>
  <si>
    <t>pine new cones - open cones</t>
  </si>
  <si>
    <t>pine mature cones</t>
  </si>
  <si>
    <t>pine inmature cones</t>
  </si>
  <si>
    <t>oak recruitment</t>
  </si>
  <si>
    <t>individuals / 100 m2</t>
  </si>
  <si>
    <t>2008_03</t>
  </si>
  <si>
    <t>vegetation type;fire recurrence</t>
  </si>
  <si>
    <t>France</t>
  </si>
  <si>
    <t>mortality</t>
  </si>
  <si>
    <t>broadleaves mortality</t>
  </si>
  <si>
    <t>specie</t>
  </si>
  <si>
    <t>2006_06</t>
  </si>
  <si>
    <t>s_management type</t>
  </si>
  <si>
    <t>species presence</t>
  </si>
  <si>
    <t>2001</t>
  </si>
  <si>
    <t>historical land use trajectory</t>
  </si>
  <si>
    <t>species density</t>
  </si>
  <si>
    <t>stems / ha</t>
  </si>
  <si>
    <t>land use category</t>
  </si>
  <si>
    <t>2002_05_19</t>
  </si>
  <si>
    <t>seedling nutrient concentration (N, P, Ca, Mg, K, Na, Fe, Mn, Zn, and Cu)</t>
  </si>
  <si>
    <t>%;ppm</t>
  </si>
  <si>
    <t>2008_09</t>
  </si>
  <si>
    <t>se_management type</t>
  </si>
  <si>
    <t>the specified measures for every nutrient is not in the article text, is in the appendix</t>
  </si>
  <si>
    <t>seedling carbon concentration</t>
  </si>
  <si>
    <t>leeader-shoot elongation</t>
  </si>
  <si>
    <t>could be growth subsubtype</t>
  </si>
  <si>
    <t>shoot biomass</t>
  </si>
  <si>
    <t>g</t>
  </si>
  <si>
    <t>biomass production</t>
  </si>
  <si>
    <t>cone production</t>
  </si>
  <si>
    <t>nº cones / sapling</t>
  </si>
  <si>
    <t>basal trunk diameter</t>
  </si>
  <si>
    <t>pine needles 13C</t>
  </si>
  <si>
    <t>pine needles 15N</t>
  </si>
  <si>
    <t>pine needles 18O</t>
  </si>
  <si>
    <t>maximum tree height</t>
  </si>
  <si>
    <t>m</t>
  </si>
  <si>
    <t>2017</t>
  </si>
  <si>
    <t>mean tree height</t>
  </si>
  <si>
    <t>fraction of cover</t>
  </si>
  <si>
    <t>above-ground biomass per tree</t>
  </si>
  <si>
    <t>t / ha</t>
  </si>
  <si>
    <t>P. brutia forest regeneration</t>
  </si>
  <si>
    <t>nº classes</t>
  </si>
  <si>
    <t>remote sensing;plots</t>
  </si>
  <si>
    <t>2003_08_01</t>
  </si>
  <si>
    <t>P. nigra forest regeneration</t>
  </si>
  <si>
    <t>other vegetation recovery</t>
  </si>
  <si>
    <t>2009_09</t>
  </si>
  <si>
    <t>tree cover</t>
  </si>
  <si>
    <t>topography;position</t>
  </si>
  <si>
    <t>mean height</t>
  </si>
  <si>
    <t>CVH coefficient variation in height</t>
  </si>
  <si>
    <t>recovery indicator (RI)</t>
  </si>
  <si>
    <t>postfire recovery / magnitude of fire</t>
  </si>
  <si>
    <t>year;vegetation cover;tree cover;CVH;mean height</t>
  </si>
  <si>
    <t>species</t>
  </si>
  <si>
    <t>2007_05</t>
  </si>
  <si>
    <t>se_management_type;plot</t>
  </si>
  <si>
    <t>species total cover</t>
  </si>
  <si>
    <t>perennials cover</t>
  </si>
  <si>
    <t>annuals cover</t>
  </si>
  <si>
    <t>phanerophytes cover</t>
  </si>
  <si>
    <t>seeders cover</t>
  </si>
  <si>
    <t>resprouters cover</t>
  </si>
  <si>
    <t>species abundance</t>
  </si>
  <si>
    <t>ground cover types</t>
  </si>
  <si>
    <t>2024_04</t>
  </si>
  <si>
    <t>s_management type;slope</t>
  </si>
  <si>
    <t>also could be soil subtype because groundcover classes are: vegetation, rock, litter, dead wood, and bare soil</t>
  </si>
  <si>
    <t>biovolume</t>
  </si>
  <si>
    <t>dm3</t>
  </si>
  <si>
    <t>plant diversity (Shannon index)</t>
  </si>
  <si>
    <t>2000_07_18</t>
  </si>
  <si>
    <t>TESC90-06 (transitions to early-successional communities)</t>
  </si>
  <si>
    <t>landscape</t>
  </si>
  <si>
    <t>1975</t>
  </si>
  <si>
    <t>fire patterns;spatial factors;montado prefire patterns;mean contiguity index;mean patch ratius of gyration;normalized landscape shape index;splitting density;transitions to natural vegetation (1960-90);burned area distribution index;burned area aggregation index;effective mesh size;autocovariate term;Y coordinates centred</t>
  </si>
  <si>
    <t>grid;plots</t>
  </si>
  <si>
    <t>2015_05</t>
  </si>
  <si>
    <t>year;severity</t>
  </si>
  <si>
    <t>diversity (Simpson index</t>
  </si>
  <si>
    <t>species similarity (Jaccard index)</t>
  </si>
  <si>
    <t>vegetation type</t>
  </si>
  <si>
    <t>representative species (6 types)</t>
  </si>
  <si>
    <t>nº recruits / ha</t>
  </si>
  <si>
    <t>Point-centered quarter method</t>
  </si>
  <si>
    <t>2019_08</t>
  </si>
  <si>
    <t>pine climatic niches;fire severity</t>
  </si>
  <si>
    <t>2001_06</t>
  </si>
  <si>
    <t>average bare soil cover</t>
  </si>
  <si>
    <t>diversity (Shannon-Weaver index)</t>
  </si>
  <si>
    <t>p. (2,9-3,81)</t>
  </si>
  <si>
    <t>life-form cover</t>
  </si>
  <si>
    <t>P. halep. seedling density</t>
  </si>
  <si>
    <t>seedlings / ha</t>
  </si>
  <si>
    <t>1996_01</t>
  </si>
  <si>
    <t>winter</t>
  </si>
  <si>
    <t>fire severity;elevation;aspect;slope;position in slope;total density;pine density;oak density;total basal area;understorey height</t>
  </si>
  <si>
    <t>P. halep. seedling height</t>
  </si>
  <si>
    <t>elevation;aspect;slope;position in slope;total density;pine density;oak density;pine/oak density ratio;total basal area</t>
  </si>
  <si>
    <t>fleshy fruited species richness</t>
  </si>
  <si>
    <t>2009</t>
  </si>
  <si>
    <t>pilepresence;pileheight;site;slope</t>
  </si>
  <si>
    <t>fleshy fruited species cover</t>
  </si>
  <si>
    <t>bryophyte species cover</t>
  </si>
  <si>
    <t>1989_12</t>
  </si>
  <si>
    <t>months after fire;site</t>
  </si>
  <si>
    <t>bryophyte total cover</t>
  </si>
  <si>
    <t>bryophyte floristic richness</t>
  </si>
  <si>
    <t>species fugacity (Trabaud-Lepart index)</t>
  </si>
  <si>
    <t>points;remote sensing</t>
  </si>
  <si>
    <t>bare soil cover</t>
  </si>
  <si>
    <t>1994_03</t>
  </si>
  <si>
    <t>altitude;bedrock and soil formation;aspect;slope;years since last fire</t>
  </si>
  <si>
    <t>species similarity (Montfort index)</t>
  </si>
  <si>
    <t>p. (0,0140 - 0,023)</t>
  </si>
  <si>
    <t>species vegetation cover</t>
  </si>
  <si>
    <t>average age</t>
  </si>
  <si>
    <t>years</t>
  </si>
  <si>
    <t>height;trunk circumference;canopy radius;</t>
  </si>
  <si>
    <t>average height</t>
  </si>
  <si>
    <t>age;trunk circumference;canopy radius</t>
  </si>
  <si>
    <t>average trunk circumference (DBH)</t>
  </si>
  <si>
    <t>age;height;canopy radius</t>
  </si>
  <si>
    <t>average canopy radius</t>
  </si>
  <si>
    <t>age;height;trunk circumference</t>
  </si>
  <si>
    <t>average canopy projection</t>
  </si>
  <si>
    <t>mean nº alleles locus</t>
  </si>
  <si>
    <t>nº alleles / locus</t>
  </si>
  <si>
    <t>mean nº alleles polymorphic locus</t>
  </si>
  <si>
    <t>nº alleles / polymorphic locus</t>
  </si>
  <si>
    <t>heterozigosity</t>
  </si>
  <si>
    <t>unique alleles</t>
  </si>
  <si>
    <t>nº unique alleles</t>
  </si>
  <si>
    <t>average private alleles</t>
  </si>
  <si>
    <t>life form vegetation cover</t>
  </si>
  <si>
    <t>stand age</t>
  </si>
  <si>
    <t>dominant specie cover</t>
  </si>
  <si>
    <t>1997</t>
  </si>
  <si>
    <t>number of new individuals</t>
  </si>
  <si>
    <t>resprouting Quercus</t>
  </si>
  <si>
    <t>plots;squares;point intercept method</t>
  </si>
  <si>
    <t>er_management type</t>
  </si>
  <si>
    <t>pinus pollen</t>
  </si>
  <si>
    <t>core sampling</t>
  </si>
  <si>
    <t>2007_10</t>
  </si>
  <si>
    <t>fire episodes;age</t>
  </si>
  <si>
    <t>total plant cover</t>
  </si>
  <si>
    <t>1999</t>
  </si>
  <si>
    <t>age;site;s_management type</t>
  </si>
  <si>
    <t>understorey plant cover</t>
  </si>
  <si>
    <t>pine cover</t>
  </si>
  <si>
    <t>p. (0-3,5)</t>
  </si>
  <si>
    <t>life form composition</t>
  </si>
  <si>
    <t>similarity (Jaccard index)</t>
  </si>
  <si>
    <t>pine pollen abundance</t>
  </si>
  <si>
    <t>fire</t>
  </si>
  <si>
    <t>recovery rate</t>
  </si>
  <si>
    <t>0 - 0,20 / month</t>
  </si>
  <si>
    <t>2023_06_30</t>
  </si>
  <si>
    <t>prefire vegetation state;postfire climate variability;time;fire severity</t>
  </si>
  <si>
    <t>Mediterranean basis</t>
  </si>
  <si>
    <t>seedling survival</t>
  </si>
  <si>
    <t>2006_03</t>
  </si>
  <si>
    <t>r_management type</t>
  </si>
  <si>
    <t>seedling height</t>
  </si>
  <si>
    <t>land-cover change</t>
  </si>
  <si>
    <t>% compared to previous stage</t>
  </si>
  <si>
    <t>2010_12_09</t>
  </si>
  <si>
    <t>time since fire;forest type</t>
  </si>
  <si>
    <t>Relative vegetation cover</t>
  </si>
  <si>
    <t>n of previous fires;time elapsed since the last fire</t>
  </si>
  <si>
    <t>Plant species richness</t>
  </si>
  <si>
    <t>n species/transect</t>
  </si>
  <si>
    <t>present/abstent (1-0)</t>
  </si>
  <si>
    <t>trees viability</t>
  </si>
  <si>
    <t>% alives</t>
  </si>
  <si>
    <t>1985</t>
  </si>
  <si>
    <t>autumn</t>
  </si>
  <si>
    <t>forest management (traditional trunk coppicing, branch pruning, and no sylvicultural practice);n of thinnings;trees age;thinning intensity</t>
  </si>
  <si>
    <t>growth (height and diameter)</t>
  </si>
  <si>
    <t>m and cm</t>
  </si>
  <si>
    <t>cover</t>
  </si>
  <si>
    <t>m2</t>
  </si>
  <si>
    <t>litterfall</t>
  </si>
  <si>
    <t>g⋅m−2⋅yr−1</t>
  </si>
  <si>
    <t>1990_07_31</t>
  </si>
  <si>
    <t>time since fire</t>
  </si>
  <si>
    <t>litter decay rate</t>
  </si>
  <si>
    <t>coefficient</t>
  </si>
  <si>
    <t>1989</t>
  </si>
  <si>
    <t>time since fire;vegetation strata</t>
  </si>
  <si>
    <t>transect</t>
  </si>
  <si>
    <t>Pollen percentages</t>
  </si>
  <si>
    <t>palaeoecology</t>
  </si>
  <si>
    <t>2016</t>
  </si>
  <si>
    <t>climate;human impacts</t>
  </si>
  <si>
    <t>Pollen concentration</t>
  </si>
  <si>
    <t>grains/cm³</t>
  </si>
  <si>
    <t>Pollen influx</t>
  </si>
  <si>
    <t>grains/cm²/year</t>
  </si>
  <si>
    <t>basal area increment</t>
  </si>
  <si>
    <t>cm2/year</t>
  </si>
  <si>
    <t>2012</t>
  </si>
  <si>
    <t>fire severity;water abailability;tree dbh;tree age;climate</t>
  </si>
  <si>
    <t>Carbon isotope composition, δ13C</t>
  </si>
  <si>
    <t>‰</t>
  </si>
  <si>
    <t>functional traits</t>
  </si>
  <si>
    <t>1995</t>
  </si>
  <si>
    <t>fire severity;water abailability</t>
  </si>
  <si>
    <t>nitrogen isotope composition, δ15N</t>
  </si>
  <si>
    <t>sapling size</t>
  </si>
  <si>
    <t>plot;transect</t>
  </si>
  <si>
    <t>1905_06_16</t>
  </si>
  <si>
    <t>distance from burned trunk;years since fire;site</t>
  </si>
  <si>
    <t>pine sapling density</t>
  </si>
  <si>
    <t>summer</t>
  </si>
  <si>
    <t>fire recurrence;soil type;land use;elevation;aspect;slope;climate;topography</t>
  </si>
  <si>
    <t>floristic composition</t>
  </si>
  <si>
    <t>herbaceous species frequency</t>
  </si>
  <si>
    <t>2005</t>
  </si>
  <si>
    <t>deer presence;time since fire</t>
  </si>
  <si>
    <t>live herbaceous cover</t>
  </si>
  <si>
    <t>herbaceous height</t>
  </si>
  <si>
    <t>woody species cover</t>
  </si>
  <si>
    <t>woody species height</t>
  </si>
  <si>
    <t>Shannon-Wiener index</t>
  </si>
  <si>
    <t>inverse of Simpson</t>
  </si>
  <si>
    <t>phytovolume</t>
  </si>
  <si>
    <t>ground cover (Gramineae, forbs, bare soil, shrubs, coarse woody debris, rocks)</t>
  </si>
  <si>
    <t>2018</t>
  </si>
  <si>
    <t>fire severity</t>
  </si>
  <si>
    <t>seedling density</t>
  </si>
  <si>
    <t>fire severity;slope;distance to seed trees;elevation;HLI;roughness;Gramineae;forbs;bare soil;shrubs;coarse woody debris;rock</t>
  </si>
  <si>
    <t>Brillouin index</t>
  </si>
  <si>
    <t>density</t>
  </si>
  <si>
    <t>dominant tree species;time since last wildfire;post-fire management</t>
  </si>
  <si>
    <t>diameter at breast height (DBH)</t>
  </si>
  <si>
    <t>total height</t>
  </si>
  <si>
    <t>crown height</t>
  </si>
  <si>
    <t>crown projection</t>
  </si>
  <si>
    <t>basal area</t>
  </si>
  <si>
    <t>basal diameter</t>
  </si>
  <si>
    <t>tussock basal diameter</t>
  </si>
  <si>
    <t>plant species richness</t>
  </si>
  <si>
    <t>foliage cover (0–25 cm height layer)</t>
  </si>
  <si>
    <t>2006_05_10</t>
  </si>
  <si>
    <t>time since fire;water deficit;salvage logging;plant debris;unburnt remnant patches;pre-fire habitat;burnt area</t>
  </si>
  <si>
    <t>foliage cover (25–100 cm height layer)</t>
  </si>
  <si>
    <t>foliage cover (&gt;100 cm height layer)</t>
  </si>
  <si>
    <t>total plant abundance</t>
  </si>
  <si>
    <t>transect;quadrat</t>
  </si>
  <si>
    <t>2002_06</t>
  </si>
  <si>
    <t>vegetation type;site;summer water deficit</t>
  </si>
  <si>
    <t>Shannon diversity index</t>
  </si>
  <si>
    <t>index of numerical dominance</t>
  </si>
  <si>
    <t>relative presence of resprouters</t>
  </si>
  <si>
    <t>relative presence of obligate seeders</t>
  </si>
  <si>
    <t>relative presence of facultative species</t>
  </si>
  <si>
    <t>relative presence of species without persistence mechanism</t>
  </si>
  <si>
    <t>relative richness of resprouters</t>
  </si>
  <si>
    <t>relative richness of obligate seeders</t>
  </si>
  <si>
    <t>relative richness of facultative species</t>
  </si>
  <si>
    <t>relative richness of species without persistence mechanism</t>
  </si>
  <si>
    <t>abundance of the main tree species</t>
  </si>
  <si>
    <t>postfire resilience (qNDVI)</t>
  </si>
  <si>
    <t>geological substrate;vegetation type;climate;altitude;fire magnitude</t>
  </si>
  <si>
    <t>spectral response refered ro regeneration</t>
  </si>
  <si>
    <t>floristic richness</t>
  </si>
  <si>
    <t>1990_03</t>
  </si>
  <si>
    <t>species occurrence</t>
  </si>
  <si>
    <t>time since fire;site</t>
  </si>
  <si>
    <t>time since fire;season</t>
  </si>
  <si>
    <t>pine sapling mortality</t>
  </si>
  <si>
    <t>pine sapling survival</t>
  </si>
  <si>
    <t>time since fire;sapling height</t>
  </si>
  <si>
    <t>pine sapling height</t>
  </si>
  <si>
    <t>height increment</t>
  </si>
  <si>
    <t>height frequency distribution</t>
  </si>
  <si>
    <t>time since fire;sapling state</t>
  </si>
  <si>
    <t>probability of stem death</t>
  </si>
  <si>
    <t>1996_03</t>
  </si>
  <si>
    <t>DBH;bark thickness;plot</t>
  </si>
  <si>
    <t>proportion height recovery</t>
  </si>
  <si>
    <t>number of understorey species</t>
  </si>
  <si>
    <t>understorey species cover</t>
  </si>
  <si>
    <t>specific richness</t>
  </si>
  <si>
    <t>2006</t>
  </si>
  <si>
    <t>specific diversity</t>
  </si>
  <si>
    <t>p. (2;8 - 3;5)</t>
  </si>
  <si>
    <t>equitatibility</t>
  </si>
  <si>
    <t>p. (0;93-0;96)</t>
  </si>
  <si>
    <t>similarity (Sorensen index)</t>
  </si>
  <si>
    <t>functional diversity (Shannon index)</t>
  </si>
  <si>
    <t>vital Grime strategies</t>
  </si>
  <si>
    <t>% Grime categories SC;CS</t>
  </si>
  <si>
    <t>plant composition</t>
  </si>
  <si>
    <t>TSLF;nº fires;orientation;altitude;slope;cryptogams cover;airy litter</t>
  </si>
  <si>
    <t>stool density</t>
  </si>
  <si>
    <t>nº stools / ha</t>
  </si>
  <si>
    <t>2022</t>
  </si>
  <si>
    <t>winter-spring</t>
  </si>
  <si>
    <t>species;plot</t>
  </si>
  <si>
    <t>stool = cepa o tocón</t>
  </si>
  <si>
    <t>number of living basal sprouts per stool</t>
  </si>
  <si>
    <t>nº living basal sprout / stool</t>
  </si>
  <si>
    <t>living basal sprouts density</t>
  </si>
  <si>
    <t>nº living basal sprout / ha</t>
  </si>
  <si>
    <t>living root suckers density</t>
  </si>
  <si>
    <t>nº living root suckers / ha</t>
  </si>
  <si>
    <t>living stem basal area</t>
  </si>
  <si>
    <t>m2 / ha</t>
  </si>
  <si>
    <t>dead stem density</t>
  </si>
  <si>
    <t>nº dead stems / ha</t>
  </si>
  <si>
    <t>dead stem basal area</t>
  </si>
  <si>
    <t>quadratic mean diameter of dominant living stem</t>
  </si>
  <si>
    <t>average height of dominant living stem</t>
  </si>
  <si>
    <t>fire-scorched stems</t>
  </si>
  <si>
    <t>nearest neighbor distance distribution</t>
  </si>
  <si>
    <t>freq. (0-1)</t>
  </si>
  <si>
    <t>species;inter-stem distance; plot</t>
  </si>
  <si>
    <t>stem size differentiation function</t>
  </si>
  <si>
    <t>function (t (r ) ) (0,85-1,10)</t>
  </si>
  <si>
    <t>stem sprouts growing</t>
  </si>
  <si>
    <t>species;forest layer; time</t>
  </si>
  <si>
    <t>variable subtype refered to phenology</t>
  </si>
  <si>
    <t>start of growing season</t>
  </si>
  <si>
    <t>DOY</t>
  </si>
  <si>
    <t>2005_04_01</t>
  </si>
  <si>
    <t>plot; species</t>
  </si>
  <si>
    <t>spring increasing rate</t>
  </si>
  <si>
    <t>rate (0-20)</t>
  </si>
  <si>
    <t>plot;species</t>
  </si>
  <si>
    <t>management_type</t>
  </si>
  <si>
    <t>management_type; VARI index</t>
  </si>
  <si>
    <t>VARI index</t>
  </si>
  <si>
    <t>adimensional (1-5 range)</t>
  </si>
  <si>
    <t>management;type; terrain roughness; land slope</t>
  </si>
  <si>
    <t>plot; transects</t>
  </si>
  <si>
    <t>2018_05</t>
  </si>
  <si>
    <t>spatial river gradient; time; fire severity</t>
  </si>
  <si>
    <t>species abundance cover</t>
  </si>
  <si>
    <t>spatial river gradient; time</t>
  </si>
  <si>
    <t>species importance value (IV)</t>
  </si>
  <si>
    <t>adimensional (0-70)</t>
  </si>
  <si>
    <t>pine seedlings</t>
  </si>
  <si>
    <t>nº seeds / sampling plot</t>
  </si>
  <si>
    <t>pine stand ages; fire severity</t>
  </si>
  <si>
    <t>pine seeds height</t>
  </si>
  <si>
    <t>2017_07</t>
  </si>
  <si>
    <t>management_type;date</t>
  </si>
  <si>
    <t>pine seeds diameter</t>
  </si>
  <si>
    <t>length of aerial part</t>
  </si>
  <si>
    <t>pine seeds</t>
  </si>
  <si>
    <t>nº seedlings</t>
  </si>
  <si>
    <t>2017_05</t>
  </si>
  <si>
    <t>roots length</t>
  </si>
  <si>
    <t>aereal part dry weight</t>
  </si>
  <si>
    <t>roots dry weight</t>
  </si>
  <si>
    <t>needles dry weight</t>
  </si>
  <si>
    <t>seed emergence</t>
  </si>
  <si>
    <t>2011_04</t>
  </si>
  <si>
    <t>seed origin; seed protection</t>
  </si>
  <si>
    <t>2012_02</t>
  </si>
  <si>
    <t>seed origin</t>
  </si>
  <si>
    <t>seedling diameter</t>
  </si>
  <si>
    <t>reflectance</t>
  </si>
  <si>
    <t>p. (0-0,4)</t>
  </si>
  <si>
    <t>1999_06_26</t>
  </si>
  <si>
    <t>band ratio</t>
  </si>
  <si>
    <t>p. (0-0,9)</t>
  </si>
  <si>
    <t>proportion of disturbed pixels</t>
  </si>
  <si>
    <t>p. (0-50)</t>
  </si>
  <si>
    <t>NBR regrowth; NBR disturbance; recovery index; years to recovery</t>
  </si>
  <si>
    <t>predawn shoot water potential</t>
  </si>
  <si>
    <t>Mpa</t>
  </si>
  <si>
    <t>2019_11_29</t>
  </si>
  <si>
    <t>fire severity; time; season</t>
  </si>
  <si>
    <t>net carbon assimilation</t>
  </si>
  <si>
    <t>A (μmol CO2​ / m2 · s</t>
  </si>
  <si>
    <t>water use efficiency</t>
  </si>
  <si>
    <t>μmol CO2​ / mol H2​O)</t>
  </si>
  <si>
    <t>shoot growth</t>
  </si>
  <si>
    <t>mm / day</t>
  </si>
  <si>
    <t>specific leaf area</t>
  </si>
  <si>
    <t>cm2 / g</t>
  </si>
  <si>
    <t>2021_10_23</t>
  </si>
  <si>
    <t>fire severity; year; vegetation type;</t>
  </si>
  <si>
    <t>types of vegetation are 1 - structural, 2 - others</t>
  </si>
  <si>
    <t>fire severity; year</t>
  </si>
  <si>
    <t>layer cover</t>
  </si>
  <si>
    <t>layers: herbaceus, shrub and trees</t>
  </si>
  <si>
    <t>layer heights</t>
  </si>
  <si>
    <t>cover of living vegetation</t>
  </si>
  <si>
    <t>2023</t>
  </si>
  <si>
    <t>structural plant species; fire severity; woodland type</t>
  </si>
  <si>
    <t>resprouts cover</t>
  </si>
  <si>
    <t>living vegetation mean height</t>
  </si>
  <si>
    <t>resprouts mean height</t>
  </si>
  <si>
    <t>living plants</t>
  </si>
  <si>
    <t>burnt live plants</t>
  </si>
  <si>
    <t>dead carbonized plants</t>
  </si>
  <si>
    <t>dead plants</t>
  </si>
  <si>
    <t>NBR</t>
  </si>
  <si>
    <t>range (0-3)</t>
  </si>
  <si>
    <t>2012_09_06</t>
  </si>
  <si>
    <t>2014_08_27</t>
  </si>
  <si>
    <t>postrecovery time; fire recurrence; fire return interval; burn severity</t>
  </si>
  <si>
    <t>0 - 0,6</t>
  </si>
  <si>
    <t>2000</t>
  </si>
  <si>
    <t>RVI</t>
  </si>
  <si>
    <t>2 to 10</t>
  </si>
  <si>
    <t>NDWI</t>
  </si>
  <si>
    <t>-  0,2   -   0,4</t>
  </si>
  <si>
    <t>SIWSI</t>
  </si>
  <si>
    <t>-  0,2   -   1</t>
  </si>
  <si>
    <t>time; vegetation type</t>
  </si>
  <si>
    <t>Tree density</t>
  </si>
  <si>
    <t>tree / ha</t>
  </si>
  <si>
    <t>2010</t>
  </si>
  <si>
    <t>years since fire</t>
  </si>
  <si>
    <t>Basal area</t>
  </si>
  <si>
    <t>Crown coverage</t>
  </si>
  <si>
    <t>- 0,4 to 0,1</t>
  </si>
  <si>
    <t>others</t>
  </si>
  <si>
    <t>2007_07_19</t>
  </si>
  <si>
    <t>variable subtype refered to energy flux patterns</t>
  </si>
  <si>
    <t>Fractional vegetation cover (Pv)</t>
  </si>
  <si>
    <t>regenerated seedling</t>
  </si>
  <si>
    <t>nº seedlings / m2</t>
  </si>
  <si>
    <t>transects; quadrats</t>
  </si>
  <si>
    <t>forest type</t>
  </si>
  <si>
    <t>regenerated seedling species</t>
  </si>
  <si>
    <t>regenerated seedling height</t>
  </si>
  <si>
    <t>forest type; regeneration density</t>
  </si>
  <si>
    <t>regenerated seedling collar diameter</t>
  </si>
  <si>
    <t>surviving trees DBH</t>
  </si>
  <si>
    <t>surviving trees height</t>
  </si>
  <si>
    <t>living stem density</t>
  </si>
  <si>
    <t>snag density</t>
  </si>
  <si>
    <t>snag basal area</t>
  </si>
  <si>
    <t>regeneration density</t>
  </si>
  <si>
    <t>nº individuals /ha</t>
  </si>
  <si>
    <t>regeneration richness</t>
  </si>
  <si>
    <t>nº regenerated species</t>
  </si>
  <si>
    <t>top killed stools</t>
  </si>
  <si>
    <t>nº stools / specie</t>
  </si>
  <si>
    <t>brillouin diversity (HB)</t>
  </si>
  <si>
    <t>range (1 - 1,7)</t>
  </si>
  <si>
    <t>Brillouin eveness ( E )</t>
  </si>
  <si>
    <t>Tree height diversity (THD) of living stems</t>
  </si>
  <si>
    <t>range (0 - 2)</t>
  </si>
  <si>
    <t>variable subtype specifies as structural diversity</t>
  </si>
  <si>
    <t>THD snags</t>
  </si>
  <si>
    <t>tree diameter diversity (TDD) of living stems</t>
  </si>
  <si>
    <t>TDD snags</t>
  </si>
  <si>
    <t>(VE) vertical eveness</t>
  </si>
  <si>
    <t>2009_04</t>
  </si>
  <si>
    <t>fire severity; prefire stand age; aspect; year after fire</t>
  </si>
  <si>
    <t>life form richness</t>
  </si>
  <si>
    <t>years after fire; fire severity; prefire stand age; aspect</t>
  </si>
  <si>
    <t>seeders and resprouters richness</t>
  </si>
  <si>
    <t>postfire regeneration strategy</t>
  </si>
  <si>
    <t>p. (0-5)</t>
  </si>
  <si>
    <t>pine seedling emergence</t>
  </si>
  <si>
    <t>2001_11</t>
  </si>
  <si>
    <t>2000_09</t>
  </si>
  <si>
    <t>time after fire</t>
  </si>
  <si>
    <t>taxon foliage cover</t>
  </si>
  <si>
    <t>growth reductions</t>
  </si>
  <si>
    <t>nº of growth reduction events</t>
  </si>
  <si>
    <t>fire events</t>
  </si>
  <si>
    <t>A growth reduction was classified as “abrupt” if the tree-ring width was at least 40% reduced compared to the previous year.</t>
  </si>
  <si>
    <t>seedling / ha</t>
  </si>
  <si>
    <t>2023_05</t>
  </si>
  <si>
    <t>root-collar diameter</t>
  </si>
  <si>
    <t>vigor index (height / root-collar diameter)</t>
  </si>
  <si>
    <t>ratio</t>
  </si>
  <si>
    <t>crown width</t>
  </si>
  <si>
    <t>needle biomass</t>
  </si>
  <si>
    <t>stem biomass</t>
  </si>
  <si>
    <t>roots biomass</t>
  </si>
  <si>
    <t>aboveground biomass</t>
  </si>
  <si>
    <t>Resprouting</t>
  </si>
  <si>
    <t>plot; transect</t>
  </si>
  <si>
    <t>2015_02</t>
  </si>
  <si>
    <t>fire severity; tree status; tree diameter; soil humidity; soil color; understory height; aspects</t>
  </si>
  <si>
    <t>crown recovery</t>
  </si>
  <si>
    <t>fire severity; tree diameter; bark thickness; tree status; understory height; shrub cover classes; aspects; soil humidity; soil color</t>
  </si>
  <si>
    <t>burned trees</t>
  </si>
  <si>
    <t>nº</t>
  </si>
  <si>
    <t>recovered trees</t>
  </si>
  <si>
    <t>n</t>
  </si>
  <si>
    <t>cistus cover</t>
  </si>
  <si>
    <t>cistus density</t>
  </si>
  <si>
    <t>cistus new seedlings</t>
  </si>
  <si>
    <t>mean individuals / m2</t>
  </si>
  <si>
    <t>2001_03</t>
  </si>
  <si>
    <t>time after fire; pine cover</t>
  </si>
  <si>
    <t>woody plant composition</t>
  </si>
  <si>
    <t>1989_10</t>
  </si>
  <si>
    <t>site</t>
  </si>
  <si>
    <t>woody plant cover</t>
  </si>
  <si>
    <t>mean pine height</t>
  </si>
  <si>
    <t>mean pine cover</t>
  </si>
  <si>
    <t>pine saplings density</t>
  </si>
  <si>
    <t>saplings / m2</t>
  </si>
  <si>
    <t>pine survival</t>
  </si>
  <si>
    <t>tree density</t>
  </si>
  <si>
    <t>nº trees / ha</t>
  </si>
  <si>
    <t>management_type; postfire pine age; site</t>
  </si>
  <si>
    <t>stem diameter</t>
  </si>
  <si>
    <t>dominant height</t>
  </si>
  <si>
    <t>total carbon storage</t>
  </si>
  <si>
    <t>Mg C / ha</t>
  </si>
  <si>
    <t>ecosystem services</t>
  </si>
  <si>
    <t>ecosystem service of regulation</t>
  </si>
  <si>
    <t>aboveground pine biomass</t>
  </si>
  <si>
    <t>Mg / ha</t>
  </si>
  <si>
    <t>aboveground understory biomass</t>
  </si>
  <si>
    <t>ratio aboveground understory biomas / aboveground pine biomass</t>
  </si>
  <si>
    <t>total aboveground biomass</t>
  </si>
  <si>
    <t>pine root:shoot ratio</t>
  </si>
  <si>
    <t>site; management_type</t>
  </si>
  <si>
    <t>belowground biomass</t>
  </si>
  <si>
    <t>understory root:shoot ratio</t>
  </si>
  <si>
    <t>2004_11</t>
  </si>
  <si>
    <t>time since last fire;size of fire;rehabilitation treatment;geographical location;stem density</t>
  </si>
  <si>
    <t>diversity (shannon index)</t>
  </si>
  <si>
    <t>range (0-4)</t>
  </si>
  <si>
    <t>equitability (shannon index)</t>
  </si>
  <si>
    <t>time since last fire;size of fire;rehabilitation treatment;geographical location;variation in stem density</t>
  </si>
  <si>
    <t>beta diversity</t>
  </si>
  <si>
    <t>range (0-10)</t>
  </si>
  <si>
    <t>time since last fire</t>
  </si>
  <si>
    <t>species density (trees and shrubs)</t>
  </si>
  <si>
    <t>% individuals / ha</t>
  </si>
  <si>
    <t>species abundance (climbers, herbs and forbs)</t>
  </si>
  <si>
    <t>pine stems</t>
  </si>
  <si>
    <t>stems (x1000) / ha</t>
  </si>
  <si>
    <t>pinus halepensis Basal area</t>
  </si>
  <si>
    <t>time since last fire;specie</t>
  </si>
  <si>
    <t>basal area is measured for species: pinus halepensis and quercus ilex</t>
  </si>
  <si>
    <t>Number of seeds contained in a cone</t>
  </si>
  <si>
    <t>nº seeds / cone</t>
  </si>
  <si>
    <t>site; management_type; cone type; cone age</t>
  </si>
  <si>
    <t>Percentage of sound seeds</t>
  </si>
  <si>
    <t>Viability percentage</t>
  </si>
  <si>
    <t>Germination percentage</t>
  </si>
  <si>
    <t>Height (H)</t>
  </si>
  <si>
    <t>age; site</t>
  </si>
  <si>
    <t>Trunk diameter (D)</t>
  </si>
  <si>
    <t>Crown diameter (Dcrown)</t>
  </si>
  <si>
    <t>nº cones / tree</t>
  </si>
  <si>
    <t>canopy seed bank</t>
  </si>
  <si>
    <t>seeds / ha</t>
  </si>
  <si>
    <t>diameter; site</t>
  </si>
  <si>
    <t>soil seed bank</t>
  </si>
  <si>
    <t>site; distance to closest reproductive tree</t>
  </si>
  <si>
    <t>reproductive and monoecious trees</t>
  </si>
  <si>
    <t>number of different cone types</t>
  </si>
  <si>
    <t>flower species richness</t>
  </si>
  <si>
    <t>species / site</t>
  </si>
  <si>
    <t>habitat type</t>
  </si>
  <si>
    <t>flower abundance</t>
  </si>
  <si>
    <t>cm2 / site</t>
  </si>
  <si>
    <t>nectar volume</t>
  </si>
  <si>
    <t>ml / ha /day</t>
  </si>
  <si>
    <t>interactions</t>
  </si>
  <si>
    <t>el predictor habitat type hace referencia a diferentes tipos de habitats segun el tiempo que ha pasado desde el incendio.</t>
  </si>
  <si>
    <t>nectar concentration</t>
  </si>
  <si>
    <t>% sucrose</t>
  </si>
  <si>
    <t>transect; quadrats</t>
  </si>
  <si>
    <t>nectar energy content</t>
  </si>
  <si>
    <t>kJ / ha / day</t>
  </si>
  <si>
    <t>nectar water content</t>
  </si>
  <si>
    <t>g / ha / day</t>
  </si>
  <si>
    <t>nectar resource diversity (index)</t>
  </si>
  <si>
    <t>categories (%)</t>
  </si>
  <si>
    <t>pollen grain deposition (Asphodellus, Cistus and Lavandula)</t>
  </si>
  <si>
    <t>nº / stigma</t>
  </si>
  <si>
    <t>style sampling</t>
  </si>
  <si>
    <t>vegetation cover (postfire habitat structure)</t>
  </si>
  <si>
    <t>fire regimes</t>
  </si>
  <si>
    <t>2009_12</t>
  </si>
  <si>
    <t>height measured for pine and oak</t>
  </si>
  <si>
    <t>cover measured for pine and oak</t>
  </si>
  <si>
    <t>pine serotinity</t>
  </si>
  <si>
    <t>aridity gradient;trunk diameter;reproductive trees</t>
  </si>
  <si>
    <t>pine tree density</t>
  </si>
  <si>
    <t>nº trees / area</t>
  </si>
  <si>
    <t>aridity gradient</t>
  </si>
  <si>
    <t>reproductive trees</t>
  </si>
  <si>
    <t>aridity gradient;tree density;trunk diameter;cone production</t>
  </si>
  <si>
    <t>Avobeground biomass P content</t>
  </si>
  <si>
    <t>kg / ha</t>
  </si>
  <si>
    <t>chemical properties</t>
  </si>
  <si>
    <t>plots;partial individual sampling</t>
  </si>
  <si>
    <t>1992_07</t>
  </si>
  <si>
    <t>management_type;species</t>
  </si>
  <si>
    <t>the treatment effects are compared sepparately (amendments vs silvicultural). Biomass measured for species: pine and Holm oak</t>
  </si>
  <si>
    <t>Avobeground biomass N content</t>
  </si>
  <si>
    <t>Avobeground biomass S content</t>
  </si>
  <si>
    <t>Avobeground biomass Mg content</t>
  </si>
  <si>
    <t>Avobeground biomass Fe content</t>
  </si>
  <si>
    <t>Avobeground biomass Ca content</t>
  </si>
  <si>
    <t>Avobeground biomass K content</t>
  </si>
  <si>
    <t>pine biomass increment</t>
  </si>
  <si>
    <t>1992_09</t>
  </si>
  <si>
    <t>the ecological process could refer to productivity</t>
  </si>
  <si>
    <t>pine P mineralomass increment</t>
  </si>
  <si>
    <t>mg</t>
  </si>
  <si>
    <t>1992_10</t>
  </si>
  <si>
    <t>pine K mineralomass increment</t>
  </si>
  <si>
    <t>1992_11</t>
  </si>
  <si>
    <t>dominant plants height</t>
  </si>
  <si>
    <t>1977_05_02</t>
  </si>
  <si>
    <t>vegetation recovery time</t>
  </si>
  <si>
    <t>p. (-1 to +1)</t>
  </si>
  <si>
    <t>2004_01_17</t>
  </si>
  <si>
    <t>landscape composition change</t>
  </si>
  <si>
    <t>% of total area</t>
  </si>
  <si>
    <t>soil type;slope</t>
  </si>
  <si>
    <t>regeneration type</t>
  </si>
  <si>
    <t>% (5 categories)</t>
  </si>
  <si>
    <t>2013</t>
  </si>
  <si>
    <t>elevation;aspect;slope;curvature;tree canopy cover;RdNBR index;surrounding unburned areas</t>
  </si>
  <si>
    <t>legume seedlings</t>
  </si>
  <si>
    <t>seedlings / m2</t>
  </si>
  <si>
    <t>transects;quadrats;sampling</t>
  </si>
  <si>
    <t>months after fire</t>
  </si>
  <si>
    <t>legumes biomass</t>
  </si>
  <si>
    <t>plots;quadrats</t>
  </si>
  <si>
    <t>2004_12</t>
  </si>
  <si>
    <t>legume species richness</t>
  </si>
  <si>
    <t>they also record as a complementary attribute the family, regeneration strategy, and life form</t>
  </si>
  <si>
    <t>RRI -Relative Recovery Indicator</t>
  </si>
  <si>
    <t>0 to 2</t>
  </si>
  <si>
    <t>forest class</t>
  </si>
  <si>
    <t>pine forests RRI</t>
  </si>
  <si>
    <t>fire severity;burnt area;prefire vegetation condition;time;forest species</t>
  </si>
  <si>
    <t>RRI measured for forest species: pine, deciduous oaks and holm oak</t>
  </si>
  <si>
    <t>recovery ratio RR</t>
  </si>
  <si>
    <t>categories (1-4)</t>
  </si>
  <si>
    <t>fire severity;prefire vegetationcover;prefire vegetation moisture and structure;elevation;slope;aspect;dorught index;succesional stage</t>
  </si>
  <si>
    <t>categories: continuous recovery, continuous recovery with slope changes, continuous recovery stabilized, non-continuous recovery. Successional stage can be interpreted as time after fire</t>
  </si>
  <si>
    <t>p. 0-1</t>
  </si>
  <si>
    <t>Aboveground biomass density (AGBD)</t>
  </si>
  <si>
    <t>Mg  ha-1</t>
  </si>
  <si>
    <t>GEDI footprints</t>
  </si>
  <si>
    <t>2020</t>
  </si>
  <si>
    <t>variable subtype == biomass; measure date for id fire 1,2,5</t>
  </si>
  <si>
    <t>losses of AGDB</t>
  </si>
  <si>
    <t>differences pre-post fire; fire severity</t>
  </si>
  <si>
    <t>forest canopy height</t>
  </si>
  <si>
    <t>frequency of recruitment</t>
  </si>
  <si>
    <t>Absolute / proportion</t>
  </si>
  <si>
    <t>transects;plots</t>
  </si>
  <si>
    <t>Functional group; states of regeneration;</t>
  </si>
  <si>
    <t>Seedling survival</t>
  </si>
  <si>
    <t>2006_08</t>
  </si>
  <si>
    <t>Postfire management treatment; time after fire</t>
  </si>
  <si>
    <t>Seedling growth (Height)</t>
  </si>
  <si>
    <t>2006_09</t>
  </si>
  <si>
    <t>Seedling growth (Trunk diameter)</t>
  </si>
  <si>
    <t>Number of shoots</t>
  </si>
  <si>
    <t>count</t>
  </si>
  <si>
    <t>Seedling density</t>
  </si>
  <si>
    <t>n ha⁻¹</t>
  </si>
  <si>
    <t>Species richness (plant)</t>
  </si>
  <si>
    <t>number of species</t>
  </si>
  <si>
    <t>transects:</t>
  </si>
  <si>
    <t>treatment (burnt/not burnt);time after fire;life form (woody, perennial herbs;annual herbs)</t>
  </si>
  <si>
    <t>Plant cover</t>
  </si>
  <si>
    <t>2006_07</t>
  </si>
  <si>
    <t>Relative plant cover</t>
  </si>
  <si>
    <t>Percentage (%)</t>
  </si>
  <si>
    <t>plots; transects</t>
  </si>
  <si>
    <t>fire frequency; land use; Regenerative functional traits</t>
  </si>
  <si>
    <t>Number of species</t>
  </si>
  <si>
    <t>Number of plant functional types</t>
  </si>
  <si>
    <t>Diversity of plant functional types</t>
  </si>
  <si>
    <t>Absolute deviation of the relative plant cover of PFTs from sample medians</t>
  </si>
  <si>
    <t>Shannon index of plant functional types</t>
  </si>
  <si>
    <t>adimensional</t>
  </si>
  <si>
    <t>Plant formation change</t>
  </si>
  <si>
    <t>proportion (post versus pre)</t>
  </si>
  <si>
    <t>pixel</t>
  </si>
  <si>
    <t>NDVI trend (15 yr post fire); landscape type; fire id; severity;</t>
  </si>
  <si>
    <t>Leaf Area Index (LAI)</t>
  </si>
  <si>
    <t>fire id; plant formation ; regenerative trajectory</t>
  </si>
  <si>
    <t>NDVI regenerative trend</t>
  </si>
  <si>
    <t>proportion</t>
  </si>
  <si>
    <t>fire id; plant formations</t>
  </si>
  <si>
    <t>Adult tree density</t>
  </si>
  <si>
    <t>trees·ha⁻¹</t>
  </si>
  <si>
    <t>burned/unburned</t>
  </si>
  <si>
    <t>Tree crown cover</t>
  </si>
  <si>
    <t>Elongation of twigs</t>
  </si>
  <si>
    <t>transects; plots</t>
  </si>
  <si>
    <t>2017_04</t>
  </si>
  <si>
    <t>species; time after fire</t>
  </si>
  <si>
    <t>2019</t>
  </si>
  <si>
    <t>fire occurrence(fire/control); time after fire; vegetation type</t>
  </si>
  <si>
    <t>Species richness</t>
  </si>
  <si>
    <t>fire occurrence (fire/control)</t>
  </si>
  <si>
    <t>Family richness</t>
  </si>
  <si>
    <t>Life-forms</t>
  </si>
  <si>
    <t>chorotypes</t>
  </si>
  <si>
    <t>plant diversity (Shannon–Wiener diversity index)</t>
  </si>
  <si>
    <t>fire severity; post-fire treatment</t>
  </si>
  <si>
    <t>Species abundance (Shannon Index)</t>
  </si>
  <si>
    <t>Species dominance (Simpson index)</t>
  </si>
  <si>
    <t>Plant coverage</t>
  </si>
  <si>
    <t>Surface organic matter (litter)</t>
  </si>
  <si>
    <t>Pine sapling density</t>
  </si>
  <si>
    <t>saplings·ha⁻¹</t>
  </si>
  <si>
    <t>Average height of pine saplings</t>
  </si>
  <si>
    <t>2024</t>
  </si>
  <si>
    <t>Maximum height of pine saplings</t>
  </si>
  <si>
    <t>2025</t>
  </si>
  <si>
    <t>Delta NBR</t>
  </si>
  <si>
    <t>pre/post fire state</t>
  </si>
  <si>
    <t>Tree height</t>
  </si>
  <si>
    <t>defoliation</t>
  </si>
  <si>
    <t>DBH</t>
  </si>
  <si>
    <t>Tree mortality</t>
  </si>
  <si>
    <t>Crown defoliation</t>
  </si>
  <si>
    <t>Basal Area Increment</t>
  </si>
  <si>
    <t>cm2</t>
  </si>
  <si>
    <t>defoliation;time</t>
  </si>
  <si>
    <t>Intrinsic Water Use Efficiency</t>
  </si>
  <si>
    <t>μmol mol-1</t>
  </si>
  <si>
    <t>defoliation ; Basal Area Increment</t>
  </si>
  <si>
    <t>Carbon sequestration</t>
  </si>
  <si>
    <t>t CO2​/ha / EUR/ha</t>
  </si>
  <si>
    <t>defoliation; time</t>
  </si>
  <si>
    <t>Abundance-dominance index</t>
  </si>
  <si>
    <t>vegetation stratum</t>
  </si>
  <si>
    <t>year; plot</t>
  </si>
  <si>
    <t>Vegetation recovery level</t>
  </si>
  <si>
    <t>categorical</t>
  </si>
  <si>
    <t>PCA (precipitation; temperature; slope; elevation)</t>
  </si>
  <si>
    <t>Disturbance Index</t>
  </si>
  <si>
    <t>vegetation stratum; plot</t>
  </si>
  <si>
    <t>Foliar nutrient concentration (C, N, P, K, Ca, Mg)</t>
  </si>
  <si>
    <t>leaves from each species</t>
  </si>
  <si>
    <t>2015</t>
  </si>
  <si>
    <t>fire history (unburned, 1 fire, 2 long fires, 1 short fires, 3 fires)</t>
  </si>
  <si>
    <t>Litter nutrient concentration (C, N, P, K, Ca, Mg)</t>
  </si>
  <si>
    <t>proportion of resprouters</t>
  </si>
  <si>
    <t>2000-2001</t>
  </si>
  <si>
    <t>Euclidean distance; Thornthwaite index; fire occurrence</t>
  </si>
  <si>
    <t>date depends on the plot</t>
  </si>
  <si>
    <t>proportion of seeders</t>
  </si>
  <si>
    <t>proportion of fire-sensitive species</t>
  </si>
  <si>
    <t>seeder to resprouter ratio</t>
  </si>
  <si>
    <t>density of Pinus halepensis</t>
  </si>
  <si>
    <t>no. of individuals (including saplings and seedlings) / ha</t>
  </si>
  <si>
    <t>sampling date depending on the plot</t>
  </si>
  <si>
    <t>vegetation biomass</t>
  </si>
  <si>
    <t>years since fire; species</t>
  </si>
  <si>
    <t>sampling date depending on the plot. Measured biomas for species: pinus halepensis, quercus ilex and quercus pubescens</t>
  </si>
  <si>
    <t>nº of vascular plants per stand</t>
  </si>
  <si>
    <t>spring and autumn</t>
  </si>
  <si>
    <t>nº of vascular plants per quadrat</t>
  </si>
  <si>
    <t>unitless per stand</t>
  </si>
  <si>
    <t>unitless per quadrat</t>
  </si>
  <si>
    <t>Understory community cover</t>
  </si>
  <si>
    <t>species cover (%)</t>
  </si>
  <si>
    <t>years since fire; basal area of Quercus ilex; basal area of Quercus pubescens; basal area of Pinus halepensis; total basal area</t>
  </si>
  <si>
    <t>sampling date depending on the plot. They report results by species but they don’t do statistical analysis</t>
  </si>
  <si>
    <t>pine sampling height</t>
  </si>
  <si>
    <t>plot;subplot</t>
  </si>
  <si>
    <t>2008_04</t>
  </si>
  <si>
    <t>environmental variables (elevation, aspect, slope, soil depth); vegetation cover by class; vegetation average heigh by class;bare soil or rock cover;litter cover;trunks and branches cover;pine pre-fire basal area;position of unburnt pine patches;extent of erosion;topographic position;fungal diversity indices</t>
  </si>
  <si>
    <t>recorded in each of several layers/growth-form, broadleaved trees, maritime pine saplings, shrubs, field layer (herbaceous vegetation), and ground layer (bryophytes).</t>
  </si>
  <si>
    <t>pine sampling cover</t>
  </si>
  <si>
    <t>environmental variables (elevation, aspect, slope, soil depth); fungal diversity indices</t>
  </si>
  <si>
    <t>individuals/m2</t>
  </si>
  <si>
    <t>sap flow</t>
  </si>
  <si>
    <t>L/h</t>
  </si>
  <si>
    <t>individual sampling</t>
  </si>
  <si>
    <t>2021_01</t>
  </si>
  <si>
    <t>burned vs. unburned;season;VPD;sap wood temp;relative humidity;preipitation;air temp;incoming radiation;soil water content</t>
  </si>
  <si>
    <t>time since fire;pre-fire vs. Post-fire</t>
  </si>
  <si>
    <t>mean ring width</t>
  </si>
  <si>
    <t>2025_01</t>
  </si>
  <si>
    <t>burned vs. Unburned</t>
  </si>
  <si>
    <t>wood anatomy</t>
  </si>
  <si>
    <t>lumen area</t>
  </si>
  <si>
    <t>μm2</t>
  </si>
  <si>
    <t>hydraulic conductivity</t>
  </si>
  <si>
    <t>m3/Mpa*s</t>
  </si>
  <si>
    <t>embolism resistance index</t>
  </si>
  <si>
    <t>cell wall thickness</t>
  </si>
  <si>
    <t>μm</t>
  </si>
  <si>
    <t>tree ring growth</t>
  </si>
  <si>
    <t>2017_12</t>
  </si>
  <si>
    <t>fire severity;temperature;precipitation</t>
  </si>
  <si>
    <t>δ13C</t>
  </si>
  <si>
    <t>δ18O</t>
  </si>
  <si>
    <t>post-fire intervention; herb-interference treatments;seedling age</t>
  </si>
  <si>
    <t>post-fire management: non-intervention, partial cut plus lopping or salvage logging. Herb-interference treatments: unweeded (no action around pine seedling) or weeded (herbaceous cover removed in a diameter of 50 cm around the pine seedling with a weeding</t>
  </si>
  <si>
    <t>seedling growth (stem height)</t>
  </si>
  <si>
    <t>seedling growth (stem diameter)</t>
  </si>
  <si>
    <t>woody species cover by functional trait</t>
  </si>
  <si>
    <t>2018_06</t>
  </si>
  <si>
    <t>composite burn index (severity);time since fire</t>
  </si>
  <si>
    <t>three severity levels (low, moderate, and high). Response variable grouped: For physiological traits, we analyzed (1) low SLA, (2) high SLA, (3) N2-fixing, and (4) no N2-fixing capacity. For regenerative traits, we analyzed (1) resprouters, (2) obligate seeders, (3) facultatives, (4) aboveground buds, (5) belowground buds, (6) heat-stimulated germination, and (7) no heat-stimulated germination.</t>
  </si>
  <si>
    <t>landscape compositional shifts</t>
  </si>
  <si>
    <t>remote sensing;plot</t>
  </si>
  <si>
    <t>2023_07_24</t>
  </si>
  <si>
    <t>pre vs. Post-fire;land cover</t>
  </si>
  <si>
    <t>physical variables:digital elevation model;topographic position index;aspect;Euclidean distance to streams</t>
  </si>
  <si>
    <t>maximum vegetation height</t>
  </si>
  <si>
    <t>2023_08</t>
  </si>
  <si>
    <t>severity</t>
  </si>
  <si>
    <t>unitless</t>
  </si>
  <si>
    <t>severity;pre vs. Post-fire</t>
  </si>
  <si>
    <t>Short-Term Vegetation Response (dNBR)</t>
  </si>
  <si>
    <t>2022_07</t>
  </si>
  <si>
    <t>pre vs. Post-fire;vegetation type;severity</t>
  </si>
  <si>
    <t>vegetation mean height</t>
  </si>
  <si>
    <t>burned vs. unburned;vegetation type</t>
  </si>
  <si>
    <t>2017_10_30</t>
  </si>
  <si>
    <t>pre-fire conditions;severity;topography;time since fire;forest type</t>
  </si>
  <si>
    <t>topographic variables: altitude;slope;aspect;Topographic Ruggedness Index;curvature;flow acumulation</t>
  </si>
  <si>
    <t>Vegetation cover</t>
  </si>
  <si>
    <t>plot; relevé (5x5m)</t>
  </si>
  <si>
    <t>not been affected by fire; time-since-fire; aspect; elevation; inclination</t>
  </si>
  <si>
    <t>Total species number</t>
  </si>
  <si>
    <t>Mean species number per relevé</t>
  </si>
  <si>
    <t>Mean diversity (Shannon Wiener Index)</t>
  </si>
  <si>
    <t>Mean evenness</t>
  </si>
  <si>
    <t>range (0-1)</t>
  </si>
  <si>
    <t>Floristic similarity (Sørensen Index)</t>
  </si>
  <si>
    <t>Species mean coverage</t>
  </si>
  <si>
    <t>Cone opening percentage</t>
  </si>
  <si>
    <t>study site</t>
  </si>
  <si>
    <t>1994_04</t>
  </si>
  <si>
    <t>moderator_type: no hay ningún análisis estadístico. Me he basado en los factores por los que agrupan cada plot</t>
  </si>
  <si>
    <t>Seed content per cone after 100C treatment</t>
  </si>
  <si>
    <t>seeds/cone</t>
  </si>
  <si>
    <t>Seed germination</t>
  </si>
  <si>
    <t>controlled temperature for germination</t>
  </si>
  <si>
    <t>Time course of seed germination (T50)</t>
  </si>
  <si>
    <t>seed age</t>
  </si>
  <si>
    <t>variable_type: he visto en un ejemplo más arriba que ponéis vegetation, pero no sé si debería ser soil</t>
  </si>
  <si>
    <t>Final seed germination</t>
  </si>
  <si>
    <t>study site; cone age</t>
  </si>
  <si>
    <t>Soil seed bank density</t>
  </si>
  <si>
    <t>seeds/m2</t>
  </si>
  <si>
    <t>study site; soil sample (14 x 20 x 1 cm or 9.5 x 4 x 1 cm)</t>
  </si>
  <si>
    <t>1990_11</t>
  </si>
  <si>
    <t>study site; before/after postfire rainy season; burned/unburned areas</t>
  </si>
  <si>
    <t>Canopy seed bank size</t>
  </si>
  <si>
    <t>1993_05</t>
  </si>
  <si>
    <t>study site; month of dispersal season</t>
  </si>
  <si>
    <t>trees/ha</t>
  </si>
  <si>
    <t>Cones per tree</t>
  </si>
  <si>
    <t>cones/tree</t>
  </si>
  <si>
    <t>Seeds per cone</t>
  </si>
  <si>
    <t>Esta medida de seed content es diferente a la otra que aparece mas arriba</t>
  </si>
  <si>
    <t>Species occurrence</t>
  </si>
  <si>
    <t>binary (0/1)</t>
  </si>
  <si>
    <t>100-m line transect</t>
  </si>
  <si>
    <t>years after fire</t>
  </si>
  <si>
    <t>Total plant species richness</t>
  </si>
  <si>
    <t>nº taxa</t>
  </si>
  <si>
    <t>years after fire; bedrock material</t>
  </si>
  <si>
    <t>Richness of leguminous taxa</t>
  </si>
  <si>
    <t>plant life form cover</t>
  </si>
  <si>
    <t>Plant regeneration mode</t>
  </si>
  <si>
    <t>plant life form</t>
  </si>
  <si>
    <t>Plant Bray-Curtis similarity</t>
  </si>
  <si>
    <t>NDVI (Normalized Difference Vegetation Index)</t>
  </si>
  <si>
    <t>Fire severity category; Land use land cover (LUCL); monthly rainfall; monthly mean temperature</t>
  </si>
  <si>
    <t>GNDVI (Green Normalized Vegetation Index)</t>
  </si>
  <si>
    <t>Fire severity category; LULC class; monthly rainfall; monthly mean temperature</t>
  </si>
  <si>
    <t>NDRE (Normalized Red-Edge Vegetation Index)</t>
  </si>
  <si>
    <t>NBR (Normalized Burn Ratio)</t>
  </si>
  <si>
    <t>NDWI (Normalized Difference Water Index)</t>
  </si>
  <si>
    <t>NVI_As (Radar Vegetation Index-Ascending orbith path)</t>
  </si>
  <si>
    <t>RVI_Ds (Radar Vegetation Index-Descending orbith path)</t>
  </si>
  <si>
    <t>RFDI_As (Radar Forest Degradation Index-Ascending orbith path)</t>
  </si>
  <si>
    <t>RFDI_Ds (Radar Forest Degradation Index-Descending orbith path)</t>
  </si>
  <si>
    <t>DPSVI_As (Dual-Polarization SAR Vegetation Inde-Ascending orbith path)</t>
  </si>
  <si>
    <t>DPSVI_Ds (Dual-Polarization SAR Vegetation Inde-Descending orbith path)</t>
  </si>
  <si>
    <t>co-polarized VV_As (Ascending orbith path)</t>
  </si>
  <si>
    <t>dB</t>
  </si>
  <si>
    <t>co-polarized VV_Ds (Descending orbith path)</t>
  </si>
  <si>
    <t>cross-polarized VH_As (Ascending orbith path)</t>
  </si>
  <si>
    <t>BRR (Burn Recovery Ratio) for NDVI</t>
  </si>
  <si>
    <t>moderator_type: lo siento, pero no he trabajado nunca con remote sensing y estoy perdidísima con estas métricas que calculan ratios sobre otras métricas. No sé si los moderators serían los mismos o serían las métricas en sí (NDVI / NBR / NVI)</t>
  </si>
  <si>
    <t>BRR (Burn Recovery Ratio) for NBR</t>
  </si>
  <si>
    <t>BRR (Burn Recovery Ratio) for NVI_As</t>
  </si>
  <si>
    <t>Distribution of the number of pixels (%) falling in every burn recovery ratio (BRR) category for NDVI</t>
  </si>
  <si>
    <t>Distribution of the number of pixels (%) falling in every burn recovery ratio (BRR) category for NBR</t>
  </si>
  <si>
    <t>Distribution of the number of pixels (%) falling in every burn recovery ratio (BRR) category for NVI_As</t>
  </si>
  <si>
    <t>Normalized Burn Ratio (NBR)</t>
  </si>
  <si>
    <t>2023_06</t>
  </si>
  <si>
    <t>forest condition (burned vs. unburned areas); forest type; study periods (pre-fire, post-fire, and regrowth)</t>
  </si>
  <si>
    <t>Normalized Difference Vegetation Index (NDVI)</t>
  </si>
  <si>
    <t>2022_10</t>
  </si>
  <si>
    <t>Tree Mortality</t>
  </si>
  <si>
    <t>Basal Resprouting</t>
  </si>
  <si>
    <t>Epicormic Resprouting</t>
  </si>
  <si>
    <t>Tree Seedling Regeneration</t>
  </si>
  <si>
    <t>Shrub Cover</t>
  </si>
  <si>
    <t>Forest Regrowth Rate</t>
  </si>
  <si>
    <t>Forest Regrowth Rate: medida que se obtienen de fusionar las medidas de remote sensing y las de campo, por lo que no sé qué poner en los campos que están en amarillo</t>
  </si>
  <si>
    <t>Forest Resilience Score</t>
  </si>
  <si>
    <t>Forest Resilience Score: medida que se obtienen de fusionar las medidas de remote sensing y las de campo, por lo que no sé qué poner en los campos que están en amarillo</t>
  </si>
  <si>
    <t>Mean plant height</t>
  </si>
  <si>
    <t>site; stand; transect; quadrat</t>
  </si>
  <si>
    <t>fire recurrence; fire interval; real solar radiation; precipitation</t>
  </si>
  <si>
    <t>Maximum plant height</t>
  </si>
  <si>
    <t>Mean height of vegetation?</t>
  </si>
  <si>
    <t>fire recurrence; fire interval; real solar radiation; precipitation; vegetation profile layer (herb, shrub, tree)</t>
  </si>
  <si>
    <t>grouped response variable</t>
  </si>
  <si>
    <t>Maximum height of tree species</t>
  </si>
  <si>
    <t>fire recurrence; fire interval; real solar radiation; precipitation; tree species (P. halepensis, Q.ilex, Q. Coccifera)</t>
  </si>
  <si>
    <t>Mean abundance of regeneration strategy?</t>
  </si>
  <si>
    <t>fire recurrence; fire interval; real solar radiation; precipitation; regeneration strategy (resprouters/resprouters-seeders/seeders-P. halepensis)</t>
  </si>
  <si>
    <t>grouped response variable (no sé si debería agruparlos con estas categorías o directamente meter todas las categorías en uno y quitar las filas que vereis debajo); response_unit: Total number of times that a species was present as dominant in a stand</t>
  </si>
  <si>
    <t>Mean abundance of life form?</t>
  </si>
  <si>
    <t>fire recurrence; fire interval; real solar radiation; precipitation; life form (Macrophanerophytes/Nanophanerophytes/Chamaephytes)</t>
  </si>
  <si>
    <t>grouped response variable; response_unit: Total number of times that a species was present as dominant in a stand</t>
  </si>
  <si>
    <t>Mean abundance of vegetation?</t>
  </si>
  <si>
    <t>fire recurrence; fire interval; real solar radiation; precipitation; vegetation profile layer (herbs, grasses, vines)</t>
  </si>
  <si>
    <t>Mean abundance of woody species?</t>
  </si>
  <si>
    <t>fire recurrence; fire interval; real solar radiation; precipitation; woody species groups (woody species / woody species-P. halepensis / P. halepensis)</t>
  </si>
  <si>
    <t>Total plant cover</t>
  </si>
  <si>
    <t>esta fila corresponde a una variable que midieron con toda la abundancia de todas las plantas y la de debajo es la que he crado yo agregrando las tres medidas individuales que hay en el artículo para herbáceas, arbustos y árbols</t>
  </si>
  <si>
    <t>fire recurrence; fire interval; real solar radiation; precipitation; vegetation profile (herb, shrub, tree)</t>
  </si>
  <si>
    <t>Pine density</t>
  </si>
  <si>
    <t>individuals/stand</t>
  </si>
  <si>
    <t>Percentage of pine trees bearing cones</t>
  </si>
  <si>
    <t>Fuel model (Rothermel types)</t>
  </si>
  <si>
    <t>Qualitative categories</t>
  </si>
  <si>
    <t>Bare areas</t>
  </si>
  <si>
    <t>Number of times present in quadrats</t>
  </si>
  <si>
    <t>Normalized Difference Vegetation Index (NDVI) of burned areas</t>
  </si>
  <si>
    <t>1986_09</t>
  </si>
  <si>
    <t>Normalized Difference Vegetation Index (NDVI) of unburned neighbouring areas</t>
  </si>
  <si>
    <t>QNDVI (quotient)</t>
  </si>
  <si>
    <t>years before and after fire (from 4th pre-fire to 8th year postfire)</t>
  </si>
  <si>
    <t>Mean vegetation cover?</t>
  </si>
  <si>
    <t>1987_05</t>
  </si>
  <si>
    <t>fire effect (pre-fire vs 8th year postfire); vegetation height (from "rock cover" to 16 m)</t>
  </si>
  <si>
    <t>Vertical vegetation profile</t>
  </si>
  <si>
    <t>Riparian canopy cover</t>
  </si>
  <si>
    <t>stream; reach; leaf bag</t>
  </si>
  <si>
    <t>2003_10</t>
  </si>
  <si>
    <t>fire-affected vs control; time since fire;</t>
  </si>
  <si>
    <t>Leaf-litter breakdown rates</t>
  </si>
  <si>
    <t>2011_11</t>
  </si>
  <si>
    <t>fire-affected vs control; time since fire; mesh size</t>
  </si>
  <si>
    <t>Total litter input</t>
  </si>
  <si>
    <t>g m-2 d-1</t>
  </si>
  <si>
    <t>2011_10</t>
  </si>
  <si>
    <t>Leaf input</t>
  </si>
  <si>
    <t>Ash-free dry mass</t>
  </si>
  <si>
    <t>Canopy cover</t>
  </si>
  <si>
    <t>2017_09</t>
  </si>
  <si>
    <t>management type; plant functional group (seeders/resprouters)</t>
  </si>
  <si>
    <t>Plant species diversity (Pielou Index)</t>
  </si>
  <si>
    <t>Plant species composition</t>
  </si>
  <si>
    <t>management type</t>
  </si>
  <si>
    <t>Plant species similarity</t>
  </si>
  <si>
    <t>los calculos de species similarity vienen de primero caracterizar las species compostion, así que no sñe is debería dejar ambas medidas o no</t>
  </si>
  <si>
    <t>Woody:non-woody species ratio</t>
  </si>
  <si>
    <t>variable_subtype: utilizado como proxy de "woody production", por eso he puesto "ecosystem services"</t>
  </si>
  <si>
    <t>Post‑fire restoration need (NRest)</t>
  </si>
  <si>
    <t>binary (0 = no restoration needed, 1 = restoration needed)</t>
  </si>
  <si>
    <t>pre-fire densities of saplings;pre-fire presence of seedlings</t>
  </si>
  <si>
    <t>sampling_type: 412 permanent plots, IFN. Measure_date: IFN3</t>
  </si>
  <si>
    <t>Post-fire Quercus spp. sapling density resprouting</t>
  </si>
  <si>
    <t>ind./ha</t>
  </si>
  <si>
    <t>fire severity;pre-fire seed dispersal;resprouting ability</t>
  </si>
  <si>
    <t>sampling_type: 5‑m radius subplot, 412 plots IFN. Measure_date: IFN3. Saplings defined as 2.5‑7.5 cm diameter. Measured after fire. Areas with ≥80% tree damage and low post‑fire sapling densities required restoration. See Fig. 2 for post‑fire density ranges.</t>
  </si>
  <si>
    <t>Quercus spp. seedling density</t>
  </si>
  <si>
    <t>categorical (0 = no seedlings, 1 = 1‑4, 2 = 5‑15, 3 = ≥15 seedlings/plot)</t>
  </si>
  <si>
    <t>sampling_type: 5‑m radius subplot, 412 plots IFN. Measure_date: IFN3. Seedlings &lt;2.5 cm diameter. Semi‑quantitative categories measured after fire. Used to assess post‑fire recovery potential.</t>
  </si>
  <si>
    <t>probability of restoration need P(NRest)</t>
  </si>
  <si>
    <t>unitless (0 to 1)</t>
  </si>
  <si>
    <t>Measure_date: IFN3</t>
  </si>
  <si>
    <t>Understory biomass</t>
  </si>
  <si>
    <t>Mg/ha</t>
  </si>
  <si>
    <t>quadrat</t>
  </si>
  <si>
    <t>2014_07</t>
  </si>
  <si>
    <t>fire recurrence;salvage logging</t>
  </si>
  <si>
    <t>Pinus pinaster regeneration biomass</t>
  </si>
  <si>
    <t>2015_10</t>
  </si>
  <si>
    <t>Aboveground carbon stock</t>
  </si>
  <si>
    <t>Mg C/ha</t>
  </si>
  <si>
    <t>Three different plots (33 m x 33 m) separated by approximately 500 m were selected in each area studied: (1) unburned, 1 fire and 4 fires for the fire recurrence question and (2) typical and conservation for the logging technique question.</t>
  </si>
  <si>
    <t>Belowground carbon stock</t>
  </si>
  <si>
    <t>Biomass carbon stock (vegetation + litter + roots)</t>
  </si>
  <si>
    <t>unitless (0-1)</t>
  </si>
  <si>
    <t>point</t>
  </si>
  <si>
    <t>2016 or 2017</t>
  </si>
  <si>
    <t>postfire restoration (intervention);fire severity (dNBR);fire recurrence;time since last fire;Palmer Drought Severity Index (PDSI);topography(aspect;elevation;slope)</t>
  </si>
  <si>
    <t>sampling_type: 15‑m radius circle, median zonal statistics. measure_date: First monthly composite after each fire (2016 or 2017); exact date not specified</t>
  </si>
  <si>
    <t>Forest stand volume</t>
  </si>
  <si>
    <t>m³ /ha</t>
  </si>
  <si>
    <t>2021</t>
  </si>
  <si>
    <t>afforestation (presence/absence)</t>
  </si>
  <si>
    <t>variable_subtype: In the article all metrics are described as "ecosytem services proxies". Sampling_type:  500 m² circular plot.</t>
  </si>
  <si>
    <t>Q. pyrenaica stand volume</t>
  </si>
  <si>
    <t>Tree carbon</t>
  </si>
  <si>
    <t>t/ha</t>
  </si>
  <si>
    <t>Understory carbon</t>
  </si>
  <si>
    <t>variable_subtype: In the article all metrics are described as "ecosytem services proxies".  Sampling_type: 3 linear 10-m transects</t>
  </si>
  <si>
    <t>Litter carbon</t>
  </si>
  <si>
    <t>variable_subtype: In the article all metrics are described as "ecosytem services proxies".  Sampling_type: 3 quadrats of 0.0625 m²</t>
  </si>
  <si>
    <t>Total carbon</t>
  </si>
  <si>
    <t>plot;transect;quadrat</t>
  </si>
  <si>
    <t>variable_subtype: In the article all metrics are described as "ecosytem services proxies". Sampling_type: sum of tree carbon, understory carbon and litter carbon (including tree roots and excluding soil carbon).</t>
  </si>
  <si>
    <t>Fuel loading</t>
  </si>
  <si>
    <t>variable_subtype: In the article all metrics are described as "ecosytem services proxies". Sampling_type:  sum of understory biomass and litter biomass.</t>
  </si>
  <si>
    <t>Floristic species richness (⁰D)</t>
  </si>
  <si>
    <t>No. species</t>
  </si>
  <si>
    <t>variable_subtype: In the article all metrics are described as "ecosytem services proxies".</t>
  </si>
  <si>
    <t>Shannon effective diversity (¹D)</t>
  </si>
  <si>
    <t>Simpson effective diversity (²D)</t>
  </si>
  <si>
    <t>Q. pyrenaica natural regeneration</t>
  </si>
  <si>
    <t>No/ha</t>
  </si>
  <si>
    <t>PCA.Terpenoids (relative abundance in topsoil)</t>
  </si>
  <si>
    <t>% of total pyrogram area</t>
  </si>
  <si>
    <t>2010_09_21</t>
  </si>
  <si>
    <t>time since fire (months)</t>
  </si>
  <si>
    <t>EB (eucalyptus burnt) topsoil: 1-3% (unburnt: 23-30%). Includes eucalyptol and globulol (Eucalyptus globulus biomarkers)</t>
  </si>
  <si>
    <t>Fractional Vegetation Cover recovery percentage (FCOVER%rec)</t>
  </si>
  <si>
    <t>pixel-based;plot</t>
  </si>
  <si>
    <t>Fire severity;Climate;Post‑fire soil moisture);Pre‑fire soil condition;Landscape configuration</t>
  </si>
  <si>
    <t>moderator_type: see Table 2 in the article (page 5) for all moderators and abbreviations (31 variables). Fire severity (dNBR); Climate (MAT, MTW, TAR, TS, AP, PW, PS); Post‑fire soil moisture (SSM_monthly, SSM_spring, SWI_monthly, SWI_spring); Pre‑fire soil condition (WRB_type, WRB_par, WRB_tex, pH, SOC, CaCO3, CEC, C:N, N, P, K, BD, clay, sand, silt); Landscape configuration (slope, roughness, TWI, HLI, SEI, TPI)</t>
  </si>
  <si>
    <t>Stand tree density</t>
  </si>
  <si>
    <t>no. trees/ha</t>
  </si>
  <si>
    <t>fire severity;fire recurrence;pre‑fire vegetation structure</t>
  </si>
  <si>
    <t>Measured in dense forest and open forest; values for each fire scenario. sampling_type: plot (5 m radius)</t>
  </si>
  <si>
    <t>Diameter at breast height (DBH)</t>
  </si>
  <si>
    <t>Reported for open forest; no significant differences among fire scenarios, but relative changes noted. sampling_type: plot (5 m radius). 5_3.2.2_para1; 4_2.3.2_para2</t>
  </si>
  <si>
    <t>Reported for dense forest only. sampling_type: plot (5 m radius)</t>
  </si>
  <si>
    <t>Canopy base height</t>
  </si>
  <si>
    <t>Reported for dense forest and open forest. sampling_type: plot (5 m radius)</t>
  </si>
  <si>
    <t>Pine regeneration</t>
  </si>
  <si>
    <t>seedlings/ha</t>
  </si>
  <si>
    <t>Measured as total number of pine seedlings (&lt;2.5 m height) per hectare. sampling_type: plot (5 m radius)</t>
  </si>
  <si>
    <t>Shrub cover fraction</t>
  </si>
  <si>
    <t>Reported for dense forest, open forest, and dense shrubland. sampling_type: plot (5 m radius)</t>
  </si>
  <si>
    <t>Number of woody species</t>
  </si>
  <si>
    <t>Includes all woody species (shrubs and trees &lt;2.5 m). sampling_type: plot (5 m radius)</t>
  </si>
  <si>
    <t>Sørensen similarity index</t>
  </si>
  <si>
    <t>unitless (0–1)</t>
  </si>
  <si>
    <t>Compared to unburned control. Higher values indicate greater species similarity. sampling_type: plot (5 m radius)</t>
  </si>
  <si>
    <t>Jaccard similarity index</t>
  </si>
  <si>
    <t>Species occupancy response (significant increase/decrease)</t>
  </si>
  <si>
    <t>presence/absence</t>
  </si>
  <si>
    <t>Qualitative response for individual species (see Table 5). Reported as + (increase) or − (decrease) relative to control. sampling_type: plot (5 m radius)</t>
  </si>
  <si>
    <t>Change in dense forest cover</t>
  </si>
  <si>
    <t>remote sensing (orthophoto, landscape level)</t>
  </si>
  <si>
    <t>2004; 2021</t>
  </si>
  <si>
    <t>Negative values indicate loss, positive values gain. Measured for two periods: 1984‑2004 (post‑1988 fire) and 2004‑2021 (post‑2006 fire).</t>
  </si>
  <si>
    <t>Change in open forest cover</t>
  </si>
  <si>
    <t>Negative values indicate loss, positive values gain. Periods as above.</t>
  </si>
  <si>
    <t>Change in dense shrubland cover</t>
  </si>
  <si>
    <t>Change in sparse shrubland cover</t>
  </si>
  <si>
    <t>Litter cover</t>
  </si>
  <si>
    <t>plot;quadrat</t>
  </si>
  <si>
    <t>1999_12</t>
  </si>
  <si>
    <t>fire severity (low, moderate, high)</t>
  </si>
  <si>
    <t>Measured 8 months after fire. High severity &lt;5%, low and moderate ~45%.</t>
  </si>
  <si>
    <t>Total vegetation cover</t>
  </si>
  <si>
    <t>No significant relation to severity.</t>
  </si>
  <si>
    <t>Herbaceous cover</t>
  </si>
  <si>
    <t>Seedling density (8 months post‑fire)</t>
  </si>
  <si>
    <t>individuals/m²</t>
  </si>
  <si>
    <t>8 months post‑fire. Range 0.1–1.43 (mean 0.45). Highest in low severity but not significant (p=0.27).</t>
  </si>
  <si>
    <t>Seedling density (13 months post‑fire)</t>
  </si>
  <si>
    <t>2000_05</t>
  </si>
  <si>
    <t>13 months post‑fire. No significant difference (F=3.21, p=0.07).</t>
  </si>
  <si>
    <t>Seedling density (19 months post‑fire)</t>
  </si>
  <si>
    <t>2000_11</t>
  </si>
  <si>
    <t>19 months post‑fire. No significant difference (F=0.27, p=0.84).</t>
  </si>
  <si>
    <t>Seedling density (29 months post‑fire)</t>
  </si>
  <si>
    <t>2001_09</t>
  </si>
  <si>
    <t>29 months post‑fire. Range 0.01–0.52 (mean 0.27). No significant relation.</t>
  </si>
  <si>
    <t>Seedling mortality (by cohorts)</t>
  </si>
  <si>
    <t>fire severity; Brachypodium retusum cover</t>
  </si>
  <si>
    <t>Data for cohorts I–III (Fig 2b). Cohort I: 37% mortality after 2.5 years. Lower in high severity but not significant (p=0.34). Grass cover significantly associated with mortality (Fig 5).</t>
  </si>
  <si>
    <t>Seedling height (by cohorts)</t>
  </si>
  <si>
    <t>plot;seedling</t>
  </si>
  <si>
    <t>Data for cohorts I–IV (Fig 4a). High severity consistently taller than low/moderate. ANOVA: cohort I p&lt;0.0001, II p=0.004, III p=0.003, IV p=0.001.</t>
  </si>
  <si>
    <t>Seedling diameter</t>
  </si>
  <si>
    <t>Cohort I only (29 months). High severity (0.42) &gt; low (0.21) and moderate (0.24); p&lt;0.0001.</t>
  </si>
  <si>
    <t>Number of branches</t>
  </si>
  <si>
    <t>#</t>
  </si>
  <si>
    <t>Cohort I only (29 months). High severity (10.7) &gt; low (4.0) and moderate (3.7); p&lt;0.001.</t>
  </si>
  <si>
    <t>Leaf biomass</t>
  </si>
  <si>
    <t>sampling_type: destructive sampling (10 seedlings per severity). Cohort I only. High severity significantly higher than low (p&lt;0.0001).</t>
  </si>
  <si>
    <t>Aboveground woody biomass</t>
  </si>
  <si>
    <t>sampling_type: destructive sampling (10 seedlings per severity). Cohort I only. High severity significantly higher than low (p&lt;0.001).</t>
  </si>
  <si>
    <t>Root biomass</t>
  </si>
  <si>
    <t>sampling_type: destructive sampling (10 seedlings per severity). Cohort I only. High severity significantly higher than low (p&lt;0.01).</t>
  </si>
  <si>
    <t>Root/shoot ratio</t>
  </si>
  <si>
    <t>sampling_type: destructive sampling (10 seedlings per severity).  No significant difference between low and high severity (ns).</t>
  </si>
  <si>
    <t>Resprouting failure of woody species</t>
  </si>
  <si>
    <t>Increased with severity: low (30.6%), moderate (39.9%), high (61.2%); p&lt;0.05.</t>
  </si>
  <si>
    <t>Seedling spatial pattern (Ripley’s K-function √[K(t)/π]−t)</t>
  </si>
  <si>
    <t>m (qualitative only)</t>
  </si>
  <si>
    <t>1999_12 to 2001_09</t>
  </si>
  <si>
    <t>none (descriptive)</t>
  </si>
  <si>
    <t>All plots showed aggregated pattern (Fig 6b). No clear relation to severity.</t>
  </si>
  <si>
    <t>Seedling spatial pattern (bivariate: seedlings vs. adults)</t>
  </si>
  <si>
    <t>No association between seedlings and mother trees (Fig 6a).</t>
  </si>
  <si>
    <t>vegetation cover (by vegetation heights)</t>
  </si>
  <si>
    <t>1979</t>
  </si>
  <si>
    <t>years since fire;fire number</t>
  </si>
  <si>
    <t>Data of vegetation cover (0–0.25 m; 0.25–0.5 m; 0.5–1 m; 1–2 m; 2–4 m; 4–8 m;  8–16 m). Sampling_type: 5–8 m for lower layers to about 20 m for higher layers. Measure_date: several years.</t>
  </si>
  <si>
    <t>Foliage volume index</t>
  </si>
  <si>
    <t>unitless (sum of cover × layer thickness)</t>
  </si>
  <si>
    <t>Sampling_type: 5–8 m for lower layers to about 20 m for higher layers. Measure_date: several years.</t>
  </si>
  <si>
    <t>Euclidian distance to prefire control (CA axes 1-2)</t>
  </si>
  <si>
    <t>Oak mortality rate</t>
  </si>
  <si>
    <t>fire number (3rd vs earlier)</t>
  </si>
  <si>
    <t>Sampling_type: point observation. Measure_date: after third fire.</t>
  </si>
  <si>
    <t>Number of cork oak trees (N_T)</t>
  </si>
  <si>
    <t>2021_01_12</t>
  </si>
  <si>
    <t>area (Area 4 vs Area 6)</t>
  </si>
  <si>
    <t>sampling_type: plot (10 x 10 m), pixel (1 x 1 m).</t>
  </si>
  <si>
    <t>Height of cork oak trees (H_T)</t>
  </si>
  <si>
    <t>Bare ground coverage (BG)</t>
  </si>
  <si>
    <t>sqm</t>
  </si>
  <si>
    <t>Herbaceous/shrubs layer coverage (H‑S)</t>
  </si>
  <si>
    <t>Crown of cork oak trees coverage (C)</t>
  </si>
  <si>
    <t>Total vegetation coverage (TC)</t>
  </si>
  <si>
    <t>area (Area 4 vs Area 6);number of burnt pine logs</t>
  </si>
  <si>
    <t>Diameter of cork tree trunks (DTT)</t>
  </si>
  <si>
    <t>Number of burnt pine logs on ground (NBPL)</t>
  </si>
  <si>
    <t>Diameter of burnt pine logs (DBPL)</t>
  </si>
  <si>
    <t>Diameter of cork tree trunks (ground validation)</t>
  </si>
  <si>
    <t>2021_05‑06</t>
  </si>
  <si>
    <t>sampling_type: plot (10 x 10 m)</t>
  </si>
  <si>
    <t>Diameter of burnt pine logs (ground validation)</t>
  </si>
  <si>
    <t>Floristic composition (species presence/cover)</t>
  </si>
  <si>
    <t>Herbaceous/shrub layer coverage (ground validation)</t>
  </si>
  <si>
    <t>Number of species per plot</t>
  </si>
  <si>
    <t>Pinus halepensis seedling density</t>
  </si>
  <si>
    <t>post‑fire management</t>
  </si>
  <si>
    <t>moderator_type: post-fire management (UNCUT vs salvage LOGGING)</t>
  </si>
  <si>
    <t>Pinus halepensis seedling height</t>
  </si>
  <si>
    <t>Pinus halepensis seedling survival ratio</t>
  </si>
  <si>
    <t>2011</t>
  </si>
  <si>
    <t>Survival ratio (by species)</t>
  </si>
  <si>
    <t>moderator_type: species (Stipa tenacissima;Rosmarinus officinalis;Cistus clusii)</t>
  </si>
  <si>
    <t>Predawn leaf water potential (ΨPD) (by species)</t>
  </si>
  <si>
    <t>MPa</t>
  </si>
  <si>
    <t>species;post‑fire management;induced drought;sampling period</t>
  </si>
  <si>
    <t>Predawn leaf water potential (ΨPD) Quercus coccifera</t>
  </si>
  <si>
    <t>post‑fire management;induced drought</t>
  </si>
  <si>
    <t>lo separo porque está medido en distinto momento</t>
  </si>
  <si>
    <t>Predawn leaf water potential (ΨPD) Pinus halepensis</t>
  </si>
  <si>
    <t>lo separo porque se mide tras 2 años.</t>
  </si>
  <si>
    <t>Total height (H)</t>
  </si>
  <si>
    <t>species;sampling period</t>
  </si>
  <si>
    <t>moderator_type: sampling_period (initial (spring 2010) and final (autumn 2011))</t>
  </si>
  <si>
    <t>Total cover (COV)</t>
  </si>
  <si>
    <t>m²</t>
  </si>
  <si>
    <t>Relative growth in height (ΔH)</t>
  </si>
  <si>
    <t>uniteless (ratio)</t>
  </si>
  <si>
    <t>post‑fire management;species;interaction(post-fire management * species);sampling period</t>
  </si>
  <si>
    <t>moderator_type: sampling period (after first summer 2010, after secnd summer 2011, whole study (2010-2011))</t>
  </si>
  <si>
    <t>Relative growth in cover (ΔCOV)</t>
  </si>
  <si>
    <t>Net photosynthetic ratio (A)</t>
  </si>
  <si>
    <t>μmol/m² x s</t>
  </si>
  <si>
    <t>post‑fire management;species;interaction(post-fire management * species)</t>
  </si>
  <si>
    <t>Transpiration ratio (E)</t>
  </si>
  <si>
    <t>mmol/m² x s</t>
  </si>
  <si>
    <t>Stomatal conductance (gs)</t>
  </si>
  <si>
    <t>mol H₂O/m² x s</t>
  </si>
  <si>
    <t>Water use efficiency (WUE = A/E)</t>
  </si>
  <si>
    <t>Proportion of sound cones per pine</t>
  </si>
  <si>
    <t>proportion (0 to 1)</t>
  </si>
  <si>
    <t>fire severity;management</t>
  </si>
  <si>
    <t>moderator_type: management (thinning vs control)</t>
  </si>
  <si>
    <t>Overall crop size of sound cone</t>
  </si>
  <si>
    <t>cones/ha</t>
  </si>
  <si>
    <t>Number of full seeds per sound cone</t>
  </si>
  <si>
    <t>point;plot</t>
  </si>
  <si>
    <t>sampling_type:  7 cones per 5 pines in 6 plots</t>
  </si>
  <si>
    <t>Germination percentage of seeds from sound cones</t>
  </si>
  <si>
    <t>sampling_type: Petri dishes, 15 seeds per tree</t>
  </si>
  <si>
    <t>Seedling density of Pinus halepensis</t>
  </si>
  <si>
    <t>slope;sound cone crop size</t>
  </si>
  <si>
    <t>Resprouting height (maximum sprout height)</t>
  </si>
  <si>
    <t>fire severity;species;stump number;stump surface</t>
  </si>
  <si>
    <t>moderator_type: stump surface = basal area</t>
  </si>
  <si>
    <t>Resprouting cover (crown cover)</t>
  </si>
  <si>
    <t>cm²</t>
  </si>
  <si>
    <t>Resprouting biovolume</t>
  </si>
  <si>
    <t>dm³</t>
  </si>
  <si>
    <t>Wood dry weight remaining</t>
  </si>
  <si>
    <t>physical properties</t>
  </si>
  <si>
    <t>tree</t>
  </si>
  <si>
    <t>year, site (species)</t>
  </si>
  <si>
    <t>sampling_type:Discs from experimental logs</t>
  </si>
  <si>
    <t>N concentration in dead (burned) wood</t>
  </si>
  <si>
    <t>_x000D_
sampling_type:Sawdust from wood discs</t>
  </si>
  <si>
    <t>C concentration in dead (burned) wood</t>
  </si>
  <si>
    <t>sampling_type:Sawdust from wood discs</t>
  </si>
  <si>
    <t>P concentration in dead (burned) wood</t>
  </si>
  <si>
    <t>mg kg⁻¹</t>
  </si>
  <si>
    <t>N remaining</t>
  </si>
  <si>
    <t>g kg⁻¹</t>
  </si>
  <si>
    <t>C remaining</t>
  </si>
  <si>
    <t>P remaining</t>
  </si>
  <si>
    <t>C/N</t>
  </si>
  <si>
    <t>dimensionless</t>
  </si>
  <si>
    <t>sampling_type:Calculated from C and N concentration in wood</t>
  </si>
  <si>
    <t>Pine seedling / sapling density</t>
  </si>
  <si>
    <t>nr m⁻²</t>
  </si>
  <si>
    <t>2008_10</t>
  </si>
  <si>
    <t>Crown consuption (high, low)</t>
  </si>
  <si>
    <t>sampling_type:Plot (25 m²)</t>
  </si>
  <si>
    <t>diameter of standing trees</t>
  </si>
  <si>
    <t>standing trees</t>
  </si>
  <si>
    <t>Pine seed input (cone density)</t>
  </si>
  <si>
    <t>nr cones m⁻²</t>
  </si>
  <si>
    <t>2008_08</t>
  </si>
  <si>
    <t>measure_date: ago 2008 (post-fire);march 2009 (post-logging)sampling_type:Plot (25 m²)</t>
  </si>
  <si>
    <t>Crown consuption (high, low), fire severity (according to different indices), pine seed input (post fire and post harvest), , ground cover (% bare soil, % ash, %litter)</t>
  </si>
  <si>
    <t>Pine sapling height</t>
  </si>
  <si>
    <t>2011_08</t>
  </si>
  <si>
    <t>Understory vegetation cover (resprouting)</t>
  </si>
  <si>
    <t>% cover</t>
  </si>
  <si>
    <t>2010_03</t>
  </si>
  <si>
    <t>Understory vegetation cover (germinating)</t>
  </si>
  <si>
    <t>Woody species cover</t>
  </si>
  <si>
    <t>1991</t>
  </si>
  <si>
    <t>Land-use history;species</t>
  </si>
  <si>
    <t>Woody species cover differentiated by  species_x000D_
sampling_type:Transect (line-intercept method, 10 x 5 m) in plots</t>
  </si>
  <si>
    <t>Pteridium aquilinum cover</t>
  </si>
  <si>
    <t>Land-use history</t>
  </si>
  <si>
    <t>sampling_type:Transect (line-intercept method, 10 x 5 m) in plots</t>
  </si>
  <si>
    <t>Herbaceous cover index</t>
  </si>
  <si>
    <t>Cover index (scale 1-9)</t>
  </si>
  <si>
    <t>Herbaceus cover index differenting by family (comositae, Graminae, Leguminosae) and aggregating by terophytes and hemicryptophytes_x000D_
sampling_type:Squares (50 per plot, 30 cm x 30 cm)</t>
  </si>
  <si>
    <t>Land-use history;species family</t>
  </si>
  <si>
    <t>Diff by woody species, graminae, compositae, leguminosaae_x000D_
sampling_type:Squares (50 per plot, 30 cm x 30 cm)</t>
  </si>
  <si>
    <t>Shannon’s diversity index (H’) - herbaceous species</t>
  </si>
  <si>
    <t>Dimensionless</t>
  </si>
  <si>
    <t>sampling_type:Squares (50 per plot, 30 cm x 30 cm)</t>
  </si>
  <si>
    <t>Evenness index (J’) - herbaceus species</t>
  </si>
  <si>
    <t>Regeneration Index (RI)</t>
  </si>
  <si>
    <t>seedlings m⁻²</t>
  </si>
  <si>
    <t>1985_07</t>
  </si>
  <si>
    <t>Position on hillside (upper, middle, low), Slope, Fire recurrence, Site, Exposure</t>
  </si>
  <si>
    <t>sampling_type:Plot sub-sampling (10 squares of 1 m² per 100 m² plot)</t>
  </si>
  <si>
    <t>Seedling height</t>
  </si>
  <si>
    <t>cm (classes: 1-30, 31-60, &gt;60)</t>
  </si>
  <si>
    <t>Time since fire, Position on hillside</t>
  </si>
  <si>
    <t>Seedling age</t>
  </si>
  <si>
    <t>Time since fire, Fire recurrence (single vs. double fire)</t>
  </si>
  <si>
    <t>Total density</t>
  </si>
  <si>
    <t>stems ha⁻¹</t>
  </si>
  <si>
    <t>1996</t>
  </si>
  <si>
    <t>Aspect, Distance to unburned forest</t>
  </si>
  <si>
    <t>sampling_type:Circular plot (5-m radius) in 50m long transect</t>
  </si>
  <si>
    <t>Oak density</t>
  </si>
  <si>
    <t>Total basal area</t>
  </si>
  <si>
    <t>m² ha⁻¹</t>
  </si>
  <si>
    <t>Pine basal area</t>
  </si>
  <si>
    <t>Oak basal area</t>
  </si>
  <si>
    <t>Minimum pine age</t>
  </si>
  <si>
    <t>Maximum pine age</t>
  </si>
  <si>
    <t>Pine age distribution (skewness)</t>
  </si>
  <si>
    <t>Maximum pine and oak height</t>
  </si>
  <si>
    <t>Height difference pine/oak</t>
  </si>
  <si>
    <t>sampling_type:Calculation from plot data</t>
  </si>
  <si>
    <t>Mean pine annual height growth</t>
  </si>
  <si>
    <t>cm year⁻¹</t>
  </si>
  <si>
    <t>sampling_type:Calculation (Total height / Age)</t>
  </si>
  <si>
    <t>Mean oak annual height growth</t>
  </si>
  <si>
    <t>1999_06</t>
  </si>
  <si>
    <t>Time since fire, , burnt vs unburnt</t>
  </si>
  <si>
    <t>measure_date: mesured in 10, 20, 28, 34, 46 and 57 months after the fire in burnt areas_x000D_
sampling_type:five 50m2 plots per land use in a 0,5 x 0,5 m grid covering the entire plots</t>
  </si>
  <si>
    <t>2005_05</t>
  </si>
  <si>
    <t>slope aspect, time since fire</t>
  </si>
  <si>
    <t>sampling_type:Vertical photos 10m2 plots</t>
  </si>
  <si>
    <t>NBR value (mean)</t>
  </si>
  <si>
    <t>Forest type, days after fire, severity</t>
  </si>
  <si>
    <t>sampling_type:pixel level</t>
  </si>
  <si>
    <t>season length</t>
  </si>
  <si>
    <t>months</t>
  </si>
  <si>
    <t>forest type, severity</t>
  </si>
  <si>
    <t>season amplitude</t>
  </si>
  <si>
    <t>NBR post fires values</t>
  </si>
  <si>
    <t>2022_04</t>
  </si>
  <si>
    <t>pre-fire NBR, NBR drop due tu fire, reburn (recurrence vs no recurrence), elevation, aspect, slope, monthly mean tempearture minimum, monthly precipitation, annual precipitation)</t>
  </si>
  <si>
    <t>Count (number of species)</t>
  </si>
  <si>
    <t>monitoring cycles</t>
  </si>
  <si>
    <t>season: late winter; sampling_type:100 m2 permanent plots</t>
  </si>
  <si>
    <t>Species coverage</t>
  </si>
  <si>
    <t>Temporal turnover (species turnover metrics)</t>
  </si>
  <si>
    <t>Temporal turnover (species turnover composition component)</t>
  </si>
  <si>
    <t>Temporal turnover (species turnover abundance component)</t>
  </si>
  <si>
    <t>Coefficient of cover variation of vascular plants</t>
  </si>
  <si>
    <t>Leaf area</t>
  </si>
  <si>
    <t>mm2</t>
  </si>
  <si>
    <t>dispersal ability variation over time</t>
  </si>
  <si>
    <t>dispersal ability categoty (low, moderate, high)</t>
  </si>
  <si>
    <t>CSR strategies</t>
  </si>
  <si>
    <t>(C%, R%, S%)</t>
  </si>
  <si>
    <t>CRS strategies: : ruderal (R-selection), competitive (C-selection), and stress-tolerant (S-selection). Ruderal are those species adapted to environments with high disturbance but low stress, and therefore they colonize areas that are rich in nutrients and other resources after disturbance. Ruderal plants are often considered “early successional” and are commonly annual or biennial herbs. Plant species that survive in relatively stable, productive habitats are included in the C-selected group while those who protect metabolic performance in variable environments by investing mainly in the capacity to retain resources are defined as S-selected</t>
  </si>
  <si>
    <t>Tree survival</t>
  </si>
  <si>
    <t>crown damage, location</t>
  </si>
  <si>
    <t>sampling_type: seleccionan árboles en varias zonas. Muestreo estratificado por zona y nivel de daño</t>
  </si>
  <si>
    <t>Cone production</t>
  </si>
  <si>
    <t>number</t>
  </si>
  <si>
    <t>tree size, crown damage, tree location,zone, year</t>
  </si>
  <si>
    <t>percent of years when trees produced cones</t>
  </si>
  <si>
    <t>tree size, crown damage, tree location, zone, island size</t>
  </si>
  <si>
    <t>Plant height</t>
  </si>
  <si>
    <t>1994_05 (3 months after fire - site 1); 1994_09 ( 3 months after fire - site 1)</t>
  </si>
  <si>
    <t>fire season; aspect; time</t>
  </si>
  <si>
    <t>measure_date: every 3 months, until December 1996</t>
  </si>
  <si>
    <t>Plant diameter</t>
  </si>
  <si>
    <t>fire season; aspect; time; prefire plant diameter</t>
  </si>
  <si>
    <t>trees/m2</t>
  </si>
  <si>
    <t>Number of previous fires, time since last fire, fire season, time interval between successive fires</t>
  </si>
  <si>
    <t>sampling_type: 	_x000D_
Plot (100 x 1 m2 random squares per site)</t>
  </si>
  <si>
    <t>Radial growth (Basal area increment)</t>
  </si>
  <si>
    <t>Spring</t>
  </si>
  <si>
    <t>height, NCI (neighborhood effect), BA 2012, age, size calss</t>
  </si>
  <si>
    <t>SPEI</t>
  </si>
  <si>
    <t>measure_date: 2012-2016</t>
  </si>
  <si>
    <t>No. of living seedlings (Pn)</t>
  </si>
  <si>
    <t>Reflectance, spectral indices, 1rd &amp; 2rd textures, recurrence, severity</t>
  </si>
  <si>
    <t>sampling_type: plot (2 x 2 m)</t>
  </si>
  <si>
    <t>No. of dead seedlings (dPn)</t>
  </si>
  <si>
    <t>Summer</t>
  </si>
  <si>
    <t>Average height of living seedlings (Ph)</t>
  </si>
  <si>
    <t>Maximum height of living seedlings (Pmaxh)</t>
  </si>
  <si>
    <t>Minimum height of living seedlings (Pminh)</t>
  </si>
  <si>
    <t>Cover of seedlings (Pcov)</t>
  </si>
  <si>
    <t>Cover of woody species (Wcov)</t>
  </si>
  <si>
    <t>Maximum height of woody species (Wmaxh)</t>
  </si>
  <si>
    <t>Richness of woody species (Wrich)</t>
  </si>
  <si>
    <t>Cover of herbaceous species (Hcov)</t>
  </si>
  <si>
    <t>Richness of herbaceous species (Hrich)</t>
  </si>
  <si>
    <t>number of regenerated Aleppo pine trees</t>
  </si>
  <si>
    <t>saplings/ha</t>
  </si>
  <si>
    <t>2011-2018</t>
  </si>
  <si>
    <t>prefire climate;prefire geography;prefire topography and soil;prefire overstorey structure;prefire understorey structure;fire severity;post-fire management;post-fire climate;post-fire overstorey structure; post-fire understorey structure; post-fire soil;Time elapsed since fire to pine regeneration sampling</t>
  </si>
  <si>
    <t>vegetation were measured 2 years after each fire (fires from 2009-2016)</t>
  </si>
  <si>
    <t>radial growth</t>
  </si>
  <si>
    <t>tree ring;site</t>
  </si>
  <si>
    <t>initial target tree size;time since fire;local climatic conditions;competition</t>
  </si>
  <si>
    <t>position within the species climatic niche;vegetation cover;soil stoniness;years since fire</t>
  </si>
  <si>
    <t>crown diameter</t>
  </si>
  <si>
    <t>cmol/kg d.w.</t>
  </si>
  <si>
    <t>percentage of green canopy</t>
  </si>
  <si>
    <t>Shade normalized green vegetation fraction image</t>
  </si>
  <si>
    <t>1999_07_01</t>
  </si>
  <si>
    <t>Fire severity</t>
  </si>
  <si>
    <t>Vegetation recovery index</t>
  </si>
  <si>
    <t>Time since fire;fire severity</t>
  </si>
  <si>
    <t>Vegetation cover resilience</t>
  </si>
  <si>
    <t>1999-2011</t>
  </si>
  <si>
    <t>Tree cover fraction</t>
  </si>
  <si>
    <t>1990</t>
  </si>
  <si>
    <t>fire occurrence</t>
  </si>
  <si>
    <t>Background cover fraction</t>
  </si>
  <si>
    <t>Normalised Difference Tree-Shrub Fraction (NDTSF)</t>
  </si>
  <si>
    <t>Richness</t>
  </si>
  <si>
    <t>n species</t>
  </si>
  <si>
    <t>post-fire treatment;time since fire</t>
  </si>
  <si>
    <t>Evenness</t>
  </si>
  <si>
    <t>number of individuals of each species</t>
  </si>
  <si>
    <t>Diversity</t>
  </si>
  <si>
    <t>Shannon index</t>
  </si>
  <si>
    <t>Abundance of early colonisers</t>
  </si>
  <si>
    <t>time since fire;fire intensity;climate;topography;edaphology;vegetation structure</t>
  </si>
  <si>
    <t>Abundance of perennial stayers</t>
  </si>
  <si>
    <t>Abundance of perennial shuttles</t>
  </si>
  <si>
    <t>grass cover</t>
  </si>
  <si>
    <t>post-fire treatment</t>
  </si>
  <si>
    <t>shrub cover</t>
  </si>
  <si>
    <t>n seedlings</t>
  </si>
  <si>
    <t>1993_09</t>
  </si>
  <si>
    <t>plot size;plot shape;post-fire management</t>
  </si>
  <si>
    <t>regeneration index</t>
  </si>
  <si>
    <t>dm/m2</t>
  </si>
  <si>
    <t>viable seedbank density</t>
  </si>
  <si>
    <t>seedlings/m2</t>
  </si>
  <si>
    <t>1995_09</t>
  </si>
  <si>
    <t>distance from trunk; substrate (ash vs soil);species</t>
  </si>
  <si>
    <t>1995_11</t>
  </si>
  <si>
    <t>distance from trunk; ash presence</t>
  </si>
  <si>
    <t>viable annuals seedbank density</t>
  </si>
  <si>
    <t>annuals seedling density</t>
  </si>
  <si>
    <t>sapling height</t>
  </si>
  <si>
    <t>1997_09</t>
  </si>
  <si>
    <t>competition;stem height;species</t>
  </si>
  <si>
    <t>root magnitude</t>
  </si>
  <si>
    <t>number of external links</t>
  </si>
  <si>
    <t>root external pathlenght</t>
  </si>
  <si>
    <t>number of links</t>
  </si>
  <si>
    <t>root altitude</t>
  </si>
  <si>
    <t>specific root length</t>
  </si>
  <si>
    <t>mm/g</t>
  </si>
  <si>
    <t>topological root index</t>
  </si>
  <si>
    <t>topological root trend</t>
  </si>
  <si>
    <t>resprouting ability</t>
  </si>
  <si>
    <t>tagged individuals</t>
  </si>
  <si>
    <t>2004_06</t>
  </si>
  <si>
    <t>fire impact;species</t>
  </si>
  <si>
    <t>number of resprouts</t>
  </si>
  <si>
    <t>n  resprouts</t>
  </si>
  <si>
    <t>pre-fire size of the individuals;species</t>
  </si>
  <si>
    <t>height of the dominanr resprout</t>
  </si>
  <si>
    <t>annual growth</t>
  </si>
  <si>
    <t>cm/year</t>
  </si>
  <si>
    <t>species;growth form (tree vs shrub)</t>
  </si>
  <si>
    <t>presence</t>
  </si>
  <si>
    <t>% of plots</t>
  </si>
  <si>
    <t>fire occurrence;species</t>
  </si>
  <si>
    <t>mean number of plants</t>
  </si>
  <si>
    <t>n plants/ha</t>
  </si>
  <si>
    <t>2002_05</t>
  </si>
  <si>
    <t>post-fire treatment; slope aspect;species</t>
  </si>
  <si>
    <t>mean plant mortality</t>
  </si>
  <si>
    <t>post-fire treatment;species;slope aspect</t>
  </si>
  <si>
    <t>mean crown diameter</t>
  </si>
  <si>
    <t>unitless (-1 to 1)</t>
  </si>
  <si>
    <t>1992_08_17</t>
  </si>
  <si>
    <t>fractional vegetation cover; fire occurrence;time since fire</t>
  </si>
  <si>
    <t>fractional vegetation cover</t>
  </si>
  <si>
    <t>2000_08</t>
  </si>
  <si>
    <t>vegetation index;time since fire</t>
  </si>
  <si>
    <t>pines/ha</t>
  </si>
  <si>
    <t>2005_09</t>
  </si>
  <si>
    <t>age of first reproduction</t>
  </si>
  <si>
    <t>reproduction</t>
  </si>
  <si>
    <t>fire recurrence;height;density</t>
  </si>
  <si>
    <t>total cones</t>
  </si>
  <si>
    <t>cones per pine</t>
  </si>
  <si>
    <t>serotinous cones</t>
  </si>
  <si>
    <t>mature cones</t>
  </si>
  <si>
    <t>immature cones</t>
  </si>
  <si>
    <t>current year cones</t>
  </si>
  <si>
    <t>degree of serotiny</t>
  </si>
  <si>
    <t>cone volume</t>
  </si>
  <si>
    <t>cm3</t>
  </si>
  <si>
    <t>fire recurrence;cone type</t>
  </si>
  <si>
    <t>number of seeds</t>
  </si>
  <si>
    <t>seeds per cone</t>
  </si>
  <si>
    <t>seed weight</t>
  </si>
  <si>
    <t>empty seeds</t>
  </si>
  <si>
    <t>Actual evapotranspiration</t>
  </si>
  <si>
    <t>mm day⁻1</t>
  </si>
  <si>
    <t>remote sensing (Landsat 8)</t>
  </si>
  <si>
    <t>2013_06_20</t>
  </si>
  <si>
    <t>fire ocurrence</t>
  </si>
  <si>
    <t>Latent heat flux</t>
  </si>
  <si>
    <t>Evapotranspiration difference</t>
  </si>
  <si>
    <t>Vegetation density</t>
  </si>
  <si>
    <t>plants/m²</t>
  </si>
  <si>
    <t>Zone (Deposition/Erosion), Site, Year</t>
  </si>
  <si>
    <t>Net Ecosystem Exchange (NEE)</t>
  </si>
  <si>
    <t>µmol m⁻² s⁻¹</t>
  </si>
  <si>
    <t>Tower (eddy-covariance)</t>
  </si>
  <si>
    <t>Rainfall, temperature, net radiation, soil moisture, dew formation</t>
  </si>
  <si>
    <t>Gross Primary Production (Assimilation)</t>
  </si>
  <si>
    <t>Net radiation, temperature</t>
  </si>
  <si>
    <t>Ecosystem Respiration</t>
  </si>
  <si>
    <t>Soil temperature, soil volumetric water content (VWC)</t>
  </si>
  <si>
    <t>Relative abundance</t>
  </si>
  <si>
    <t>1995_01</t>
  </si>
  <si>
    <t>species;fire severity;time since fire</t>
  </si>
  <si>
    <t>Grouped response variable. No statistical test</t>
  </si>
  <si>
    <t>plant cover</t>
  </si>
  <si>
    <t>transects within plots</t>
  </si>
  <si>
    <t>pre-fire stand age;pre-fire management;aspect;plant reproductive traits;life forms</t>
  </si>
  <si>
    <t>no. of species</t>
  </si>
  <si>
    <t>pre-fire stand age;pre-fire management;aspect;pH;Electrical conductivity;total organic carbon;available water;soil water content;Basal Soil Respiration;cumulative basal soil respiration;Deshydrogenase activity;urease activity;alkaline phosphatase activity;β-glucosidase activity;plant diversity</t>
  </si>
  <si>
    <t>Shannon–Wiener diversity index (H’)</t>
  </si>
  <si>
    <t>Unitless</t>
  </si>
  <si>
    <t>pre-fire stand age;pre-fire management;aspect;pH;Electrical conductivity;total organic carbon;available water;soil water content;Basal Soil Respiration;cumulative basal soil respiration;Deshydrogenase activity;urease activity;alkaline phosphatase activity;β-glucosidase activity;plant diversity;plant richness</t>
  </si>
  <si>
    <t>linear transects in rectangular plots</t>
  </si>
  <si>
    <t>2018_12</t>
  </si>
  <si>
    <t>mulching treatment;silvicultural treatment</t>
  </si>
  <si>
    <t>results reported by site</t>
  </si>
  <si>
    <t>leave-covered shoot length</t>
  </si>
  <si>
    <t>root length</t>
  </si>
  <si>
    <t>leave-covered shoot dry weight</t>
  </si>
  <si>
    <t>stem dry weight</t>
  </si>
  <si>
    <t>root dry weight</t>
  </si>
  <si>
    <t>shoot:root ratio</t>
  </si>
  <si>
    <t>quadrats within subplots within plots</t>
  </si>
  <si>
    <t>time since fire;fire frequency;burn severity;cover of understory</t>
  </si>
  <si>
    <t>pine seedling cover</t>
  </si>
  <si>
    <t>pine seedlings height</t>
  </si>
  <si>
    <t>shrub species richness</t>
  </si>
  <si>
    <t>circular subplots within circular plots</t>
  </si>
  <si>
    <t>biogeographic region;forest type (mono-specific eucalypt plantation; mono-specific maritime pine plantation; mixed eucalypt-pine stand);occurrence of soil tillage;occurrence of tree harvesting;occurrence of shrub clearance;slope;elevation</t>
  </si>
  <si>
    <t>sites were samples between the winter of 2010 and the late spring of 2012</t>
  </si>
  <si>
    <t>biogeographic region;forest type (mono-specific eucalypt plantation; mono-specific maritime pine plantation; mixed eucalypt-pine stand);occurrence of soil tillage;occurrence of tree harvesting;occurrence of shrub clearance;slope;elevation;reproductive functional group</t>
  </si>
  <si>
    <t>shrub cover by reproductive functional group</t>
  </si>
  <si>
    <t>shrub cover by family</t>
  </si>
  <si>
    <t>biogeographic region;forest type (mono-specific eucalypt plantation; mono-specific maritime pine plantation; mixed eucalypt-pine stand);occurrence of soil tillage;occurrence of tree harvesting;occurrence of shrub clearance;slope;elevation;shrub family</t>
  </si>
  <si>
    <t>squared plots in belt transects</t>
  </si>
  <si>
    <t>2010_04</t>
  </si>
  <si>
    <t>age after fire;distance to unburned patches;heat load index;number of mature surviving trees;height and dbh of mature surviving trees;no. of fires;vegetation cover (ferns, herbs, coarse woody debris, stones, bare soil and litter)</t>
  </si>
  <si>
    <t>three-year long period, starting from April 2010 to September 2012. They record seedlings and sapling but then they analyze everything together. Also they do different models but I include all moderators in one row</t>
  </si>
  <si>
    <t>estructura</t>
  </si>
  <si>
    <t>volume</t>
  </si>
  <si>
    <t>age</t>
  </si>
  <si>
    <t>biomass</t>
  </si>
  <si>
    <t>weight</t>
  </si>
  <si>
    <t>length</t>
  </si>
  <si>
    <t>width</t>
  </si>
  <si>
    <t>recompte</t>
  </si>
  <si>
    <t>abundancia</t>
  </si>
  <si>
    <t>similarity</t>
  </si>
  <si>
    <t>occurrence</t>
  </si>
  <si>
    <t>evenness</t>
  </si>
  <si>
    <t>seed production</t>
  </si>
  <si>
    <t>shoot parameters</t>
  </si>
  <si>
    <t>nutrient concentration (isotopes and others)</t>
  </si>
  <si>
    <t>regeneration measured through growth, resprouting, and cone or seed parameters (height, diameter, weight).</t>
  </si>
  <si>
    <t>funcitonal traits</t>
  </si>
  <si>
    <t>regulation services</t>
  </si>
  <si>
    <t>NBR / BRR</t>
  </si>
  <si>
    <t>Other recovery indexes (EVI, VARI, RVI, RR, IV) and indicators</t>
  </si>
  <si>
    <t>Land cover and composition changes</t>
  </si>
  <si>
    <t>variable resposta</t>
  </si>
  <si>
    <t>subtipus variable</t>
  </si>
  <si>
    <t>sediment yield</t>
  </si>
  <si>
    <t>hydrological processes</t>
  </si>
  <si>
    <t>Mg / ha · year</t>
  </si>
  <si>
    <t>soil</t>
  </si>
  <si>
    <t>erosion</t>
  </si>
  <si>
    <t>2016_06</t>
  </si>
  <si>
    <t>se_management type;ground cover;precipitation (depth, intensity);canopy closure;time</t>
  </si>
  <si>
    <t>bulk density</t>
  </si>
  <si>
    <t>g / cm3</t>
  </si>
  <si>
    <t>soil depth;se_management type;time</t>
  </si>
  <si>
    <t>Hydraulic conductivity (Kfs)</t>
  </si>
  <si>
    <t>mm / hr</t>
  </si>
  <si>
    <t>se_management type;time</t>
  </si>
  <si>
    <t>soil water repellency</t>
  </si>
  <si>
    <t>s</t>
  </si>
  <si>
    <t>dead fuel bulk density</t>
  </si>
  <si>
    <t>0-1,3</t>
  </si>
  <si>
    <t>1978</t>
  </si>
  <si>
    <t>runoff</t>
  </si>
  <si>
    <t>mm; %</t>
  </si>
  <si>
    <t>1989_10_10</t>
  </si>
  <si>
    <t>rainfall intensity;vegetation cover;slope;soil exposure;fire intensity</t>
  </si>
  <si>
    <t>g / m2</t>
  </si>
  <si>
    <t>soil respiration</t>
  </si>
  <si>
    <t>CO2 flux (μmol / m · s)</t>
  </si>
  <si>
    <t>soil water content</t>
  </si>
  <si>
    <t>% vol.</t>
  </si>
  <si>
    <t>soil loss</t>
  </si>
  <si>
    <t>total organic carbon</t>
  </si>
  <si>
    <t>aggreggate stability in water</t>
  </si>
  <si>
    <t>soil hydraulic conductivity</t>
  </si>
  <si>
    <t>mm / h</t>
  </si>
  <si>
    <t>pH</t>
  </si>
  <si>
    <t>0-14</t>
  </si>
  <si>
    <t>2015_06</t>
  </si>
  <si>
    <t>year;burn severity;plant recovery</t>
  </si>
  <si>
    <t>Electrical conductivity</t>
  </si>
  <si>
    <t>dS / m</t>
  </si>
  <si>
    <t>cation exchange capacity</t>
  </si>
  <si>
    <t>meq / 100 g</t>
  </si>
  <si>
    <t>N</t>
  </si>
  <si>
    <t>ppm</t>
  </si>
  <si>
    <t>P</t>
  </si>
  <si>
    <t>Na</t>
  </si>
  <si>
    <t>Mg</t>
  </si>
  <si>
    <t>C org.</t>
  </si>
  <si>
    <t>g / kg</t>
  </si>
  <si>
    <t>microbial quotient</t>
  </si>
  <si>
    <t>urease activity</t>
  </si>
  <si>
    <t>μmol NH4 / g · h</t>
  </si>
  <si>
    <t>glucosidae activity</t>
  </si>
  <si>
    <t>μmol PNP / g · h</t>
  </si>
  <si>
    <t>basal soil respiration</t>
  </si>
  <si>
    <t>mg CO2- / kg soil · h</t>
  </si>
  <si>
    <t>soil erosion rate</t>
  </si>
  <si>
    <t>2003_06</t>
  </si>
  <si>
    <t>soil surface compaction rate</t>
  </si>
  <si>
    <t>plots;transects;points</t>
  </si>
  <si>
    <t>2003_02</t>
  </si>
  <si>
    <t>water infiltration rate</t>
  </si>
  <si>
    <t>ml / mn</t>
  </si>
  <si>
    <t>2004_02</t>
  </si>
  <si>
    <t>run‐off</t>
  </si>
  <si>
    <t>m3 /s</t>
  </si>
  <si>
    <t>remote sensing;hydrological models</t>
  </si>
  <si>
    <t>land‐cover change;rainfall events;forest type</t>
  </si>
  <si>
    <t>forest floor standing weight</t>
  </si>
  <si>
    <t>ecosystem processes</t>
  </si>
  <si>
    <t>g/m2</t>
  </si>
  <si>
    <t>plots;points</t>
  </si>
  <si>
    <t>the weight is measured to know the regeneration of organic soil horizons</t>
  </si>
  <si>
    <t>organic carbon</t>
  </si>
  <si>
    <t>%, g/m2</t>
  </si>
  <si>
    <t>time since fire;species</t>
  </si>
  <si>
    <t>total nitrogen</t>
  </si>
  <si>
    <t>C/N ratio</t>
  </si>
  <si>
    <t>Titanium (Ti) and Zirconium (Zr)</t>
  </si>
  <si>
    <t>counts/cts</t>
  </si>
  <si>
    <t>climate;human impacts;vegetation cover</t>
  </si>
  <si>
    <t>measured as a proxy of sediment historical deliveries</t>
  </si>
  <si>
    <t>organic carbon content</t>
  </si>
  <si>
    <t>2020_07</t>
  </si>
  <si>
    <t>N content</t>
  </si>
  <si>
    <t>C / N ratio</t>
  </si>
  <si>
    <t>range (10 - 17,5)</t>
  </si>
  <si>
    <t>temperature</t>
  </si>
  <si>
    <t>Celsius degrees</t>
  </si>
  <si>
    <t>water content</t>
  </si>
  <si>
    <t>2022_06</t>
  </si>
  <si>
    <t>electrical conductivity</t>
  </si>
  <si>
    <t>(mmhos/cm))</t>
  </si>
  <si>
    <t>organic matter content</t>
  </si>
  <si>
    <t>total nitrogen content</t>
  </si>
  <si>
    <t>topsoil moisture</t>
  </si>
  <si>
    <t>2021_12</t>
  </si>
  <si>
    <t>year; vegetation recovery</t>
  </si>
  <si>
    <t>temperature range</t>
  </si>
  <si>
    <t>vegetation recovery; year</t>
  </si>
  <si>
    <t>Instantaneous soil heat flux (Gi)</t>
  </si>
  <si>
    <t>W / m2</t>
  </si>
  <si>
    <t>composite sampling</t>
  </si>
  <si>
    <t>2007_02</t>
  </si>
  <si>
    <t>soil organic matter content</t>
  </si>
  <si>
    <t>microbial biomass</t>
  </si>
  <si>
    <t>μg Cmic​ / g</t>
  </si>
  <si>
    <t>fire regimes; SOM; TOC; nutrients</t>
  </si>
  <si>
    <t>net ammonification (NH4+ - N)</t>
  </si>
  <si>
    <t>mg / kg</t>
  </si>
  <si>
    <t>net nitrification (NO3- - N)</t>
  </si>
  <si>
    <t>microbial available C-substrate</t>
  </si>
  <si>
    <t>nutrients; SOM</t>
  </si>
  <si>
    <t>enzyme activity</t>
  </si>
  <si>
    <t>mU / g dry soil</t>
  </si>
  <si>
    <t>available phosporus (PO43 - P)</t>
  </si>
  <si>
    <t>C organic</t>
  </si>
  <si>
    <t>g C / kg dry soil</t>
  </si>
  <si>
    <t>08_2005</t>
  </si>
  <si>
    <t>soil nitrogen (Nk)</t>
  </si>
  <si>
    <t>g N / kg dry soil</t>
  </si>
  <si>
    <t>DOC (disolved organic carbon)</t>
  </si>
  <si>
    <t>available P</t>
  </si>
  <si>
    <t>g P / kg dry soil</t>
  </si>
  <si>
    <t>microbial biomass carbon</t>
  </si>
  <si>
    <t>μg C / g dry soil</t>
  </si>
  <si>
    <t>microbial activity (respiration)</t>
  </si>
  <si>
    <t>μg CO2 / h· g</t>
  </si>
  <si>
    <t>microbial community abundance (aerobic bacteria, actinomycetes, and spore formers)</t>
  </si>
  <si>
    <t>CFU /g</t>
  </si>
  <si>
    <t>fungal species composition</t>
  </si>
  <si>
    <t>plots; composite sampling</t>
  </si>
  <si>
    <t>2021_06_22</t>
  </si>
  <si>
    <t>burn severity; fire recurrence; time after fire</t>
  </si>
  <si>
    <t>fungal species relative abundance</t>
  </si>
  <si>
    <t>fungal species richness</t>
  </si>
  <si>
    <t>fungal species eveness (Camargo's Index)</t>
  </si>
  <si>
    <t>mg C-CO2 / Kg soil · h</t>
  </si>
  <si>
    <t>burn severity; time after fire; season</t>
  </si>
  <si>
    <t>soil infiltration</t>
  </si>
  <si>
    <t>soil water repellency (WDPT)</t>
  </si>
  <si>
    <t>soil pH</t>
  </si>
  <si>
    <t>μS / cm</t>
  </si>
  <si>
    <t>SOM</t>
  </si>
  <si>
    <t>% dry soil</t>
  </si>
  <si>
    <t>P content</t>
  </si>
  <si>
    <t>Corg soluble</t>
  </si>
  <si>
    <t>mg C / kg soil</t>
  </si>
  <si>
    <t>enzymatic activity</t>
  </si>
  <si>
    <t>μmol p-NP / g soil · h</t>
  </si>
  <si>
    <t>exchangeable cations (Ca, K, Na, Mg)</t>
  </si>
  <si>
    <t>meq 100 / g</t>
  </si>
  <si>
    <t>CEC(cation exchange capacity)</t>
  </si>
  <si>
    <t>single sampling</t>
  </si>
  <si>
    <t>soil depth; slope; aspect</t>
  </si>
  <si>
    <t>inorganic C</t>
  </si>
  <si>
    <t>organic C</t>
  </si>
  <si>
    <t>plot; composite sampling</t>
  </si>
  <si>
    <t>2019_09</t>
  </si>
  <si>
    <t>water soluble carbohydrates</t>
  </si>
  <si>
    <t>extractable trace elements (Fe, Zn, Cu, Mn)</t>
  </si>
  <si>
    <t>potential pollutants (Ni, Cr, Pb, Cd)</t>
  </si>
  <si>
    <t>basal respiration</t>
  </si>
  <si>
    <t>mg CO2 / h · kg</t>
  </si>
  <si>
    <t>management_type; organic carbon; total nitrogen; available phosphorus; electrical conductivity; micronutrients; potencial pollutants</t>
  </si>
  <si>
    <t>mg C / kg</t>
  </si>
  <si>
    <t>mineralizing C capacity (index)</t>
  </si>
  <si>
    <t>range (0-6)</t>
  </si>
  <si>
    <t>C descomposition efficiency (index)</t>
  </si>
  <si>
    <t>2020_10</t>
  </si>
  <si>
    <t>vegetation type;fire ocurrence</t>
  </si>
  <si>
    <t>% d.w.</t>
  </si>
  <si>
    <t>total C</t>
  </si>
  <si>
    <t>total N</t>
  </si>
  <si>
    <t>total P</t>
  </si>
  <si>
    <t>Corg</t>
  </si>
  <si>
    <t>nitrite (NO2-)</t>
  </si>
  <si>
    <t>mg / kg d.w.</t>
  </si>
  <si>
    <t>amonium (NH4+)</t>
  </si>
  <si>
    <t>bacterial rDNA</t>
  </si>
  <si>
    <t>nanograms of sequence per g of soil (ng /g)</t>
  </si>
  <si>
    <t>not measures nº individuals, is for community trend</t>
  </si>
  <si>
    <t>fungal rDNA</t>
  </si>
  <si>
    <t>microarthropods richness</t>
  </si>
  <si>
    <t>mean nº taxons / site</t>
  </si>
  <si>
    <t>microarthropods density</t>
  </si>
  <si>
    <t>nº individuals / m2 soil</t>
  </si>
  <si>
    <t>microarthropods relative abundance</t>
  </si>
  <si>
    <t>microarthropods diversity index</t>
  </si>
  <si>
    <t>p. (0-1,5)</t>
  </si>
  <si>
    <t>microarthropods eveness index</t>
  </si>
  <si>
    <t>soil biological quality index</t>
  </si>
  <si>
    <t>range 0-100</t>
  </si>
  <si>
    <t>microarthropod community vertical distribution</t>
  </si>
  <si>
    <t>humic acids TOC</t>
  </si>
  <si>
    <t>mg / g DM</t>
  </si>
  <si>
    <t>plot;composite sampling</t>
  </si>
  <si>
    <t>2006_05</t>
  </si>
  <si>
    <t>fire regime;soil depth</t>
  </si>
  <si>
    <t>fluvic fractions TOC</t>
  </si>
  <si>
    <t>total humic substances TOC</t>
  </si>
  <si>
    <t>humic substance index 1</t>
  </si>
  <si>
    <t>humic acids / fluvic acids index</t>
  </si>
  <si>
    <t>humic substance index 2</t>
  </si>
  <si>
    <t>fluvic acids / no humified fraction index</t>
  </si>
  <si>
    <t>humic acids spectral index</t>
  </si>
  <si>
    <t>band height (cm-1)</t>
  </si>
  <si>
    <t>fluvic fractions spectral index</t>
  </si>
  <si>
    <t>non humified fraction spectral index</t>
  </si>
  <si>
    <t>fungal mycorrhizal richness</t>
  </si>
  <si>
    <t>nº taxons</t>
  </si>
  <si>
    <t>plot; single sampling</t>
  </si>
  <si>
    <t>succession postfire stage</t>
  </si>
  <si>
    <t>fungal saprotrophic richness</t>
  </si>
  <si>
    <t>fungal edible species richness</t>
  </si>
  <si>
    <t>fresh weigth (fungal production)</t>
  </si>
  <si>
    <t>succession postfire stage;funcitonal groups;edibility</t>
  </si>
  <si>
    <t>CaCO3</t>
  </si>
  <si>
    <t>grain size / texture</t>
  </si>
  <si>
    <t>L</t>
  </si>
  <si>
    <t>forest stand type;rainy event</t>
  </si>
  <si>
    <t>soil erosion</t>
  </si>
  <si>
    <t>g / l</t>
  </si>
  <si>
    <t>runoff sediment concentration</t>
  </si>
  <si>
    <t>specific sediment yield (SSY)</t>
  </si>
  <si>
    <t>management ype;management time</t>
  </si>
  <si>
    <t>Aggregated index of runoff and sediment connectivity (AIC)</t>
  </si>
  <si>
    <t>2014</t>
  </si>
  <si>
    <t>management time;managment_type;subcatchment area;slope;rougness;stream density;C factor;severity;permeability</t>
  </si>
  <si>
    <t>AIC-SSY relationship</t>
  </si>
  <si>
    <t>r coefficient</t>
  </si>
  <si>
    <t>management time</t>
  </si>
  <si>
    <t>dehydrogenase soil enzyme activity</t>
  </si>
  <si>
    <t>μg / INTF</t>
  </si>
  <si>
    <t>plot;single samping</t>
  </si>
  <si>
    <t>2019_01</t>
  </si>
  <si>
    <t>urease enzyme activity</t>
  </si>
  <si>
    <t>μmol / g · h</t>
  </si>
  <si>
    <t>protease enzyme activity</t>
  </si>
  <si>
    <t>β-glucosidase enzyme activity</t>
  </si>
  <si>
    <t>phosphatase enzyme activity</t>
  </si>
  <si>
    <t>total microbial biomass</t>
  </si>
  <si>
    <t>PLFAs (nmol / g)</t>
  </si>
  <si>
    <t>fungii biomass</t>
  </si>
  <si>
    <t>bacteria biomass</t>
  </si>
  <si>
    <t>fungi/bacterial ratio</t>
  </si>
  <si>
    <t>ratio (0,29 - 0,40)</t>
  </si>
  <si>
    <t>prokaryotic richness</t>
  </si>
  <si>
    <t>prokaryotic diversity (Shannon index)</t>
  </si>
  <si>
    <t>range (6-8)</t>
  </si>
  <si>
    <t>prokaryotic diversity (Simpson index) richness</t>
  </si>
  <si>
    <t>range (200-900)</t>
  </si>
  <si>
    <t>prokaryotic eveness (Pielou's index)</t>
  </si>
  <si>
    <t>eukaryotes richness</t>
  </si>
  <si>
    <t>eukaryotes diversity (Shannon index)</t>
  </si>
  <si>
    <t>eukaryotes diversity (Simpson index) richness</t>
  </si>
  <si>
    <t>range (0-11)</t>
  </si>
  <si>
    <t>eukaryotes eveness (Pielou's index)</t>
  </si>
  <si>
    <t>management_type; microbial community structure</t>
  </si>
  <si>
    <t>microbial community composition</t>
  </si>
  <si>
    <t>management_type;soil physicochemical properties</t>
  </si>
  <si>
    <t>microbial respiration</t>
  </si>
  <si>
    <t>Max. CO2-C production mg CO2-C / kg</t>
  </si>
  <si>
    <t>plots;composite sampling</t>
  </si>
  <si>
    <t>2014_05</t>
  </si>
  <si>
    <t>time since fire;TOC;total N;humidity;pH;electrical conductivity;nitrate;ammonium;fungal diversity;bacteria diversity</t>
  </si>
  <si>
    <t>enzymatic activity C (β-glucosidase)</t>
  </si>
  <si>
    <t>µmol PNP / g·h</t>
  </si>
  <si>
    <t>enzymatic activity P (alkaline phosphatase)</t>
  </si>
  <si>
    <t>enzymatic activity N (urease)</t>
  </si>
  <si>
    <t>mg N-NH4+ / g·h</t>
  </si>
  <si>
    <t>microbial community relative abundance</t>
  </si>
  <si>
    <t>relative abundance OTU fractions / transect</t>
  </si>
  <si>
    <t>OTU = Operational Taxonomical Unit</t>
  </si>
  <si>
    <t>fungal community relative abundance</t>
  </si>
  <si>
    <t>bacteria phylogeny</t>
  </si>
  <si>
    <t>tree topology</t>
  </si>
  <si>
    <t>fungal phylogeny</t>
  </si>
  <si>
    <t>2012_09</t>
  </si>
  <si>
    <t>fire frequency;slope position;rainfall</t>
  </si>
  <si>
    <t>initial surface cover</t>
  </si>
  <si>
    <t>plots;gridded quadrats</t>
  </si>
  <si>
    <t>2012_10</t>
  </si>
  <si>
    <t>fire frequency;slope position;rainfall;time</t>
  </si>
  <si>
    <t>categories: ash;bare soil;litter;stone;vegetation. Measured as a factor influencing erosion and runoff, not refered to vegetation.</t>
  </si>
  <si>
    <t>soil moisture</t>
  </si>
  <si>
    <t>plots;sensors</t>
  </si>
  <si>
    <t>time;fire frequency;season</t>
  </si>
  <si>
    <t>classes (1-7)</t>
  </si>
  <si>
    <t>ethanol drops</t>
  </si>
  <si>
    <t>2012_12</t>
  </si>
  <si>
    <t>moisture content;fire frequency;season</t>
  </si>
  <si>
    <t>1 hydrophilic - 7 extreme hydrophobic</t>
  </si>
  <si>
    <t>plots;sampling bottles</t>
  </si>
  <si>
    <t>fire frequency;slope position;soil lmoisture;rain intensity;soil water repellency;soil cover;season</t>
  </si>
  <si>
    <t>organic matter losses</t>
  </si>
  <si>
    <t>fire frequency;slope position;season;rain intensity</t>
  </si>
  <si>
    <t>soil loss - erosion</t>
  </si>
  <si>
    <t>water repellency</t>
  </si>
  <si>
    <t>sampling;wdpt test</t>
  </si>
  <si>
    <t>fire frequency;time since fire;organic matter content</t>
  </si>
  <si>
    <t>average organic matter content</t>
  </si>
  <si>
    <t>sampling</t>
  </si>
  <si>
    <t>fire frequency;time since fire</t>
  </si>
  <si>
    <t>sampling;plots;square</t>
  </si>
  <si>
    <t>fire severity;time since last fire</t>
  </si>
  <si>
    <t>porosity</t>
  </si>
  <si>
    <t>humidity</t>
  </si>
  <si>
    <t>labile C</t>
  </si>
  <si>
    <t>NH4 - mineral N</t>
  </si>
  <si>
    <t>CEC - exchangeable capacity</t>
  </si>
  <si>
    <t>cmolc/ kg</t>
  </si>
  <si>
    <t>exchangeable Na</t>
  </si>
  <si>
    <t>exchangeable K</t>
  </si>
  <si>
    <t>exchangeable Mg</t>
  </si>
  <si>
    <t>exchangeable Ca</t>
  </si>
  <si>
    <t>μg TPF / g · 16h</t>
  </si>
  <si>
    <t>glucosidase soil enzyme activity</t>
  </si>
  <si>
    <t>μmol p-Nitrophenol / g · 16h</t>
  </si>
  <si>
    <t>celulase soil enzyme activity</t>
  </si>
  <si>
    <t>μmol glucose / g · 16h</t>
  </si>
  <si>
    <t>urease soil enzyme activity</t>
  </si>
  <si>
    <t>μg N-NH4+/ g · 16h</t>
  </si>
  <si>
    <t>phosphatase soil enzyme activity</t>
  </si>
  <si>
    <t>microorganisms shannon diversity</t>
  </si>
  <si>
    <t>p. (4 - 7)</t>
  </si>
  <si>
    <t>plots;transects;sampling</t>
  </si>
  <si>
    <t>2008</t>
  </si>
  <si>
    <t>time after fire;pH;available P</t>
  </si>
  <si>
    <t>microorganisms inverse simpson's diversity</t>
  </si>
  <si>
    <t>p. (0 - 300)</t>
  </si>
  <si>
    <t>microorganisms eveness</t>
  </si>
  <si>
    <t>p. (0 - 1)</t>
  </si>
  <si>
    <t>actinobacteria relative abundance</t>
  </si>
  <si>
    <t>proteobacteria relative abundance</t>
  </si>
  <si>
    <t>acidobacteria relative abundance</t>
  </si>
  <si>
    <t>bacteroidetes relative abundance</t>
  </si>
  <si>
    <t>verrucomicrobia relative abundance</t>
  </si>
  <si>
    <t>gemmatimonadetes relative abundance</t>
  </si>
  <si>
    <t>firmicutes relative abundance</t>
  </si>
  <si>
    <t>planctomycetes relative abundance</t>
  </si>
  <si>
    <t>chloroflexi relative abundance</t>
  </si>
  <si>
    <t>minor phylums relative abundance</t>
  </si>
  <si>
    <t>actinobacterial biomass</t>
  </si>
  <si>
    <t>16s rRNA gene copies / g soil</t>
  </si>
  <si>
    <t>prokaryotic biomass</t>
  </si>
  <si>
    <t>living microorganisms - iDNA</t>
  </si>
  <si>
    <t>μg / g soil</t>
  </si>
  <si>
    <t>sampling;transect</t>
  </si>
  <si>
    <t>2011_07</t>
  </si>
  <si>
    <t>time after fire;soil depth</t>
  </si>
  <si>
    <t>dead cells - exDNA</t>
  </si>
  <si>
    <t>iDNA eubacterial community structure</t>
  </si>
  <si>
    <t>groupings</t>
  </si>
  <si>
    <t>exDNA eubacterial community structure</t>
  </si>
  <si>
    <t>iDNA fungal community structure</t>
  </si>
  <si>
    <t>exDNA fungal community structure</t>
  </si>
  <si>
    <t>iDNA fungal community diversity</t>
  </si>
  <si>
    <t>nº of bands</t>
  </si>
  <si>
    <t>exDNA fungal community diversity</t>
  </si>
  <si>
    <t>arylsulfatase enzyme activity</t>
  </si>
  <si>
    <t>Nanomoles of MUF or AMC / min · g dry soil</t>
  </si>
  <si>
    <t>leucine aminopeptidase enzyme activity</t>
  </si>
  <si>
    <t>acid phosphatase enxyme activity</t>
  </si>
  <si>
    <t>alkaline phospatase enxyme activity</t>
  </si>
  <si>
    <t>Beta diversity (Weighted UniFrac distance)</t>
  </si>
  <si>
    <t>plot; composite sample</t>
  </si>
  <si>
    <t>fire severity;ecosystems;time after fire</t>
  </si>
  <si>
    <t>Abundance of Operational Taxonomic Units (OTUs)</t>
  </si>
  <si>
    <t>Abundance of main bacterial taxa (phyla, classes or orders)</t>
  </si>
  <si>
    <t>reads</t>
  </si>
  <si>
    <t>Alpha diversity (Shannon index)</t>
  </si>
  <si>
    <t>ph</t>
  </si>
  <si>
    <t>type of fire( wiildfire or prescribed burning); time after fire; fire severity; Soil layer</t>
  </si>
  <si>
    <t>fire id 2</t>
  </si>
  <si>
    <t>Soil carbon</t>
  </si>
  <si>
    <t>Soil nitrogen</t>
  </si>
  <si>
    <t>Soil phosphorus</t>
  </si>
  <si>
    <t>mg kg−1</t>
  </si>
  <si>
    <t>Soil Organic Carbon (SOC)</t>
  </si>
  <si>
    <t>plot;composite sampling; transect; samples</t>
  </si>
  <si>
    <t>water-stable aggregate</t>
  </si>
  <si>
    <t>g/kg d.w.</t>
  </si>
  <si>
    <t>replicated soil samples</t>
  </si>
  <si>
    <t>soil depth; time since fire; fire type (crown vs surface)</t>
  </si>
  <si>
    <t>Soil organic matter content</t>
  </si>
  <si>
    <t>Microaggregate size distribution</t>
  </si>
  <si>
    <t>nitrogen content</t>
  </si>
  <si>
    <t>sampling; soil core</t>
  </si>
  <si>
    <t>1988_03</t>
  </si>
  <si>
    <t>Time since fire;soil layer;site location;presence of bryophyte turfs</t>
  </si>
  <si>
    <t>Organic matter content</t>
  </si>
  <si>
    <t>1988_02</t>
  </si>
  <si>
    <t>Time since fire;soil layer;site location</t>
  </si>
  <si>
    <t>transects;</t>
  </si>
  <si>
    <t>treatment (burnt/not burnt);time after fire</t>
  </si>
  <si>
    <t>Soil Organic matter</t>
  </si>
  <si>
    <t>2007_09</t>
  </si>
  <si>
    <t>Soil Total N</t>
  </si>
  <si>
    <t>Soil C/N</t>
  </si>
  <si>
    <t>Ca*^2 soil content</t>
  </si>
  <si>
    <t>cmol/kg</t>
  </si>
  <si>
    <t>2010_09</t>
  </si>
  <si>
    <t>Mg soil content</t>
  </si>
  <si>
    <t>2011_09</t>
  </si>
  <si>
    <t>K soil content</t>
  </si>
  <si>
    <t>Na soil content</t>
  </si>
  <si>
    <t>2013_09</t>
  </si>
  <si>
    <t>P soil content</t>
  </si>
  <si>
    <t>mg/kg</t>
  </si>
  <si>
    <t>2014_09</t>
  </si>
  <si>
    <t>Total Carbon (C)</t>
  </si>
  <si>
    <t>plots; samples</t>
  </si>
  <si>
    <t>2017_08</t>
  </si>
  <si>
    <t>Total Nitrogen (N)</t>
  </si>
  <si>
    <t>grams/100gr (%)</t>
  </si>
  <si>
    <t>Soil pH</t>
  </si>
  <si>
    <t>pH units</t>
  </si>
  <si>
    <t>Cation Exchange Capacity (CEC)</t>
  </si>
  <si>
    <t>cmol(+)/kg</t>
  </si>
  <si>
    <t>Exchangeable Calcium</t>
  </si>
  <si>
    <t>Exchangeable Magnesium</t>
  </si>
  <si>
    <t>Exchangeable Sodium (</t>
  </si>
  <si>
    <t>Exchangeable Potassium</t>
  </si>
  <si>
    <t>Organic Matter</t>
  </si>
  <si>
    <t>bacterial family abundance</t>
  </si>
  <si>
    <t>Number of OTUs / relative abundance (%)</t>
  </si>
  <si>
    <t>plot; random samples</t>
  </si>
  <si>
    <t>Total organic carbon (Corg)</t>
  </si>
  <si>
    <t>g kg−1 d.w.</t>
  </si>
  <si>
    <t>Cation exchange capacity (CEC)</t>
  </si>
  <si>
    <t>cmol kg−1 d.w</t>
  </si>
  <si>
    <t>Electrical conductivity (EC)</t>
  </si>
  <si>
    <t>ds m -1</t>
  </si>
  <si>
    <t>ph units</t>
  </si>
  <si>
    <t>Microbial biomass</t>
  </si>
  <si>
    <t>mg g−1 d.w.</t>
  </si>
  <si>
    <t>Fungal abundance</t>
  </si>
  <si>
    <t>Soil respiration</t>
  </si>
  <si>
    <t>mg CO2-C g−1 d.w. d−1</t>
  </si>
  <si>
    <t>Total bare soil</t>
  </si>
  <si>
    <t>soil water contect</t>
  </si>
  <si>
    <t>fire treatment (unburned, control+wildfire, prescribed fire + wildfire)</t>
  </si>
  <si>
    <t>μS cm-1</t>
  </si>
  <si>
    <t>Soil Water Repellency (SWR)</t>
  </si>
  <si>
    <t>WDPT classes (0-6)</t>
  </si>
  <si>
    <t>in the paper it is defined as "Soil function"</t>
  </si>
  <si>
    <t>Mean Weight Diameter (MWD)</t>
  </si>
  <si>
    <t>Water Stability of Aggregates (WSA)</t>
  </si>
  <si>
    <t>Extractable Calcium (Ca)</t>
  </si>
  <si>
    <t>Extractable Magnesium (Mg)</t>
  </si>
  <si>
    <t>Extractable Potassium (K)</t>
  </si>
  <si>
    <t>Available Phosphorus (P)</t>
  </si>
  <si>
    <t>Dissolved Organic Carbon (DOC)</t>
  </si>
  <si>
    <t>Microbial Biomass Carbon (MBC)</t>
  </si>
  <si>
    <t>β-glucosidase activity</t>
  </si>
  <si>
    <t>μmol g⁻¹ h⁻¹</t>
  </si>
  <si>
    <t>Acid phosphatase activity</t>
  </si>
  <si>
    <t>soil multifunctionality</t>
  </si>
  <si>
    <t>fire treatment (unburned, control+wildfire, prescribed fire + wildfire) +</t>
  </si>
  <si>
    <t>4 types of MF calculated depending on: four soil functions: water regu</t>
  </si>
  <si>
    <t>Taxa richness (S)</t>
  </si>
  <si>
    <t>Number of taxa</t>
  </si>
  <si>
    <t>Shannon-Wiener index (H')</t>
  </si>
  <si>
    <t>Index value</t>
  </si>
  <si>
    <t>QBS-ar index</t>
  </si>
  <si>
    <t>n-Fatty acid ratio</t>
  </si>
  <si>
    <t>fire ocurrence (burnt, unburnt)</t>
  </si>
  <si>
    <t>2003 only for the first two fires; 5-6 sub-samples in 20 m2, las propiedades son biogeoquímicas. Muestra otras variables pero solo parcialmente para algunas zonas por lo que no las incluyo</t>
  </si>
  <si>
    <t>n-alkane ratio</t>
  </si>
  <si>
    <t>2003 only for the first two fires; 5-6 sub-samples in 20 m2</t>
  </si>
  <si>
    <t>Soil Organic Matter (SOM)</t>
  </si>
  <si>
    <t>soil cores in each species</t>
  </si>
  <si>
    <t>meq/100 g</t>
  </si>
  <si>
    <t>Total Phosphorus (P)</t>
  </si>
  <si>
    <t>Total Potassium (K)</t>
  </si>
  <si>
    <t>Total Calcium (Ca)</t>
  </si>
  <si>
    <t>Total Magnesium (Mg)</t>
  </si>
  <si>
    <t>Ammonium (NH4+-N)</t>
  </si>
  <si>
    <t>µg g?¹</t>
  </si>
  <si>
    <t>Nitrate (NO3--N)</t>
  </si>
  <si>
    <t>Labile phosphate (PO4 3--P)</t>
  </si>
  <si>
    <t>µg pNP g?¹ h?¹</t>
  </si>
  <si>
    <t>Soil basal respiration rate</t>
  </si>
  <si>
    <t>μg pNP g⁻¹ h⁻¹</t>
  </si>
  <si>
    <t>Acid phosphatase</t>
  </si>
  <si>
    <t>β-Glucosidase</t>
  </si>
  <si>
    <t>Arylsulfatase</t>
  </si>
  <si>
    <t>Foliar N:P ratio</t>
  </si>
  <si>
    <t>Ratio</t>
  </si>
  <si>
    <t>Fire ocurrence and moss presence (unburned, moss, bare)</t>
  </si>
  <si>
    <t>cores in plots</t>
  </si>
  <si>
    <t>μS/cm</t>
  </si>
  <si>
    <t>Organic carbon content</t>
  </si>
  <si>
    <t>Total nitrogen</t>
  </si>
  <si>
    <t>Available phosphorus</t>
  </si>
  <si>
    <t>Aggregate stability</t>
  </si>
  <si>
    <t>Soil moisture</t>
  </si>
  <si>
    <t>Basal soil respiration</t>
  </si>
  <si>
    <t>μg C−CO2​ h−1 g−1 soil</t>
  </si>
  <si>
    <t>Microbial biomass carbon</t>
  </si>
  <si>
    <t>mg C kg−1 soil</t>
  </si>
  <si>
    <t>Urease activity</t>
  </si>
  <si>
    <t>μmol N−NH4+​ g−1 h−1</t>
  </si>
  <si>
    <t>β-Glucosidase activity</t>
  </si>
  <si>
    <t>μmol PNP g−1 h−1</t>
  </si>
  <si>
    <t>Alkaline phosphatase activity</t>
  </si>
  <si>
    <t>Bacterial biomass (PLFAs)</t>
  </si>
  <si>
    <t>nmol g−1</t>
  </si>
  <si>
    <t>Fungal biomass (PLFAs)</t>
  </si>
  <si>
    <t>Arbuscular mycorrhiza biomass (NLFA)</t>
  </si>
  <si>
    <t>Total PLFA</t>
  </si>
  <si>
    <t>Bacterial community composition (Diversity &amp; OTUs)</t>
  </si>
  <si>
    <t>Relative abundance (%), Shannon/Chao1 indices</t>
  </si>
  <si>
    <t>Fungal community composition (Diversity, OTUs &amp; Ecology)</t>
  </si>
  <si>
    <t>Sand</t>
  </si>
  <si>
    <t>plot;point</t>
  </si>
  <si>
    <t>2024_09</t>
  </si>
  <si>
    <t>Silt</t>
  </si>
  <si>
    <t>Clay</t>
  </si>
  <si>
    <t>Conductivity reported too but not in methods</t>
  </si>
  <si>
    <t>Organic carbon</t>
  </si>
  <si>
    <t>Phosphorus</t>
  </si>
  <si>
    <t>mg P2O5 / kg</t>
  </si>
  <si>
    <t>Potasium</t>
  </si>
  <si>
    <t>mg K2O / kg</t>
  </si>
  <si>
    <t>Calcium</t>
  </si>
  <si>
    <t>mg Ca2+ / kg</t>
  </si>
  <si>
    <t>Magnesium</t>
  </si>
  <si>
    <t>mg Mg2+ / kg</t>
  </si>
  <si>
    <t>Sodium</t>
  </si>
  <si>
    <t>mg Na / kg</t>
  </si>
  <si>
    <t>Nitrogen</t>
  </si>
  <si>
    <t>mg NO3-N / kg</t>
  </si>
  <si>
    <t>Bulk density</t>
  </si>
  <si>
    <t>g / cm2</t>
  </si>
  <si>
    <t>Porosity</t>
  </si>
  <si>
    <t>mean weight-diameter</t>
  </si>
  <si>
    <t>infiltration</t>
  </si>
  <si>
    <t>1987_08</t>
  </si>
  <si>
    <t>aspect</t>
  </si>
  <si>
    <t>measuement are taken until December 1988</t>
  </si>
  <si>
    <t>runoff coefficient</t>
  </si>
  <si>
    <t>ectomycorrhizal fungal species frequency</t>
  </si>
  <si>
    <t>tree height;vegetation cover;trunks and branches cover;extent of erosion;soil depth;slope</t>
  </si>
  <si>
    <t>distance from the unburnt pine patches;extent of erosion;vegetation height;pine pre-fire basal area</t>
  </si>
  <si>
    <t>ectomycorrhizal comunities structure</t>
  </si>
  <si>
    <t>ectomycorrhizal phylogenetic diversity</t>
  </si>
  <si>
    <t>ectomycorrhizal root colonization</t>
  </si>
  <si>
    <t>fungal richness</t>
  </si>
  <si>
    <t>fungal diversity (Shannon index)</t>
  </si>
  <si>
    <t>soil organic matter</t>
  </si>
  <si>
    <t>time since fire;assemblage of fungal species</t>
  </si>
  <si>
    <t>carbon-to-nitrogen (C/N) ratio</t>
  </si>
  <si>
    <t>nitrogen</t>
  </si>
  <si>
    <t>iron</t>
  </si>
  <si>
    <t>μg/g</t>
  </si>
  <si>
    <t>annual soil erosion rate</t>
  </si>
  <si>
    <t>t/ha/year</t>
  </si>
  <si>
    <t>gravity check-dam</t>
  </si>
  <si>
    <t>pre vs. Post-fire;time since fire;flood- and erosion-control</t>
  </si>
  <si>
    <t>erosion rate</t>
  </si>
  <si>
    <t>check-dam</t>
  </si>
  <si>
    <t>*not clearly reported in the results</t>
  </si>
  <si>
    <t>pH (KCl)</t>
  </si>
  <si>
    <t>plot; relevé (5x5m); soil sample (upper 10-15cm)</t>
  </si>
  <si>
    <t>Carbonate content</t>
  </si>
  <si>
    <t>Na+</t>
  </si>
  <si>
    <t>mg/l</t>
  </si>
  <si>
    <t>K+</t>
  </si>
  <si>
    <t>Ca2+</t>
  </si>
  <si>
    <t>Mg2+</t>
  </si>
  <si>
    <t>response_units: en las que aparece "NA" es porque los valores están en el suplementario y en el manuscrito no dice nada de las unidades de medida</t>
  </si>
  <si>
    <t>Soil texture</t>
  </si>
  <si>
    <t>% clay, % loam, % sand</t>
  </si>
  <si>
    <t>Calcium carbonate content of limestone</t>
  </si>
  <si>
    <t>Nitrogen (%N)</t>
  </si>
  <si>
    <t>variable_subtype: utilizado como proxy de "nutriente cycling", por eso he puesto "ecological processes", pero no sé si debería ser "chemical properties" o "others"</t>
  </si>
  <si>
    <t>Total P content</t>
  </si>
  <si>
    <t>Total K content</t>
  </si>
  <si>
    <t>Total Ca content</t>
  </si>
  <si>
    <t>Total Na content</t>
  </si>
  <si>
    <t>Soil basal respiration (BR)</t>
  </si>
  <si>
    <t>μg hr−1 g−1 soil</t>
  </si>
  <si>
    <t>variable_subtype: utilizado como proxy de "climate regulation", por eso he puesto "ecosystem services"</t>
  </si>
  <si>
    <t>Soil organic carbon (%OC)</t>
  </si>
  <si>
    <t>Microbial biomass carbon (MBC)</t>
  </si>
  <si>
    <t>Soil water repellence (SWR)</t>
  </si>
  <si>
    <t>variable_subtype: utilizado como proxy de "water regulation", por eso he puesto "ecosystem services"</t>
  </si>
  <si>
    <t>Soil infiltration</t>
  </si>
  <si>
    <t>Soil dehydrogenase activity (SDA)</t>
  </si>
  <si>
    <t>μg INTF g−1 dry soil hr−1</t>
  </si>
  <si>
    <t>variable_subtype: utilizado como proxy de "waste decomposition", por eso he puesto "ecosystem services"</t>
  </si>
  <si>
    <t>μmol N-NH4+ g−1 dry soil hr−1</t>
  </si>
  <si>
    <t>Acid phosphatase (Acid-PA) activity</t>
  </si>
  <si>
    <t>μmol p-NP g−1 dry soil hr−1</t>
  </si>
  <si>
    <t>β-glucosidase (BA) activity</t>
  </si>
  <si>
    <t>Glomalin-related soil protein (GRSP) content</t>
  </si>
  <si>
    <t>variable_subtype: utilizado como proxy de "symbiosis", por eso he puesto "ecological processes"</t>
  </si>
  <si>
    <t>Root biomass (0-5 cm depth)</t>
  </si>
  <si>
    <t>250 cm3  soil cylinder</t>
  </si>
  <si>
    <t>Soil organic carbon (SOC) content</t>
  </si>
  <si>
    <t>% dry weight</t>
  </si>
  <si>
    <t>Soil organic carbon (SOC) stock (0-5 cm)</t>
  </si>
  <si>
    <t>Litter biomass</t>
  </si>
  <si>
    <t>Soil bulk density</t>
  </si>
  <si>
    <t>Mg/m3</t>
  </si>
  <si>
    <t>Soil Quality Index (SQI)</t>
  </si>
  <si>
    <t>soil quality index</t>
  </si>
  <si>
    <t>unitless (index)</t>
  </si>
  <si>
    <t>soil sample</t>
  </si>
  <si>
    <t>variable_subtype: In the article all metrics are described as "ecosytem services proxies". Sampling_type:</t>
  </si>
  <si>
    <t>Organic Carbon Content (SOC)</t>
  </si>
  <si>
    <t>g/kg</t>
  </si>
  <si>
    <t>variable_subtype: In the article all metrics are described as "ecosytem services proxies". Sampling_type:  composite soil sample from 3 transects (0–5 cm depth)-</t>
  </si>
  <si>
    <t>PCA.pH (topsoil)</t>
  </si>
  <si>
    <t>unitless (in H₂O)</t>
  </si>
  <si>
    <t>Values ranged from 6.0 (2 months post-fire) to 4.0 (25 months post-fire)</t>
  </si>
  <si>
    <t>PCA.Total Organic Carbon (TOC) (topsoil)</t>
  </si>
  <si>
    <t>Values: 154 (2 months), 96 (7 months), 97 (14 months), 84 (25 months)</t>
  </si>
  <si>
    <t>PCA.Total Nitrogen (TN) (topsoil)</t>
  </si>
  <si>
    <t>Values: 14 (2 months), 9 (7 months), 7 (14 months), 8 (25 months)</t>
  </si>
  <si>
    <t>PCA.TOC/TN ratio (topsoil)</t>
  </si>
  <si>
    <t>Values: 11 (2 months), 10.7 (7 months), 13.9 (14 months), 10.5 (25 months)</t>
  </si>
  <si>
    <t>PCA.pH (eroded sediments SF-EB)</t>
  </si>
  <si>
    <t>unitless (0-14 in H₂O)</t>
  </si>
  <si>
    <t>sediment fence</t>
  </si>
  <si>
    <t>Values: 6.5 (2 months), 5.3 (7 months), 5.0 (14 months), 4.2 (25 months)</t>
  </si>
  <si>
    <t>PCA.Total Organic Carbon (TOC) (eroded sediments)</t>
  </si>
  <si>
    <t>Values: 255 (2 months), 255 (7 months), 132 (14 months), 312 (25 months)</t>
  </si>
  <si>
    <t>PCA.Total Nitrogen (TN) (eroded sediments)</t>
  </si>
  <si>
    <t>Values: 15 (2 months), 17 (7 months), 12 (14 months), 27 (25 months)</t>
  </si>
  <si>
    <t>PCA.TOC/TN ratio (eroded sediments)</t>
  </si>
  <si>
    <t>Values: 17 (2 months), 15 (7 months), 11 (14 months), 12 (25 months)</t>
  </si>
  <si>
    <t>PCA.Cumulative sediment loss</t>
  </si>
  <si>
    <t>kg/ha</t>
  </si>
  <si>
    <t>time since fire (months);rainfall amount</t>
  </si>
  <si>
    <t>Values: 90 (2 months), 1048 (7 months), 1100 (14 months), 1306 (25 months)</t>
  </si>
  <si>
    <t>PCA.n-alkanes/enes: short-to-long chain ratio (∑C9-C22/∑C23-C31)</t>
  </si>
  <si>
    <t>unitless (ratio)</t>
  </si>
  <si>
    <t>EB (eucalyptus burnt)) topsoil: 6.9 (2 months), 4.5 (7 months), 3.4 (14 months), 3.6 (25 months)</t>
  </si>
  <si>
    <t>PCA.n-alkanes/enes: Carbon Preference Index (CPI)</t>
  </si>
  <si>
    <t>unitless (odd/even)</t>
  </si>
  <si>
    <t>EB (eucalyptus burnt) topsoil: 2.4 (2 months), 3.8 (7 months), 3.0 (14 months), 3.1 (25 months)</t>
  </si>
  <si>
    <t>PCA.n-alkanes/enes: Average Chain Length (ACL)</t>
  </si>
  <si>
    <t>EB (eucalyptus burnt) topsoil: 17.2 (2 months), 19.2 (7 months), 20.9 (14 months), 23.5 (25 months)</t>
  </si>
  <si>
    <t>PCA.Aromatic non-specific compounds (relative abundance in topsoil)</t>
  </si>
  <si>
    <t>EB (eucalyptus burnt) topsoil: 40-52% across sampling periods (higher than unburnt)</t>
  </si>
  <si>
    <t>PCA.N-compounds (relative abundance in topsoil)</t>
  </si>
  <si>
    <t>EB (eucalyptus burnt) topsoil: 3-6% (unburnt: 1-2%)</t>
  </si>
  <si>
    <t>PCA.Lignin-derived compounds (relative abundance in topsoil)</t>
  </si>
  <si>
    <t>EB (eucalyptus burnt) topsoil: 1-3% (unburnt: ~4%). Eugenol absent in burnt samples</t>
  </si>
  <si>
    <t>PCA.Polysaccharide-derived compounds (relative abundance in topsoil)</t>
  </si>
  <si>
    <t>EB (eucalyptus burnt) topsoil: 7-10%. d-allose absent in burnt samples</t>
  </si>
  <si>
    <t>PCA.Hydroaromatic steroids (relative abundance in topsoil)</t>
  </si>
  <si>
    <t>EB (eucalyptus burnt) topsoil: ~1% (unburnt: ~2%)</t>
  </si>
  <si>
    <t>rock cover</t>
  </si>
  <si>
    <t>Ground-level change (mean loss/gain)</t>
  </si>
  <si>
    <t>1988_06</t>
  </si>
  <si>
    <t>Forest management type, species, time since disturbance, rainfall</t>
  </si>
  <si>
    <t>Measure_date: Initial measurements of ground level were taken following installation in summer 1988 (61 sites), December 1988 (1 site), July 1989 (6 sites) and October 1989 (4 sites). a) short-term (i.e. within-year) intervals where monitored, (b) annual intervals (July to June: year 1 (1988–89); year 2 (1989–90); year 3 (1990–91); year 4 (1991–92), (c) years 1–4 overall change, and (d) years 2–4 overall change. _x000D_
sampling_type:Transect (erosion bridge profiles)</t>
  </si>
  <si>
    <t>Mean absolute change (soil flux)</t>
  </si>
  <si>
    <t>Soil surface roughness (deviogram index)</t>
  </si>
  <si>
    <t>Time since disturbance, forest management type, species,spacing (25, 50, 150 mm)</t>
  </si>
  <si>
    <t>sampling_type:Transect (erosion bridge profiles)</t>
  </si>
  <si>
    <t>Stone cover</t>
  </si>
  <si>
    <t>Time since installation, forest management type, species</t>
  </si>
  <si>
    <t>sampling_type:Transect (points intercepted by stones)</t>
  </si>
  <si>
    <t>Calculated erosion rate</t>
  </si>
  <si>
    <t>t ha⁻¹ yr⁻¹</t>
  </si>
  <si>
    <t>Forest management type, species</t>
  </si>
  <si>
    <t>Measure derived from net change of surface elevation (transect)sampling_type:Plot and Transect</t>
  </si>
  <si>
    <t>year, site, position (under logs vs. bare area)</t>
  </si>
  <si>
    <t>measure_date: soil sampling probably in June together with wood sampling, however it is not specified in the text_x000D_
sampling_type:Gouge auger (0-10 cm depth)</t>
  </si>
  <si>
    <t>Total Carbon (organic C)</t>
  </si>
  <si>
    <t>Total Nitrogen</t>
  </si>
  <si>
    <t>2010_10</t>
  </si>
  <si>
    <t>sampling_type:Gouge auger (0-10 cm depth)</t>
  </si>
  <si>
    <t>Mineral Nitrogen (NH4+ )</t>
  </si>
  <si>
    <t>measure_date: soil sampling probably in June together with wood sampling, however it is not specify in the text_x000D_
sampling_type:Gouge auger (0-10 cm depth)</t>
  </si>
  <si>
    <t>Mineral Nitrogen (NO3-)</t>
  </si>
  <si>
    <t>Dissolved Organic C (DOC)</t>
  </si>
  <si>
    <t>Dissolved Organic N (DON)</t>
  </si>
  <si>
    <t>Microbial C (Cmicro)</t>
  </si>
  <si>
    <t>measure_date: soil sampling probably in June together with wood sampling, however it is not specify in the text_x000D_
sampling_type:Difference in P between the fumigated and nonfumigated extracts.</t>
  </si>
  <si>
    <t>Microbial N (Nmicro)</t>
  </si>
  <si>
    <t>Cmicro/Nmicro</t>
  </si>
  <si>
    <t>measure_date: soil sampling probably in June together with wood sampling, however it is not specify in the text_x000D_
sampling_type:Cmicro/Nmicro</t>
  </si>
  <si>
    <t>Microbial P (Pmicro)</t>
  </si>
  <si>
    <t>no units</t>
  </si>
  <si>
    <t>g cm⁻³</t>
  </si>
  <si>
    <t>seconds (s)</t>
  </si>
  <si>
    <t>Site (control -not burned-, LD -burned and postfire management-, HD -burned but no managed)</t>
  </si>
  <si>
    <t>sampling_type:Plot (9 topsoil samples 0–5 cm)</t>
  </si>
  <si>
    <t>Aggregate Stability (AS)</t>
  </si>
  <si>
    <t>percentage (%)</t>
  </si>
  <si>
    <t>Total Nitrogen (TN)</t>
  </si>
  <si>
    <t>Inorganic Carbon (IC)</t>
  </si>
  <si>
    <t>standard units</t>
  </si>
  <si>
    <t>Electrical Conductivity (EC)</t>
  </si>
  <si>
    <t>Extractable Ca</t>
  </si>
  <si>
    <t>Extractable Mg</t>
  </si>
  <si>
    <t>Extractable Na</t>
  </si>
  <si>
    <t>Extractable K</t>
  </si>
  <si>
    <t>Available P</t>
  </si>
  <si>
    <t>Al</t>
  </si>
  <si>
    <t>Mn</t>
  </si>
  <si>
    <t>Fe</t>
  </si>
  <si>
    <t>Zn</t>
  </si>
  <si>
    <t>Cu</t>
  </si>
  <si>
    <t>B</t>
  </si>
  <si>
    <t>Cr</t>
  </si>
  <si>
    <t>Si</t>
  </si>
  <si>
    <t>S</t>
  </si>
  <si>
    <t>SPAR</t>
  </si>
  <si>
    <t>Ca/Al</t>
  </si>
  <si>
    <t>Ca/Mg</t>
  </si>
  <si>
    <t>Overall operational taxonomical units (OTU) richness</t>
  </si>
  <si>
    <t>2009_06</t>
  </si>
  <si>
    <t>plot, stand (UB = unburned, B = long fire return interval; B1 and B2, short fire return intervals)</t>
  </si>
  <si>
    <t>sampling_type:10m x 10m plots (soil sampling)</t>
  </si>
  <si>
    <t>Richness estimation Chaol</t>
  </si>
  <si>
    <t>Shannon diversity index (pyrosequencing)</t>
  </si>
  <si>
    <t>Richness (gradient gel electrophoresis (DGGE))</t>
  </si>
  <si>
    <t>Shannon diversity index (gradient gel electrophoresis (DGGE))</t>
  </si>
  <si>
    <t>Bare soil</t>
  </si>
  <si>
    <t>Crown consuption (high, low), fire severity (according to different indices)</t>
  </si>
  <si>
    <t>sampling_type:Plot (25 m²). Duda: fire severity lo indico como vegetation porque mide severidad en funcion de afeccion a vegetacion. No se que subtipo poner.</t>
  </si>
  <si>
    <t>Ash</t>
  </si>
  <si>
    <t>Litter</t>
  </si>
  <si>
    <t>Total volume of runoff</t>
  </si>
  <si>
    <t>1999_04</t>
  </si>
  <si>
    <t>Precipitation depth (P), Max 5min rainfall intensity (I5),Max 5min rainfall intensity (I15), AI15 index (P*I15), rainfall effective duration, time since fire, burnt vs unburnt</t>
  </si>
  <si>
    <t>measure_date: easured after each productive rainfall during 7 years (from 1999 to 2005)_x000D_
sampling_type:Plot and gauge station (pool system)</t>
  </si>
  <si>
    <t>Sediment yield</t>
  </si>
  <si>
    <t>kg ha⁻¹</t>
  </si>
  <si>
    <t>measure_date:measured after each productive rainfall during 7 years (from 1999 to 2005)_x000D_
sampling_type:Plot and gauge station (pool system)</t>
  </si>
  <si>
    <t>Peak flow</t>
  </si>
  <si>
    <t>l s⁻¹</t>
  </si>
  <si>
    <t>Precipitation depth (P), Max 5min rainfall intensity (I5),Max 5min rainfall intensity (I15), AI15 index (P*I15), rainfall effective duration, time since fire</t>
  </si>
  <si>
    <t>measure_date: measured after each productive rainfall during 7 years (from 1999 to 2005)_x000D_
sampling_type:Triangular weir and capacitive probe</t>
  </si>
  <si>
    <t>Time to ponding (tp)</t>
  </si>
  <si>
    <t>2004_08_15</t>
  </si>
  <si>
    <t>Ash depth, cover type (ash-needle, ash-only, bare)</t>
  </si>
  <si>
    <t>sampling_type:0.25 m² circular plot (simulated rainfall)</t>
  </si>
  <si>
    <t>Ash bulk density</t>
  </si>
  <si>
    <t>g cm-3</t>
  </si>
  <si>
    <t>sampling_type:50 cm transects (10 pin measurements)</t>
  </si>
  <si>
    <t>Particle density</t>
  </si>
  <si>
    <t>Time to runoff (tr)</t>
  </si>
  <si>
    <t>Runoff coefficient, cover type</t>
  </si>
  <si>
    <t>Runoff coefficient</t>
  </si>
  <si>
    <t>Ash depth, cover type</t>
  </si>
  <si>
    <t>Soil water repellency (WDPT)</t>
  </si>
  <si>
    <t>Cover type, ash removal</t>
  </si>
  <si>
    <t>sampling_type:Water Drop Penetration Time (10 drops)</t>
  </si>
  <si>
    <t>Needle cover</t>
  </si>
  <si>
    <t>needles m⁻²</t>
  </si>
  <si>
    <t>2004_08_14</t>
  </si>
  <si>
    <t>Time since fire, cover</t>
  </si>
  <si>
    <t>sampling_type:0.25 m² random plots (manual counting)</t>
  </si>
  <si>
    <t>Sediment concentration</t>
  </si>
  <si>
    <t>g l⁻¹</t>
  </si>
  <si>
    <t>Cover type</t>
  </si>
  <si>
    <t>sampling_type:1-minute runoff samples from plots</t>
  </si>
  <si>
    <t>Runoff coefficient (RC)</t>
  </si>
  <si>
    <t>sampling_type:Calculated per event from 10m2 plots</t>
  </si>
  <si>
    <t>Sediment yield (soil loss)</t>
  </si>
  <si>
    <t>g m⁻²mm-1</t>
  </si>
  <si>
    <t>Runoff, vegetation cover, rain intensity, precipitation, soil moisture (precip-days), aspect, slope, fire severity, first vs second winter</t>
  </si>
  <si>
    <t>sampling_type:10 m² plots with collection buckets</t>
  </si>
  <si>
    <t>Soil loss</t>
  </si>
  <si>
    <t>t/ha/y</t>
  </si>
  <si>
    <t>sampling_type: RUSLE ecuation_x000D_
sampling_type:pixel level</t>
  </si>
  <si>
    <t>Presence</t>
  </si>
  <si>
    <t>fungal community, burned/unburned plot, aspect (north/south) and plot (ppinaster vs cladanifer)</t>
  </si>
  <si>
    <t>sampling_type: 2x50m plots</t>
  </si>
  <si>
    <t>Dry weigh</t>
  </si>
  <si>
    <t>functional group (mycorrhizalvs saprophytic), aspect, burn/unburned, plot (ppinaster vs cladanifer)</t>
  </si>
  <si>
    <t>dry weight of fungus</t>
  </si>
  <si>
    <t>Colonized seedlings</t>
  </si>
  <si>
    <t>2006_10</t>
  </si>
  <si>
    <t>time; EM types per seedling</t>
  </si>
  <si>
    <t>colonized seedlings by the EMS</t>
  </si>
  <si>
    <t>Relative frequency of ectomycorrhhizal</t>
  </si>
  <si>
    <t>time; EM types; abundance; species</t>
  </si>
  <si>
    <t>Ectomycorrhizal richness</t>
  </si>
  <si>
    <t>Number</t>
  </si>
  <si>
    <t>time, fire severity, slope</t>
  </si>
  <si>
    <t>Ectomycorrhizal diversity (Shannon)</t>
  </si>
  <si>
    <t>Ectomycorrhizal community composition / assemblage patterns</t>
  </si>
  <si>
    <t>time,wood removal, slope</t>
  </si>
  <si>
    <t>Cover of leaves and thin branches &lt; 2 cm (Lcov)</t>
  </si>
  <si>
    <t>Cover of lying necromass &gt; 2 cm (Ncov)</t>
  </si>
  <si>
    <t>Cover of stones (St)</t>
  </si>
  <si>
    <t>Percentage of bare soil (S)</t>
  </si>
  <si>
    <t>elevation;species;post-fire management;microhabitat</t>
  </si>
  <si>
    <t>post-fire management is referred to deadwood tratment and microhabitat to bare soil or under logs</t>
  </si>
  <si>
    <t>K</t>
  </si>
  <si>
    <t>C</t>
  </si>
  <si>
    <t>water holding capacity</t>
  </si>
  <si>
    <t>2021_04</t>
  </si>
  <si>
    <t>2021_05</t>
  </si>
  <si>
    <t>g/cm3</t>
  </si>
  <si>
    <t>2021_06</t>
  </si>
  <si>
    <t>2021_07</t>
  </si>
  <si>
    <t>µS/cm</t>
  </si>
  <si>
    <t>2021_08</t>
  </si>
  <si>
    <t>2021_09</t>
  </si>
  <si>
    <t>g/m2 d.w.</t>
  </si>
  <si>
    <t>2021_10</t>
  </si>
  <si>
    <t>extractable organic carbon</t>
  </si>
  <si>
    <t>2021_17</t>
  </si>
  <si>
    <t>g CO2-C/kg d.w.</t>
  </si>
  <si>
    <t>2021_14</t>
  </si>
  <si>
    <t>2021_11</t>
  </si>
  <si>
    <t>NH4+-N</t>
  </si>
  <si>
    <t>mg/kg d.w.</t>
  </si>
  <si>
    <t>2021_13</t>
  </si>
  <si>
    <t>NO3- -N</t>
  </si>
  <si>
    <t>2021_15</t>
  </si>
  <si>
    <t>litter mass loss</t>
  </si>
  <si>
    <t>woody debris after fire; soil chemical properties; vegetation cover; vegetation richness;vegetation height</t>
  </si>
  <si>
    <t>decompositon rate</t>
  </si>
  <si>
    <t>day-1</t>
  </si>
  <si>
    <t>g C/g d.w</t>
  </si>
  <si>
    <t>β-glucosidase</t>
  </si>
  <si>
    <t>µmol p-NP g-1 d.w. soil h-1</t>
  </si>
  <si>
    <t>urease</t>
  </si>
  <si>
    <t>cw</t>
  </si>
  <si>
    <t>acid phosphatase enzymatic activities</t>
  </si>
  <si>
    <t>µmol p-NP g-1 d.w. h-1</t>
  </si>
  <si>
    <t>Total organic carbon of the soil organic matter</t>
  </si>
  <si>
    <t>fire frequency;time since last fire</t>
  </si>
  <si>
    <t>Water extractable organic matter</t>
  </si>
  <si>
    <t>Specific UV Absorbance</t>
  </si>
  <si>
    <t>L(mg C m)⁻¹</t>
  </si>
  <si>
    <t>fire occurrence; soil organic matter fraction;time since fire</t>
  </si>
  <si>
    <t>Humification index</t>
  </si>
  <si>
    <t>peak C emission waveleng</t>
  </si>
  <si>
    <t>nm</t>
  </si>
  <si>
    <t>peak M emission waveleng</t>
  </si>
  <si>
    <t>Soil organic carbon</t>
  </si>
  <si>
    <t>fire severity;plant recovery;time since fire</t>
  </si>
  <si>
    <t>fire severity;time since fire</t>
  </si>
  <si>
    <t>mg CO2-C kg-1 soil h-1</t>
  </si>
  <si>
    <t>Carbon mineralization coefficient</t>
  </si>
  <si>
    <t>mg C-CO₂ g⁻¹ Corg h⁻</t>
  </si>
  <si>
    <t>Metabolic quotient</t>
  </si>
  <si>
    <t>Microbial quotient</t>
  </si>
  <si>
    <t>μmol PNP g-1 h-1</t>
  </si>
  <si>
    <t>μmol NH4+ g-1 h-1</t>
  </si>
  <si>
    <t>phosphatase</t>
  </si>
  <si>
    <t>Aggregated index of sediment conectivity</t>
  </si>
  <si>
    <t>drone</t>
  </si>
  <si>
    <t>2019_06_24</t>
  </si>
  <si>
    <t>fire occurrence;post-fire management;post-fire vegetation recovery;slope gradient;topography</t>
  </si>
  <si>
    <t>Convergence index</t>
  </si>
  <si>
    <t>post-fire management</t>
  </si>
  <si>
    <t>Flow width</t>
  </si>
  <si>
    <t>Flat areas</t>
  </si>
  <si>
    <t>LS-factor</t>
  </si>
  <si>
    <t>post-fire management, slope gradient, slope length</t>
  </si>
  <si>
    <t>rarefied richness</t>
  </si>
  <si>
    <t>Log2 fold change (LFC)</t>
  </si>
  <si>
    <t>2020-2021</t>
  </si>
  <si>
    <t>post-fire management treatment;time since fire</t>
  </si>
  <si>
    <t>Shannon diversity</t>
  </si>
  <si>
    <t>Simpson dominance index</t>
  </si>
  <si>
    <t>Bacterial community composition (beta diversity)</t>
  </si>
  <si>
    <t>Log2 fold change (LFC) of OTU (Operational Taxonomic Units)abundances</t>
  </si>
  <si>
    <t>relative abundance of taxonomic groups</t>
  </si>
  <si>
    <t>Log2 fold change (LFC) of OTU (Operational Taxonomic Units) abundance normalised to 100000 reads</t>
  </si>
  <si>
    <t>Moisture</t>
  </si>
  <si>
    <t>subsamples</t>
  </si>
  <si>
    <t>2000_01</t>
  </si>
  <si>
    <t>fire occurrence;environment</t>
  </si>
  <si>
    <t>Mechanic impedance</t>
  </si>
  <si>
    <t>kPa</t>
  </si>
  <si>
    <t>ds/m</t>
  </si>
  <si>
    <t>Soil organic matter</t>
  </si>
  <si>
    <t>Exchangeable Ca cations</t>
  </si>
  <si>
    <t>Exchangeable Mg cations</t>
  </si>
  <si>
    <t>Exchangeable K cations</t>
  </si>
  <si>
    <t>Exchangeable Na cations</t>
  </si>
  <si>
    <t>Dissolved organic carbon</t>
  </si>
  <si>
    <t>g/l</t>
  </si>
  <si>
    <t>Organic carbon content in the eroded sediment</t>
  </si>
  <si>
    <t>mg/g</t>
  </si>
  <si>
    <t>Runoff water</t>
  </si>
  <si>
    <t>Eroded sediments</t>
  </si>
  <si>
    <t>fire occurrence;time since fire;soil depth</t>
  </si>
  <si>
    <t>Total organic carbon</t>
  </si>
  <si>
    <t>ratio total organic carbon/nitrogen (TOC/N)</t>
  </si>
  <si>
    <t>Molecular composition</t>
  </si>
  <si>
    <t>Bulk chemical composition (C types)</t>
  </si>
  <si>
    <t>Average chain length</t>
  </si>
  <si>
    <t>C number</t>
  </si>
  <si>
    <t>2013_02</t>
  </si>
  <si>
    <t>Soil water repellency</t>
  </si>
  <si>
    <t>seconds</t>
  </si>
  <si>
    <t>Field capacity</t>
  </si>
  <si>
    <t>μg C-CO2 /h/g</t>
  </si>
  <si>
    <t>mg C/kg</t>
  </si>
  <si>
    <t>time since fire; fire occurrence;site</t>
  </si>
  <si>
    <t>total carbon</t>
  </si>
  <si>
    <t>organic matter</t>
  </si>
  <si>
    <t>viable bacteria count</t>
  </si>
  <si>
    <t>cfu/g</t>
  </si>
  <si>
    <t>viable fungi count</t>
  </si>
  <si>
    <t>substrate-induced respiration</t>
  </si>
  <si>
    <t>mg CO2/h/100 g dry soil</t>
  </si>
  <si>
    <t>μmol/h/g</t>
  </si>
  <si>
    <t>cellulase</t>
  </si>
  <si>
    <t>invertase</t>
  </si>
  <si>
    <t>β-N-acetylglucosaminidase</t>
  </si>
  <si>
    <t>alkaline phosphatases</t>
  </si>
  <si>
    <t>acid phosphatases</t>
  </si>
  <si>
    <t>prokaryotic populations</t>
  </si>
  <si>
    <t>Phylogenetic abundance distribution</t>
  </si>
  <si>
    <t>time since last fire;time between fires;fire recurrence</t>
  </si>
  <si>
    <t>ammonium content</t>
  </si>
  <si>
    <t>μg NH4+-N·g-1</t>
  </si>
  <si>
    <t>nitrate content</t>
  </si>
  <si>
    <t>μg NO3- -N·g-1</t>
  </si>
  <si>
    <t>phosphate content</t>
  </si>
  <si>
    <t>μg PO4-3 -P·g-1</t>
  </si>
  <si>
    <t>soil microbial biomass C</t>
  </si>
  <si>
    <t>μg C·g-1</t>
  </si>
  <si>
    <t>soil microbial biomass N</t>
  </si>
  <si>
    <t>μg N·g-1</t>
  </si>
  <si>
    <t>potential N mineralisation</t>
  </si>
  <si>
    <t>μg N·g-1·d-1</t>
  </si>
  <si>
    <t>nitrification rate</t>
  </si>
  <si>
    <t>μg NO3- -N·g-1·d-1</t>
  </si>
  <si>
    <t>substrate induced respiration</t>
  </si>
  <si>
    <t>μg C-CO2·g-1·h-1</t>
  </si>
  <si>
    <t>net respiration rate</t>
  </si>
  <si>
    <t>μg CO2-C·g-1 ·d-1</t>
  </si>
  <si>
    <t>Hot water extractable carbon</t>
  </si>
  <si>
    <t>total inorganic N</t>
  </si>
  <si>
    <t>microbial biomass C/N</t>
  </si>
  <si>
    <t>Bacteria</t>
  </si>
  <si>
    <t>μmol fatty acid g-1</t>
  </si>
  <si>
    <t>Gram-positive bacteria (G+)</t>
  </si>
  <si>
    <t>Gram-negative bacteria (G-)</t>
  </si>
  <si>
    <t>Fungi</t>
  </si>
  <si>
    <t>Actinobacteria</t>
  </si>
  <si>
    <t>Arbuscular mycorrhiza</t>
  </si>
  <si>
    <t>bacteria G+/G- ratio</t>
  </si>
  <si>
    <t>Fungi/Bacteria ratio</t>
  </si>
  <si>
    <t>phosphorus content</t>
  </si>
  <si>
    <t>potassium content</t>
  </si>
  <si>
    <t>dry matter content</t>
  </si>
  <si>
    <t>number of OTUs (operational taxonomic units)</t>
  </si>
  <si>
    <t>fungal shannon index</t>
  </si>
  <si>
    <t>post-fire treatment;grass cover;soil properties</t>
  </si>
  <si>
    <t>fungal pielou</t>
  </si>
  <si>
    <t>fungal community composition</t>
  </si>
  <si>
    <t>fire return interval lenght; fire history</t>
  </si>
  <si>
    <t>phopshorus</t>
  </si>
  <si>
    <t>potassium</t>
  </si>
  <si>
    <t>calcium</t>
  </si>
  <si>
    <t>me/100g</t>
  </si>
  <si>
    <t>magnesium</t>
  </si>
  <si>
    <t>ectomycorrhizal fungal species richness</t>
  </si>
  <si>
    <t>fire return interval lenght; fire history; plant host</t>
  </si>
  <si>
    <t>ectomycorrhizal fungal species relative occurrence</t>
  </si>
  <si>
    <t>ectomycorrhizal fungal species relative abundance</t>
  </si>
  <si>
    <t>µmol p-NP g-1 dw soil h-1</t>
  </si>
  <si>
    <t>µmol NNH4+ g-1 dw soil h-1</t>
  </si>
  <si>
    <t>sand</t>
  </si>
  <si>
    <t>silt</t>
  </si>
  <si>
    <t>clay</t>
  </si>
  <si>
    <t>deadwood</t>
  </si>
  <si>
    <t>deadwood means pine litter, cones, fallen branches, stumps, logs, and trunks</t>
  </si>
  <si>
    <t>distance from trunk;soil depth;rainfall</t>
  </si>
  <si>
    <t>osmotic potential</t>
  </si>
  <si>
    <t>phosphates</t>
  </si>
  <si>
    <t>ammonium</t>
  </si>
  <si>
    <t>nitrates</t>
  </si>
  <si>
    <t>ground cover</t>
  </si>
  <si>
    <t>post-fire treatment; slope aspect</t>
  </si>
  <si>
    <t>Abundance of soil arthropods</t>
  </si>
  <si>
    <t>plot (soil cores)</t>
  </si>
  <si>
    <t>1991_04</t>
  </si>
  <si>
    <t>april</t>
  </si>
  <si>
    <t>figure ocurrence, forest type</t>
  </si>
  <si>
    <t>There is also an RDA with time as an explanatory factor</t>
  </si>
  <si>
    <t>1992_02</t>
  </si>
  <si>
    <t>figure ocurrence, forest type, date</t>
  </si>
  <si>
    <t>Alpha-diversity of families</t>
  </si>
  <si>
    <t>Number of fungal OTUs</t>
  </si>
  <si>
    <t>2013_05</t>
  </si>
  <si>
    <t>forest type and fire severity</t>
  </si>
  <si>
    <t>Enzimatic activity</t>
  </si>
  <si>
    <t>pmolmm –2 min –1</t>
  </si>
  <si>
    <t>2020_11</t>
  </si>
  <si>
    <t>fire ocurrence and soil depth</t>
  </si>
  <si>
    <t>Extractable Phosphorus (P)</t>
  </si>
  <si>
    <t>Organic Carbon (C)</t>
  </si>
  <si>
    <t>cmolc/kg</t>
  </si>
  <si>
    <t>2024_01</t>
  </si>
  <si>
    <t>Post-fire management strategies (Natural, Graded, RIP, Control)</t>
  </si>
  <si>
    <t>Iron (Fe)</t>
  </si>
  <si>
    <t>mg/kg (ppm)</t>
  </si>
  <si>
    <t>Post-fire management strategies; Soil Organic Matter</t>
  </si>
  <si>
    <t>Calcium (Ca)</t>
  </si>
  <si>
    <t>Aluminum (Al)</t>
  </si>
  <si>
    <t>Manganese (Mn)</t>
  </si>
  <si>
    <t>Chromium (Cr)</t>
  </si>
  <si>
    <t>Nickel (Ni)</t>
  </si>
  <si>
    <t>Zinc (Zn)</t>
  </si>
  <si>
    <t>Copper (Cu)</t>
  </si>
  <si>
    <t>Lead (Pb)</t>
  </si>
  <si>
    <t>Cobalt (Co)</t>
  </si>
  <si>
    <t>Arsenic (As)</t>
  </si>
  <si>
    <t>Mercury (Hg)</t>
  </si>
  <si>
    <t>ng/g (ppb)</t>
  </si>
  <si>
    <t>Moisture (M)</t>
  </si>
  <si>
    <t>soil erosion treatment, slope, and time since the soil treatment</t>
  </si>
  <si>
    <t>plots within three sites</t>
  </si>
  <si>
    <t>mS·m⁻¹</t>
  </si>
  <si>
    <t>Total Organic Carbon (TOC)</t>
  </si>
  <si>
    <t>Phosphorus (P)</t>
  </si>
  <si>
    <t>Carbonates (CARB)</t>
  </si>
  <si>
    <t>mg CO₃²⁻·g⁻¹</t>
  </si>
  <si>
    <t>Basal Soil Respiration (BR)</t>
  </si>
  <si>
    <t>µg C-CO₂ g⁻¹·day⁻¹</t>
  </si>
  <si>
    <t>µg C·g⁻¹</t>
  </si>
  <si>
    <t>Dehydrogenase Activity (DHA)</t>
  </si>
  <si>
    <t>µmol (INTF)·g⁻¹·h⁻¹</t>
  </si>
  <si>
    <t>Urease Activity (UA)</t>
  </si>
  <si>
    <t>µmol (N-NH₄⁺)·g⁻¹·h⁻¹</t>
  </si>
  <si>
    <t>Alkaline Phosphatase (APA)</t>
  </si>
  <si>
    <t>µmol (PNP)·g⁻¹·h⁻¹</t>
  </si>
  <si>
    <t>β-glucosidase Activity (β-GLU)</t>
  </si>
  <si>
    <t>C/N Ratio</t>
  </si>
  <si>
    <t>Metabolic Coefficient [q(CO₂)]</t>
  </si>
  <si>
    <t>µg C-CO₂·µg⁻¹ C·day⁻¹</t>
  </si>
  <si>
    <t>Mineralization Coefficient [q(mC)]</t>
  </si>
  <si>
    <t>µg C-CO₂·mg⁻¹ COT·day⁻¹</t>
  </si>
  <si>
    <t>Unsaturated hydraulic conductivity (K)</t>
  </si>
  <si>
    <t>mm/min</t>
  </si>
  <si>
    <t>Zone (Deposition/Erosion), Structure type, Site, Year</t>
  </si>
  <si>
    <t>Soil texture (Sand, Clay, Silt content)</t>
  </si>
  <si>
    <t>% p.v.</t>
  </si>
  <si>
    <t>Zone, Site, Year</t>
  </si>
  <si>
    <t>cumulative infiltration</t>
  </si>
  <si>
    <t>Time since fire, fire ocurrence</t>
  </si>
  <si>
    <t>Cmol c kg⁻¹ soil</t>
  </si>
  <si>
    <t>Total Soil C</t>
  </si>
  <si>
    <t>Total Soil N</t>
  </si>
  <si>
    <t>Total Soil P</t>
  </si>
  <si>
    <t>Total Soil S</t>
  </si>
  <si>
    <t>Exchangeable Ca</t>
  </si>
  <si>
    <t>Exchangeable K</t>
  </si>
  <si>
    <t>Exchangeable Mg</t>
  </si>
  <si>
    <t>3 samples per plot</t>
  </si>
  <si>
    <t>2017_10</t>
  </si>
  <si>
    <t>management;Silt;Sand;pH;Electrical conductivity;Total Organic Carbon;Organic Matter;N;C/N Ratio;Carbonates;P;K;Ca;Na;Microbial Biomass Carbon;Basal Soil Respiration;Deshydrogenase activity;β-glucosidase activity;urease activity;acid phosphatase activity;Glomaline content</t>
  </si>
  <si>
    <t>management;Clay;Silt;Sand;pH;Electrical conductivity;Total Organic Carbon;Organic Matter;N;C/N Ratio;Carbonates;P;K;Ca;Na;Microbial Biomass Carbon;Basal Soil Respiration;Deshydrogenase activity;β-glucosidase activity;urease activity;acid phosphatase activity;Glomaline content</t>
  </si>
  <si>
    <t>management;Clay;Silt;pH;Electrical conductivity;Total Organic Carbon;Organic Matter;N;C/N Ratio;Carbonates;P;K;Ca;Na;Microbial Biomass Carbon;Basal Soil Respiration;Deshydrogenase activity;β-glucosidase activity;urease activity;acid phosphatase activity;Glomaline content</t>
  </si>
  <si>
    <t>management;Clay;Silt;Sand;Electrical conductivity;Total Organic Carbon;Organic Matter;N;C/N Ratio;Carbonates;P;K;Ca;Na;Microbial Biomass Carbon;Basal Soil Respiration;Deshydrogenase activity;β-glucosidase activity;urease activity;acid phosphatase activity;Glomaline content</t>
  </si>
  <si>
    <t>µS / s</t>
  </si>
  <si>
    <t>management;Clay;Silt;Sand;pH;Total Organic Carbon;Organic Matter;N;C/N Ratio;Carbonates;P;K;Ca;Na;Microbial Biomass Carbon;Basal Soil Respiration;Deshydrogenase activity;β-glucosidase activity;urease activity;acid phosphatase activity;Glomaline content</t>
  </si>
  <si>
    <t>management;Clay;Silt;Sand;pH;Electrical conductivity;Organic Matter;N;C/N Ratio;Carbonates;P;K;Ca;Na;Microbial Biomass Carbon;Basal Soil Respiration;Deshydrogenase activity;β-glucosidase activity;urease activity;acid phosphatase activity;Glomaline content</t>
  </si>
  <si>
    <t>management;Clay;Silt;Sand;pH;Electrical conductivity;Total Organic Carbon;N;C/N Ratio;Carbonates;P;K;Ca;Na;Microbial Biomass Carbon;Basal Soil Respiration;Deshydrogenase activity;β-glucosidase activity;urease activity;acid phosphatase activity;Glomaline content</t>
  </si>
  <si>
    <t>management;Clay;Silt;Sand;pH;Electrical conductivity;Total Organic Carbon;Organic Matter;C/N Ratio;Carbonates;P;K;Ca;Na;Microbial Biomass Carbon;Basal Soil Respiration;Deshydrogenase activity;β-glucosidase activity;urease activity;acid phosphatase activity;Glomaline content</t>
  </si>
  <si>
    <t>management;Clay;Silt;Sand;pH;Electrical conductivity;Total Organic Carbon;Organic Matter;N;Carbonates;P;K;Ca;Na;Microbial Biomass Carbon;Basal Soil Respiration;Deshydrogenase activity;β-glucosidase activity;urease activity;acid phosphatase activity;Glomaline content</t>
  </si>
  <si>
    <t>Carbonates</t>
  </si>
  <si>
    <t>management;Clay;Silt;Sand;pH;Electrical conductivity;Total Organic Carbon;Organic Matter;N;C/N Ratio;P;K;Ca;Na;Microbial Biomass Carbon;Basal Soil Respiration;Deshydrogenase activity;β-glucosidase activity;urease activity;acid phosphatase activity;Glomaline content</t>
  </si>
  <si>
    <t>management;Clay;Silt;Sand;pH;Electrical conductivity;Total Organic Carbon;Organic Matter;N;C/N Ratio;Carbonates;K;Ca;Na;Microbial Biomass Carbon;Basal Soil Respiration;Deshydrogenase activity;β-glucosidase activity;urease activity;acid phosphatase activity;Glomaline content</t>
  </si>
  <si>
    <t>management;Clay;Silt;Sand;pH;Electrical conductivity;Total Organic Carbon;Organic Matter;N;C/N Ratio;Carbonates;P;Ca;Na;Microbial Biomass Carbon;Basal Soil Respiration;Deshydrogenase activity;β-glucosidase activity;urease activity;acid phosphatase activity;Glomaline content</t>
  </si>
  <si>
    <t>Ca</t>
  </si>
  <si>
    <t>management;Clay;Silt;Sand;pH;Electrical conductivity;Total Organic Carbon;Organic Matter;N;C/N Ratio;Carbonates;P;K;Na;Microbial Biomass Carbon;Basal Soil Respiration;Deshydrogenase activity;β-glucosidase activity;urease activity;acid phosphatase activity;Glomaline content</t>
  </si>
  <si>
    <t>management;Clay;Silt;Sand;pH;Electrical conductivity;Total Organic Carbon;Organic Matter;N;C/N Ratio;Carbonates;P;K;Ca;Microbial Biomass Carbon;Basal Soil Respiration;Deshydrogenase activity;β-glucosidase activity;urease activity;acid phosphatase activity;Glomaline content</t>
  </si>
  <si>
    <t>CBM mg C biomass kg soil−1</t>
  </si>
  <si>
    <t>management;Clay;Silt;Sand;pH;Electrical conductivity;Total Organic Carbon;Organic Matter;N;C/N Ratio;Carbonates;P;K;Ca;Na;Basal Soil Respiration;Deshydrogenase activity;β-glucosidase activity;urease activity;acid phosphatase activity;Glomaline content</t>
  </si>
  <si>
    <t>REB as CO2 rate μg hour−1 g−1 soil</t>
  </si>
  <si>
    <t>management;Clay;Silt;Sand;pH;Electrical conductivity;Total Organic Carbon;Organic Matter;N;C/N Ratio;Carbonates;P;K;Ca;Na;Microbial Biomass Carbon;Deshydrogenase activity;β-glucosidase activity;urease activity;acid phosphatase activity;Glomaline content</t>
  </si>
  <si>
    <t>Deshydrogenase activity (DHA)</t>
  </si>
  <si>
    <t>DHA μg INTF g−1 dry soil hour−1</t>
  </si>
  <si>
    <t>management;Clay;Silt;Sand;pH;Electrical conductivity;Total Organic Carbon;Organic Matter;N;C/N Ratio;Carbonates;P;K;Ca;Na;Microbial Biomass Carbon;Basal Soil Respiration;β-glucosidase activity;urease activity;acid phosphatase activity;Glomaline content</t>
  </si>
  <si>
    <t>μmol PNP g-1 dry soil hour−1</t>
  </si>
  <si>
    <t>management;Clay;Silt;Sand;pH;Electrical conductivity;Total Organic Carbon;Organic Matter;N;C/N Ratio;Carbonates;P;K;Ca;Na;Microbial Biomass Carbon;Basal Soil Respiration;Deshydrogenase activity;urease activity;acid phosphatase activity;Glomaline content</t>
  </si>
  <si>
    <t>μmol N-NH4+ g-1 dry soil hour−1</t>
  </si>
  <si>
    <t>management;Clay;Silt;Sand;pH;Electrical conductivity;Total Organic Carbon;Organic Matter;N;C/N Ratio;Carbonates;P;K;Ca;Na;Microbial Biomass Carbon;Basal Soil Respiration;Deshydrogenase activity;β-glucosidase activity;acid phosphatase activity;Glomaline content</t>
  </si>
  <si>
    <t>acid phosphatase activity</t>
  </si>
  <si>
    <t>management;Clay;Silt;Sand;pH;Electrical conductivity;Total Organic Carbon;Organic Matter;N;C/N Ratio;Carbonates;P;K;Ca;Na;Microbial Biomass Carbon;Basal Soil Respiration;Deshydrogenase activity;β-glucosidase activity;urease activity;Glomaline content</t>
  </si>
  <si>
    <t>Glomaline content</t>
  </si>
  <si>
    <t>μg g−1</t>
  </si>
  <si>
    <t>management;Clay;Silt;Sand;pH;Electrical conductivity;Total Organic Carbon;Organic Matter;N;C/N Ratio;Carbonates;P;K;Ca;Na;Microbial Biomass Carbon;Basal Soil Respiration;Deshydrogenase activity;β-glucosidase activity;urease activity;acid phosphatase activity</t>
  </si>
  <si>
    <t>Soil cover</t>
  </si>
  <si>
    <t>time since fire;pre-fire management</t>
  </si>
  <si>
    <t>Annual runoff</t>
  </si>
  <si>
    <t>microplots</t>
  </si>
  <si>
    <t>time since fire;pre-fire management;annual rainfal;rainfal erosivity;frequency of high soil water repellency classes</t>
  </si>
  <si>
    <t>Annual runoff coefficient</t>
  </si>
  <si>
    <t>Annual sediment losses</t>
  </si>
  <si>
    <t>Annual sediment concentrations</t>
  </si>
  <si>
    <t>Mg / ha / mm runoff</t>
  </si>
  <si>
    <t>management;Electrical conductivity;Organic Matter;Microbial Biomass Carbon;Basal Soil Respiration;Deshydrogenase activity;urease activity;acid phosphatase activity;protease activity;β-glucosidase activity</t>
  </si>
  <si>
    <t>management;pH;Organic Matter;Microbial Biomass Carbon;Basal Soil Respiration;Deshydrogenase activity;urease activity;acid phosphatase activity;protease activity;β-glucosidase activity</t>
  </si>
  <si>
    <t>% of dry soil</t>
  </si>
  <si>
    <t>management;pH;Electrical conductivity;Microbial Biomass Carbon;Basal Soil Respiration;Deshydrogenase activity;urease activity;acid phosphatase activity;protease activity;β-glucosidase activity</t>
  </si>
  <si>
    <t>mg C kg soil−1</t>
  </si>
  <si>
    <t>management;pH;Electrical conductivity;Organic Matter;Basal Soil Respiration;Deshydrogenase activity;urease activity;acid phosphatase activity;protease activity;β-glucosidase activity</t>
  </si>
  <si>
    <t>μg CO2 hour−1 g−1 soil</t>
  </si>
  <si>
    <t>μg INTF g−1 dry soil hour−1</t>
  </si>
  <si>
    <t>management;pH;Electrical conductivity;Organic Matter;Microbial Biomass Carbon;Basal Soil Respiration;urease activity;acid phosphatase activity;protease activity;β-glucosidase activity</t>
  </si>
  <si>
    <t>organic matter effect was visually analized as well</t>
  </si>
  <si>
    <t>management;pH;Electrical conductivity;Organic Matter;Microbial Biomass Carbon;Basal Soil Respiration;Deshydrogenase activity;acid phosphatase activity;protease activity;β-glucosidase activity</t>
  </si>
  <si>
    <t>μmol p-NP g-1 dry soil hour−1</t>
  </si>
  <si>
    <t>management;pH;Electrical conductivity;Organic Matter;Microbial Biomass Carbon;Basal Soil Respiration;Deshydrogenase activity;urease activity;protease activity;β-glucosidase activity</t>
  </si>
  <si>
    <t>management;pH;Electrical conductivity;Organic Matter;Microbial Biomass Carbon;Basal Soil Respiration;Deshydrogenase activity;urease activity;acid phosphatase activity;protease activity</t>
  </si>
  <si>
    <t>protease activity</t>
  </si>
  <si>
    <t>management;pH;Electrical conductivity;Organic Matter;Microbial Biomass Carbon;Basal Soil Respiration;Deshydrogenase activity;urease activity;acid phosphatase activity;β-glucosidase activity</t>
  </si>
  <si>
    <t>management</t>
  </si>
  <si>
    <t>pre-fire stand age;pre-fire management;aspect;Electrical conductivity;total organic carbon;available water;soil water content;Basal Soil Respiration;cumulative basal soil respiration;Deshydrogenase activity;urease activity;alkaline phosphatase activity;β-glucosidase activity;plant diversity;plant richness</t>
  </si>
  <si>
    <t>µS / cm</t>
  </si>
  <si>
    <t>pre-fire stand age;pre-fire management;aspect;pH;Electrical conductivity;available water;soil water content;Basal Soil Respiration;cumulative basal soil respiration;Deshydrogenase activity;urease activity;alkaline phosphatase activity;β-glucosidase activity;plant diversity;plant richness</t>
  </si>
  <si>
    <t>Available plant water</t>
  </si>
  <si>
    <t>pre-fire stand age;pre-fire management;aspect;pH;Electrical conductivity;total organic carbon;soil water content;Basal Soil Respiration;cumulative basal soil respiration;Deshydrogenase activity;urease activity;alkaline phosphatase activity;β-glucosidase activity;plant diversity;plant richness</t>
  </si>
  <si>
    <t>pre-fire stand age;pre-fire management;aspect;pH;Electrical conductivity;total organic carbon;available water;Basal Soil Respiration;cumulative basal soil respiration;Deshydrogenase activity;urease activity;alkaline phosphatase activity;β-glucosidase activity;plant diversity;plant richness</t>
  </si>
  <si>
    <t>mg C-CO2 day−1 kg−1 soil</t>
  </si>
  <si>
    <t>pre-fire stand age;pre-fire management;aspect;pH;Electrical conductivity;total organic carbon;available water;soil water content;cumulative basal soil respiration;Deshydrogenase activity;urease activity;alkaline phosphatase activity;β-glucosidase activity;plant diversity;plant richness</t>
  </si>
  <si>
    <t>cumulative basal soil respiration</t>
  </si>
  <si>
    <t>mg C-CO2 kg−1 soil in 32 days</t>
  </si>
  <si>
    <t>pre-fire stand age;pre-fire management;aspect;pH;Electrical conductivity;total organic carbon;available water;soil water content;Basal Soil RespirationDeshydrogenase activity;urease activity;alkaline phosphatase activity;β-glucosidase activity;plant diversity;plant richness</t>
  </si>
  <si>
    <t>μmol INTF g−1 dry soil hour−1</t>
  </si>
  <si>
    <t>pre-fire stand age;pre-fire management;aspect;pH;Electrical conductivity;total organic carbon;available water;soil water content;Basal Soil Respiration;cumulative basal soil respiration;urease activity;alkaline phosphatase activity;β-glucosidase activity;plant diversity;plant richness</t>
  </si>
  <si>
    <t>pre-fire stand age;pre-fire management;aspect;pH;Electrical conductivity;total organic carbon;available water;soil water content;Basal Soil Respiration;cumulative basal soil respiration;Deshydrogenase activity;alkaline phosphatase activity;β-glucosidase activity;plant diversity;plant richness</t>
  </si>
  <si>
    <t>alkaline phosphatase activity</t>
  </si>
  <si>
    <t>μmol p-NP g-1 dry soil</t>
  </si>
  <si>
    <t>pre-fire stand age;pre-fire management;aspect;pH;Electrical conductivity;total organic carbon;available water;soil water content;Basal Soil Respiration;cumulative basal soil respiration;Deshydrogenase activity;urease activity;β-glucosidase activity;plant diversity;plant richness</t>
  </si>
  <si>
    <t>pre-fire stand age;pre-fire management;aspect;pH;Electrical conductivity;total organic carbon;available water;soil water content;Basal Soil Respiration;cumulative basal soil respiration;Deshydrogenase activity;urease activity;alkaline phosphatase activity;plant diversity;plant richness</t>
  </si>
  <si>
    <t>3 samples per rectangular plots</t>
  </si>
  <si>
    <t>% by category</t>
  </si>
  <si>
    <t>sphorocarp species richness</t>
  </si>
  <si>
    <t>rectangular plots</t>
  </si>
  <si>
    <t>sphorocarp species richness by nutritional mode</t>
  </si>
  <si>
    <t>time since fire;nutritional mode</t>
  </si>
  <si>
    <t>sphorocarp species richness by edibility</t>
  </si>
  <si>
    <t>time since fire;edibility</t>
  </si>
  <si>
    <t>sphorocarp fresh weight</t>
  </si>
  <si>
    <t>kg / ha-1</t>
  </si>
  <si>
    <t>sphorocarp fresh weight by nutritional mode</t>
  </si>
  <si>
    <t>sphorocarp fresh weight by edibility</t>
  </si>
  <si>
    <t>dry weight (kg /ha-1)</t>
  </si>
  <si>
    <t>Soil nutrients</t>
  </si>
  <si>
    <t>2016_01</t>
  </si>
  <si>
    <t>fire occurrence; presence of terraces</t>
  </si>
  <si>
    <t>Electrical Conductivity</t>
  </si>
  <si>
    <t>Encymatic activity</t>
  </si>
  <si>
    <t>µmoles PNP g−1 dry soil h−1</t>
  </si>
  <si>
    <t>Mineralization coefficient</t>
  </si>
  <si>
    <t>mg C−CO2​ g−1 C h−1</t>
  </si>
  <si>
    <t>Shannon Index</t>
  </si>
  <si>
    <t>Unitless index</t>
  </si>
  <si>
    <t>Index of connectivity</t>
  </si>
  <si>
    <t>soil covers (bare, rock)</t>
  </si>
  <si>
    <t>water-related variables (repellency, hidraulic conductivity, infiltration, water content, moisture, etc.)</t>
  </si>
  <si>
    <t>particle traits (bulk density / porosity / compaction, weight, diameter, aggreggate stability, grain size and texture)</t>
  </si>
  <si>
    <t>carbonates</t>
  </si>
  <si>
    <t>other elements (Fe, Zn, Cu, Mn) / potential pollutants (Ni, Cr, Pb, Cd)</t>
  </si>
  <si>
    <t>other nutrients (P, N, K, Mg, Na, Ca)</t>
  </si>
  <si>
    <t>c / n ratio</t>
  </si>
  <si>
    <t>carbon and organic matter (TOC, SOM, C org. C inorg., etc.)</t>
  </si>
  <si>
    <t>mineralisation processes (ammonification / nitrification)</t>
  </si>
  <si>
    <t>soil community composition (abundance and diversity, eveness, philogeny for fungal, microorganisms)</t>
  </si>
  <si>
    <t>microbial biomass and nutrients (C, N)</t>
  </si>
  <si>
    <t>soil activity (respiration, enzymatic activity, decomposition, mineralisation)</t>
  </si>
  <si>
    <t>hydrological processes (runoff, sediment yield, erosion, etc.)</t>
  </si>
  <si>
    <t>moderator_type_clean</t>
  </si>
  <si>
    <t>gully morphology (width, plan area)</t>
  </si>
  <si>
    <t>environmental and site conditions</t>
  </si>
  <si>
    <t>topography (ruggeness index, altitude, slope, curvature, flow accumulation)</t>
  </si>
  <si>
    <t>fire regime and traits</t>
  </si>
  <si>
    <t>soil type</t>
  </si>
  <si>
    <t>soil traits and water availability</t>
  </si>
  <si>
    <t>species rank</t>
  </si>
  <si>
    <t>vegetation traits</t>
  </si>
  <si>
    <t>TSLF (time since long fire)</t>
  </si>
  <si>
    <t>use and human management</t>
  </si>
  <si>
    <t>elevation</t>
  </si>
  <si>
    <t>silvicultural treatment</t>
  </si>
  <si>
    <t>e_management type</t>
  </si>
  <si>
    <t>soil properties</t>
  </si>
  <si>
    <t>regeneration mode</t>
  </si>
  <si>
    <t>Raunkiaer's life form</t>
  </si>
  <si>
    <t xml:space="preserve"> species</t>
  </si>
  <si>
    <t xml:space="preserve"> DBH</t>
  </si>
  <si>
    <t>rainfall intensity</t>
  </si>
  <si>
    <t>slope</t>
  </si>
  <si>
    <t>soil exposure</t>
  </si>
  <si>
    <t>exposure</t>
  </si>
  <si>
    <t>se_management ype</t>
  </si>
  <si>
    <t>distancefromseedsource</t>
  </si>
  <si>
    <t>plantspecie</t>
  </si>
  <si>
    <t>nº times burnt</t>
  </si>
  <si>
    <t>plant status (resprout or planted)</t>
  </si>
  <si>
    <t>soil branches</t>
  </si>
  <si>
    <t>previous land use</t>
  </si>
  <si>
    <t>topographic position</t>
  </si>
  <si>
    <t>distance to unburned woodlands</t>
  </si>
  <si>
    <t>spatial factors</t>
  </si>
  <si>
    <t>bedrock type</t>
  </si>
  <si>
    <t>regeneration age</t>
  </si>
  <si>
    <t>topography</t>
  </si>
  <si>
    <t>position</t>
  </si>
  <si>
    <t>CVH</t>
  </si>
  <si>
    <t>se_management_type</t>
  </si>
  <si>
    <t>fire patterns</t>
  </si>
  <si>
    <t>montado prefire patterns</t>
  </si>
  <si>
    <t>mean contiguity index</t>
  </si>
  <si>
    <t>mean patch ratius of gyration</t>
  </si>
  <si>
    <t>normalized landscape shape index</t>
  </si>
  <si>
    <t>splitting density</t>
  </si>
  <si>
    <t>transitions to natural vegetation (1960-90)</t>
  </si>
  <si>
    <t>burned area distribution index</t>
  </si>
  <si>
    <t>burned area aggregation index</t>
  </si>
  <si>
    <t>effective mesh size</t>
  </si>
  <si>
    <t>autocovariate term</t>
  </si>
  <si>
    <t>Y coordinates centred</t>
  </si>
  <si>
    <t>burn severity</t>
  </si>
  <si>
    <t>plant recovery</t>
  </si>
  <si>
    <t>pine climatic niches</t>
  </si>
  <si>
    <t>position in slope</t>
  </si>
  <si>
    <t>total density</t>
  </si>
  <si>
    <t>oak density</t>
  </si>
  <si>
    <t>total basal area</t>
  </si>
  <si>
    <t>understorey height</t>
  </si>
  <si>
    <t>pine/oak density ratio</t>
  </si>
  <si>
    <t>pilepresence</t>
  </si>
  <si>
    <t>pileheight</t>
  </si>
  <si>
    <t>altitude</t>
  </si>
  <si>
    <t>bedrock and soil formation</t>
  </si>
  <si>
    <t>years since last fire</t>
  </si>
  <si>
    <t>trunk circumference</t>
  </si>
  <si>
    <t>canopy radius</t>
  </si>
  <si>
    <t>fire episodes</t>
  </si>
  <si>
    <t>prefire vegetation state</t>
  </si>
  <si>
    <t>postfire climate variability</t>
  </si>
  <si>
    <t>land‐cover change</t>
  </si>
  <si>
    <t>rainfall events</t>
  </si>
  <si>
    <t>n of previous fires</t>
  </si>
  <si>
    <t>time elapsed since the last fire</t>
  </si>
  <si>
    <t>forest management (traditional trunk coppicing, branch pruning, and no sylvicultural practice)</t>
  </si>
  <si>
    <t>n of thinnings</t>
  </si>
  <si>
    <t>trees age</t>
  </si>
  <si>
    <t>thinning intensity</t>
  </si>
  <si>
    <t>vegetation strata</t>
  </si>
  <si>
    <t>climate</t>
  </si>
  <si>
    <t>human impacts</t>
  </si>
  <si>
    <t>water abailability</t>
  </si>
  <si>
    <t>tree dbh</t>
  </si>
  <si>
    <t>tree age</t>
  </si>
  <si>
    <t>distance from burned trunk</t>
  </si>
  <si>
    <t>land use</t>
  </si>
  <si>
    <t>deer presence</t>
  </si>
  <si>
    <t>distance to seed trees</t>
  </si>
  <si>
    <t>HLI</t>
  </si>
  <si>
    <t>roughness</t>
  </si>
  <si>
    <t>Gramineae</t>
  </si>
  <si>
    <t>forbs</t>
  </si>
  <si>
    <t>bare soil</t>
  </si>
  <si>
    <t>shrubs</t>
  </si>
  <si>
    <t>coarse woody debris</t>
  </si>
  <si>
    <t>rock</t>
  </si>
  <si>
    <t>dominant tree species</t>
  </si>
  <si>
    <t>time since last wildfire</t>
  </si>
  <si>
    <t>water deficit</t>
  </si>
  <si>
    <t>salvage logging</t>
  </si>
  <si>
    <t>plant debris</t>
  </si>
  <si>
    <t>unburnt remnant patches</t>
  </si>
  <si>
    <t>pre-fire habitat</t>
  </si>
  <si>
    <t>burnt area</t>
  </si>
  <si>
    <t>summer water deficit</t>
  </si>
  <si>
    <t>geological substrate</t>
  </si>
  <si>
    <t>fire magnitude</t>
  </si>
  <si>
    <t>sapling state</t>
  </si>
  <si>
    <t>bark thickness</t>
  </si>
  <si>
    <t>TSLF</t>
  </si>
  <si>
    <t>nº fires</t>
  </si>
  <si>
    <t>orientation</t>
  </si>
  <si>
    <t>cryptogams cover</t>
  </si>
  <si>
    <t>airy litter</t>
  </si>
  <si>
    <t>inter-stem distance</t>
  </si>
  <si>
    <t xml:space="preserve"> plot</t>
  </si>
  <si>
    <t>forest layer</t>
  </si>
  <si>
    <t xml:space="preserve"> time</t>
  </si>
  <si>
    <t xml:space="preserve"> VARI index</t>
  </si>
  <si>
    <t xml:space="preserve"> terrain roughness</t>
  </si>
  <si>
    <t xml:space="preserve"> land slope</t>
  </si>
  <si>
    <t>spatial river gradient</t>
  </si>
  <si>
    <t xml:space="preserve"> fire severity</t>
  </si>
  <si>
    <t>pine stand ages</t>
  </si>
  <si>
    <t>date</t>
  </si>
  <si>
    <t xml:space="preserve"> seed protection</t>
  </si>
  <si>
    <t>NBR regrowth</t>
  </si>
  <si>
    <t xml:space="preserve"> NBR disturbance</t>
  </si>
  <si>
    <t xml:space="preserve"> recovery index</t>
  </si>
  <si>
    <t xml:space="preserve"> years to recovery</t>
  </si>
  <si>
    <t xml:space="preserve"> season</t>
  </si>
  <si>
    <t xml:space="preserve"> vegetation recovery</t>
  </si>
  <si>
    <t xml:space="preserve"> year</t>
  </si>
  <si>
    <t xml:space="preserve"> vegetation type</t>
  </si>
  <si>
    <t>vegetation recovery</t>
  </si>
  <si>
    <t>structural plant species</t>
  </si>
  <si>
    <t xml:space="preserve"> woodland type</t>
  </si>
  <si>
    <t>postrecovery time</t>
  </si>
  <si>
    <t xml:space="preserve"> fire recurrence</t>
  </si>
  <si>
    <t xml:space="preserve"> fire return interval</t>
  </si>
  <si>
    <t xml:space="preserve"> burn severity</t>
  </si>
  <si>
    <t xml:space="preserve"> regeneration density</t>
  </si>
  <si>
    <t xml:space="preserve"> prefire stand age</t>
  </si>
  <si>
    <t xml:space="preserve"> aspect</t>
  </si>
  <si>
    <t xml:space="preserve"> year after fire</t>
  </si>
  <si>
    <t xml:space="preserve"> tree status</t>
  </si>
  <si>
    <t xml:space="preserve"> tree diameter</t>
  </si>
  <si>
    <t xml:space="preserve"> soil humidity</t>
  </si>
  <si>
    <t xml:space="preserve"> soil color</t>
  </si>
  <si>
    <t xml:space="preserve"> understory height</t>
  </si>
  <si>
    <t xml:space="preserve"> aspects</t>
  </si>
  <si>
    <t xml:space="preserve"> bark thickness</t>
  </si>
  <si>
    <t xml:space="preserve"> shrub cover classes</t>
  </si>
  <si>
    <t xml:space="preserve"> pine cover</t>
  </si>
  <si>
    <t xml:space="preserve"> postfire pine age</t>
  </si>
  <si>
    <t xml:space="preserve"> site</t>
  </si>
  <si>
    <t xml:space="preserve"> management_type</t>
  </si>
  <si>
    <t>size of fire</t>
  </si>
  <si>
    <t>rehabilitation treatment</t>
  </si>
  <si>
    <t>geographical location</t>
  </si>
  <si>
    <t>stem density</t>
  </si>
  <si>
    <t>variation in stem density</t>
  </si>
  <si>
    <t xml:space="preserve"> cone type</t>
  </si>
  <si>
    <t xml:space="preserve"> cone age</t>
  </si>
  <si>
    <t xml:space="preserve"> distance to closest reproductive tree</t>
  </si>
  <si>
    <t>TOC</t>
  </si>
  <si>
    <t xml:space="preserve"> nutrients</t>
  </si>
  <si>
    <t>nutrients</t>
  </si>
  <si>
    <t xml:space="preserve"> spread dead branches cover</t>
  </si>
  <si>
    <t xml:space="preserve"> piled dead branches cover</t>
  </si>
  <si>
    <t xml:space="preserve"> vegetation cover</t>
  </si>
  <si>
    <t xml:space="preserve"> time after fire</t>
  </si>
  <si>
    <t>soil depth</t>
  </si>
  <si>
    <t xml:space="preserve"> slope</t>
  </si>
  <si>
    <t>fire regime</t>
  </si>
  <si>
    <t>funcitonal groups</t>
  </si>
  <si>
    <t>fungal edibility</t>
  </si>
  <si>
    <t>forest stand type</t>
  </si>
  <si>
    <t>rainy event</t>
  </si>
  <si>
    <t>burning tree level</t>
  </si>
  <si>
    <t>distance to the unburned area</t>
  </si>
  <si>
    <t xml:space="preserve"> distance to the nearest trap</t>
  </si>
  <si>
    <t xml:space="preserve"> number of neighboring traps</t>
  </si>
  <si>
    <t xml:space="preserve"> burned area</t>
  </si>
  <si>
    <t xml:space="preserve"> forest area</t>
  </si>
  <si>
    <t xml:space="preserve"> unburned forest area</t>
  </si>
  <si>
    <t>sampling year</t>
  </si>
  <si>
    <t xml:space="preserve"> fire plot type</t>
  </si>
  <si>
    <t>management ype</t>
  </si>
  <si>
    <t>managment_type</t>
  </si>
  <si>
    <t>subcatchment area</t>
  </si>
  <si>
    <t>stream density</t>
  </si>
  <si>
    <t>C factor</t>
  </si>
  <si>
    <t>permeability</t>
  </si>
  <si>
    <t>trunk diameter</t>
  </si>
  <si>
    <t>fungal diversity</t>
  </si>
  <si>
    <t>bacteria diversity</t>
  </si>
  <si>
    <t>fire frequency</t>
  </si>
  <si>
    <t>slope position</t>
  </si>
  <si>
    <t>rainfall</t>
  </si>
  <si>
    <t>moisture content</t>
  </si>
  <si>
    <t>rain intensity</t>
  </si>
  <si>
    <t>successional stage</t>
  </si>
  <si>
    <t>subshrubs</t>
  </si>
  <si>
    <t>leafs</t>
  </si>
  <si>
    <t>plant height</t>
  </si>
  <si>
    <t>plant richness</t>
  </si>
  <si>
    <t>plant stratification</t>
  </si>
  <si>
    <t>trees</t>
  </si>
  <si>
    <t>surface cover</t>
  </si>
  <si>
    <t>branches</t>
  </si>
  <si>
    <t>curvature</t>
  </si>
  <si>
    <t>tree canopy cover</t>
  </si>
  <si>
    <t>RdNBR index</t>
  </si>
  <si>
    <t>surrounding unburned areas</t>
  </si>
  <si>
    <t>prefire vegetation condition</t>
  </si>
  <si>
    <t>forest species</t>
  </si>
  <si>
    <t>prefire vegetationcover</t>
  </si>
  <si>
    <t>prefire vegetation moisture and structure</t>
  </si>
  <si>
    <t>drought index</t>
  </si>
  <si>
    <t>succesional stage</t>
  </si>
  <si>
    <t>ecosystems</t>
  </si>
  <si>
    <t>differences pre-post fire</t>
  </si>
  <si>
    <t>type of fire( wiildfire or prescribed burning)</t>
  </si>
  <si>
    <t xml:space="preserve"> Soil layer</t>
  </si>
  <si>
    <t xml:space="preserve"> time since fire</t>
  </si>
  <si>
    <t xml:space="preserve"> fire type (crown vs surface)</t>
  </si>
  <si>
    <t>Time since fire</t>
  </si>
  <si>
    <t>soil layer</t>
  </si>
  <si>
    <t>site location</t>
  </si>
  <si>
    <t>presence of bryophyte turfs</t>
  </si>
  <si>
    <t>Functional group</t>
  </si>
  <si>
    <t xml:space="preserve"> states of regeneration</t>
  </si>
  <si>
    <t>Postfire management treatment</t>
  </si>
  <si>
    <t xml:space="preserve"> sampling period</t>
  </si>
  <si>
    <t>Season</t>
  </si>
  <si>
    <t>Time after fire</t>
  </si>
  <si>
    <t>distance from burn perimeter</t>
  </si>
  <si>
    <t>vegetation height</t>
  </si>
  <si>
    <t>mice sex</t>
  </si>
  <si>
    <t>mice age</t>
  </si>
  <si>
    <t>mice body mass indices</t>
  </si>
  <si>
    <t>life form (woody, perennial herbs</t>
  </si>
  <si>
    <t>annual herbs)</t>
  </si>
  <si>
    <t xml:space="preserve"> land use</t>
  </si>
  <si>
    <t xml:space="preserve"> Regenerative functional traits</t>
  </si>
  <si>
    <t>NDVI trend</t>
  </si>
  <si>
    <t xml:space="preserve"> landscape type</t>
  </si>
  <si>
    <t xml:space="preserve"> fire id</t>
  </si>
  <si>
    <t xml:space="preserve"> severity</t>
  </si>
  <si>
    <t>fire id</t>
  </si>
  <si>
    <t xml:space="preserve"> plant formation </t>
  </si>
  <si>
    <t xml:space="preserve"> regenerative trajectory</t>
  </si>
  <si>
    <t xml:space="preserve"> plant formations</t>
  </si>
  <si>
    <t xml:space="preserve"> vegetation characteristics</t>
  </si>
  <si>
    <t>fire occurrence(fire/control)</t>
  </si>
  <si>
    <t xml:space="preserve"> post-fire treatment</t>
  </si>
  <si>
    <t xml:space="preserve">defoliation </t>
  </si>
  <si>
    <t xml:space="preserve"> Basal Area Increment</t>
  </si>
  <si>
    <t>precipitation</t>
  </si>
  <si>
    <t>environmental variability</t>
  </si>
  <si>
    <t>Fire ocurrence</t>
  </si>
  <si>
    <t xml:space="preserve"> moss presence (unburned, moss, bare)</t>
  </si>
  <si>
    <t xml:space="preserve"> plant sucession</t>
  </si>
  <si>
    <t>leaf litter cover</t>
  </si>
  <si>
    <t>stone cover</t>
  </si>
  <si>
    <t>postfire selvicultural treatment</t>
  </si>
  <si>
    <t>Euclidean distance</t>
  </si>
  <si>
    <t xml:space="preserve"> Thornthwaite index</t>
  </si>
  <si>
    <t xml:space="preserve"> fire occurrence</t>
  </si>
  <si>
    <t xml:space="preserve"> basal area of Quercus ilex</t>
  </si>
  <si>
    <t xml:space="preserve"> basal area of Quercus pubescens</t>
  </si>
  <si>
    <t xml:space="preserve"> basal area of Pinus halepensis</t>
  </si>
  <si>
    <t xml:space="preserve"> total basal area</t>
  </si>
  <si>
    <t>environmental variables (elevation, aspect, slope, soil depth)</t>
  </si>
  <si>
    <t xml:space="preserve"> vegetation cover by class</t>
  </si>
  <si>
    <t xml:space="preserve"> vegetation average heigh by class</t>
  </si>
  <si>
    <t>bare soil or rock cover</t>
  </si>
  <si>
    <t>litter cover</t>
  </si>
  <si>
    <t>trunks and branches cover</t>
  </si>
  <si>
    <t>pine pre-fire basal area</t>
  </si>
  <si>
    <t>position of unburnt pine patches</t>
  </si>
  <si>
    <t>extent of erosion</t>
  </si>
  <si>
    <t>fungal diversity indices</t>
  </si>
  <si>
    <t xml:space="preserve"> fungal diversity indices</t>
  </si>
  <si>
    <t>tree height</t>
  </si>
  <si>
    <t>distance from the unburnt pine patches</t>
  </si>
  <si>
    <t>assemblage of fungal species</t>
  </si>
  <si>
    <t>VPD</t>
  </si>
  <si>
    <t>sap wood temp</t>
  </si>
  <si>
    <t>relative humidity</t>
  </si>
  <si>
    <t>air temp</t>
  </si>
  <si>
    <t>incoming radiation</t>
  </si>
  <si>
    <t>pre-fire vs. Post-fire</t>
  </si>
  <si>
    <t>post-fire intervention</t>
  </si>
  <si>
    <t xml:space="preserve"> herb-interference treatments</t>
  </si>
  <si>
    <t>seedling age</t>
  </si>
  <si>
    <t>composite burn index (severity)</t>
  </si>
  <si>
    <t>pre vs. Post-fire</t>
  </si>
  <si>
    <t>land cover</t>
  </si>
  <si>
    <t>flood- and erosion-control</t>
  </si>
  <si>
    <t>pre-veg conditions</t>
  </si>
  <si>
    <t>not been affected by fire</t>
  </si>
  <si>
    <t xml:space="preserve"> time-since-fire</t>
  </si>
  <si>
    <t xml:space="preserve"> elevation</t>
  </si>
  <si>
    <t xml:space="preserve"> inclination</t>
  </si>
  <si>
    <t xml:space="preserve"> before/after postfire rainy season</t>
  </si>
  <si>
    <t xml:space="preserve"> month of dispersal season</t>
  </si>
  <si>
    <t>bedrock material</t>
  </si>
  <si>
    <t>Fire severity category</t>
  </si>
  <si>
    <t xml:space="preserve"> Land use land cover (LUCL)</t>
  </si>
  <si>
    <t xml:space="preserve"> monthly rainfall</t>
  </si>
  <si>
    <t xml:space="preserve"> monthly mean temperature</t>
  </si>
  <si>
    <t xml:space="preserve"> LULC class</t>
  </si>
  <si>
    <t xml:space="preserve"> study periods (pre-fire, post-fire, and regrowth)</t>
  </si>
  <si>
    <t xml:space="preserve"> fire interval</t>
  </si>
  <si>
    <t xml:space="preserve"> real solar radiation</t>
  </si>
  <si>
    <t xml:space="preserve"> precipitation</t>
  </si>
  <si>
    <t xml:space="preserve"> vegetation profile layer (herb, shrub, tree)</t>
  </si>
  <si>
    <t xml:space="preserve"> tree species (P. halepensis, Q.ilex, Q. Coccifera)</t>
  </si>
  <si>
    <t xml:space="preserve"> regeneration strategy (resprouters/resprouters-seeders/seeders-P. halepensis)</t>
  </si>
  <si>
    <t xml:space="preserve"> life form (Macrophanerophytes/Nanophanerophytes/Chamaephytes)</t>
  </si>
  <si>
    <t xml:space="preserve"> vegetation profile layer (herbs, grasses, vines)</t>
  </si>
  <si>
    <t xml:space="preserve"> woody species groups (woody species / woody species-P. halepensis / P. halepensis)</t>
  </si>
  <si>
    <t xml:space="preserve"> vegetation profile (herb, shrub, tree)</t>
  </si>
  <si>
    <t>fire effect (pre-fire vs 8th year postfire)</t>
  </si>
  <si>
    <t xml:space="preserve"> vegetation height (from "rock cover" to 16 m)</t>
  </si>
  <si>
    <t xml:space="preserve"> mesh size</t>
  </si>
  <si>
    <t>leaf mesh size</t>
  </si>
  <si>
    <t xml:space="preserve"> organism type (shredders, scapers, predators, gathering collectors y fitering collectors)</t>
  </si>
  <si>
    <t xml:space="preserve"> plant functional group (seeders/resprouters)</t>
  </si>
  <si>
    <t>previous densities of saplings</t>
  </si>
  <si>
    <t>previous presence of seedlings</t>
  </si>
  <si>
    <t>previous seed dispersal</t>
  </si>
  <si>
    <t>management scenario (Sc.1, Sc.2, Sc.3)</t>
  </si>
  <si>
    <t>pre‑fire sapling density</t>
  </si>
  <si>
    <t>pre‑fire seedling presence</t>
  </si>
  <si>
    <t>dominant pine species (P. nigra only)</t>
  </si>
  <si>
    <t>postfire restoration (intervention)</t>
  </si>
  <si>
    <t>fire severity (dNBR)</t>
  </si>
  <si>
    <t>Palmer Drought Severity Index (PDSI)</t>
  </si>
  <si>
    <t>topography(aspect</t>
  </si>
  <si>
    <t>slope)</t>
  </si>
  <si>
    <t>post-fire forest treatment (type B, C, D)</t>
  </si>
  <si>
    <t>soil covered by vegetation with or without presence of branches</t>
  </si>
  <si>
    <t>soil covereg by vegetation without burnt branches</t>
  </si>
  <si>
    <t>soil covered by vegetation with burnt branches</t>
  </si>
  <si>
    <t>soil covered by plant species</t>
  </si>
  <si>
    <t xml:space="preserve"> bare ground surface</t>
  </si>
  <si>
    <t>fire regime (number of fires, fire intervals, age of last fire)</t>
  </si>
  <si>
    <t>post-fire habitat structure (grassland/garrigue/woods)</t>
  </si>
  <si>
    <t>geographical location (mountainous area)</t>
  </si>
  <si>
    <t>fire interval (short vs. long)</t>
  </si>
  <si>
    <t>geographical location (north vs. south)</t>
  </si>
  <si>
    <t>mountainous area</t>
  </si>
  <si>
    <t>previous vegetation</t>
  </si>
  <si>
    <t xml:space="preserve"> post-fire habitat structure</t>
  </si>
  <si>
    <t>rainfall amount</t>
  </si>
  <si>
    <t>Climate</t>
  </si>
  <si>
    <t>Post‑fire soil moisture)</t>
  </si>
  <si>
    <t>Pre‑fire soil condition</t>
  </si>
  <si>
    <t>Landscape configuration</t>
  </si>
  <si>
    <t>pre‑fire vegetation structure</t>
  </si>
  <si>
    <t xml:space="preserve"> Brachypodium retusum cover</t>
  </si>
  <si>
    <t>fire number</t>
  </si>
  <si>
    <t>number of burnt pine logs</t>
  </si>
  <si>
    <t>induced drought</t>
  </si>
  <si>
    <t>sampling period</t>
  </si>
  <si>
    <t>sound cone crop size</t>
  </si>
  <si>
    <t>stump number</t>
  </si>
  <si>
    <t>stump surface</t>
  </si>
  <si>
    <t>Forest management type</t>
  </si>
  <si>
    <t xml:space="preserve"> time since disturbance</t>
  </si>
  <si>
    <t xml:space="preserve"> rainfall</t>
  </si>
  <si>
    <t>Time since disturbance</t>
  </si>
  <si>
    <t xml:space="preserve"> forest management type</t>
  </si>
  <si>
    <t>spacing (25, 50, 150 mm)</t>
  </si>
  <si>
    <t>Time since installation</t>
  </si>
  <si>
    <t xml:space="preserve"> site (species)</t>
  </si>
  <si>
    <t xml:space="preserve"> position (under logs vs. bare area)</t>
  </si>
  <si>
    <t>Time since fire (years)</t>
  </si>
  <si>
    <t>dominant vs eudominant species</t>
  </si>
  <si>
    <t>type of nesting</t>
  </si>
  <si>
    <t>type of prey captured</t>
  </si>
  <si>
    <t>environmental variables measured in late May 2005, 2006 and 2007 (tree cover, bush cover, herbaceous cover, bare soil and  bush height)</t>
  </si>
  <si>
    <t>stand (UB = unburned, B = long fire return interval B1 and B2, short fire return intervals)</t>
  </si>
  <si>
    <t>ground cover (% bare soil, % ash, %litter)</t>
  </si>
  <si>
    <t>fire severity (according to different indices)</t>
  </si>
  <si>
    <t>pine seed input (post fire and post harvest)</t>
  </si>
  <si>
    <t>species family</t>
  </si>
  <si>
    <t>Position on hillside (upper, middle, low)</t>
  </si>
  <si>
    <t>Slope</t>
  </si>
  <si>
    <t>Fire recurrence</t>
  </si>
  <si>
    <t>Site</t>
  </si>
  <si>
    <t>Exposure</t>
  </si>
  <si>
    <t>Position on hillside</t>
  </si>
  <si>
    <t>Fire recurrence (single vs. double fire)</t>
  </si>
  <si>
    <t>Aspect</t>
  </si>
  <si>
    <t>Distance to unburned forest</t>
  </si>
  <si>
    <t>Precipitation depth (P)</t>
  </si>
  <si>
    <t>Max 5min rainfall intensity (I5)</t>
  </si>
  <si>
    <t>Max 5min rainfall intensity (I15)</t>
  </si>
  <si>
    <t>AI15 index (P*I15)</t>
  </si>
  <si>
    <t>rainfall effective duration</t>
  </si>
  <si>
    <t>Ash depth</t>
  </si>
  <si>
    <t>cover type (ash-needle, ash-only, bare)</t>
  </si>
  <si>
    <t>cover type</t>
  </si>
  <si>
    <t>ash removal</t>
  </si>
  <si>
    <t>slope aspect</t>
  </si>
  <si>
    <t>Runoff</t>
  </si>
  <si>
    <t xml:space="preserve"> rain intensity</t>
  </si>
  <si>
    <t xml:space="preserve"> soil moisture (precip-days)</t>
  </si>
  <si>
    <t xml:space="preserve"> first vs second winter</t>
  </si>
  <si>
    <t>Vegetation class (herbs, trees, shrub, small shrub)</t>
  </si>
  <si>
    <t>fire class (nunber of fires, time since last fire, time since penultimate fire)</t>
  </si>
  <si>
    <t>elevation (m)</t>
  </si>
  <si>
    <t>slope (%)</t>
  </si>
  <si>
    <t>exposure (grades)</t>
  </si>
  <si>
    <t>soil depth (cm)</t>
  </si>
  <si>
    <t>presence of rocks</t>
  </si>
  <si>
    <t>ground cover composition (no vascular cryptogams, bare soil, rocky outcrop cover)</t>
  </si>
  <si>
    <t>litter type</t>
  </si>
  <si>
    <t>Forest type</t>
  </si>
  <si>
    <t>days after fire</t>
  </si>
  <si>
    <t>pre-fire NBR</t>
  </si>
  <si>
    <t xml:space="preserve"> NBR drop due tu fire</t>
  </si>
  <si>
    <t xml:space="preserve"> reburn (recurrence vs no recurrence)</t>
  </si>
  <si>
    <t xml:space="preserve"> monthly mean tempearture minimum</t>
  </si>
  <si>
    <t xml:space="preserve"> monthly precipitation</t>
  </si>
  <si>
    <t xml:space="preserve"> annual precipitation</t>
  </si>
  <si>
    <t>crown damage</t>
  </si>
  <si>
    <t>location</t>
  </si>
  <si>
    <t>tree size</t>
  </si>
  <si>
    <t>tree location</t>
  </si>
  <si>
    <t>zone</t>
  </si>
  <si>
    <t>fungal community</t>
  </si>
  <si>
    <t xml:space="preserve"> burned/unburned plot</t>
  </si>
  <si>
    <t xml:space="preserve"> aspect (north/south)</t>
  </si>
  <si>
    <t xml:space="preserve"> plot (ppinaster vs cladanifer)</t>
  </si>
  <si>
    <t>functional group (mycorrhizalvs saprophytic)</t>
  </si>
  <si>
    <t xml:space="preserve"> burn/unburned plot (ppinaster vs cladanifer)</t>
  </si>
  <si>
    <t>fire season</t>
  </si>
  <si>
    <t xml:space="preserve"> prefire plant diameter</t>
  </si>
  <si>
    <t xml:space="preserve"> ectomycorrizal types per seedling</t>
  </si>
  <si>
    <t xml:space="preserve"> ectomycorrizal types</t>
  </si>
  <si>
    <t xml:space="preserve"> ectomycorrizal abundance</t>
  </si>
  <si>
    <t xml:space="preserve"> ectomycorrizal species</t>
  </si>
  <si>
    <t>wood removal</t>
  </si>
  <si>
    <t>Number of previous fires</t>
  </si>
  <si>
    <t xml:space="preserve"> time since last fire</t>
  </si>
  <si>
    <t xml:space="preserve"> fire epoch</t>
  </si>
  <si>
    <t xml:space="preserve"> interval between successive fires</t>
  </si>
  <si>
    <t xml:space="preserve"> NCI (neighborhood effect)</t>
  </si>
  <si>
    <t xml:space="preserve"> Basal area 2012</t>
  </si>
  <si>
    <t xml:space="preserve"> pine age</t>
  </si>
  <si>
    <t xml:space="preserve"> pine size class</t>
  </si>
  <si>
    <t>Reflectance</t>
  </si>
  <si>
    <t xml:space="preserve"> spectral indices</t>
  </si>
  <si>
    <t xml:space="preserve"> 1rd &amp; 2rd textures</t>
  </si>
  <si>
    <t xml:space="preserve"> recurrence</t>
  </si>
  <si>
    <t>microhabitat</t>
  </si>
  <si>
    <t>prefire climate</t>
  </si>
  <si>
    <t>prefire geography</t>
  </si>
  <si>
    <t>prefire topography and soil</t>
  </si>
  <si>
    <t>prefire overstorey structure</t>
  </si>
  <si>
    <t>prefire understorey structure</t>
  </si>
  <si>
    <t>post-fire climate</t>
  </si>
  <si>
    <t>post-fire overstorey structure</t>
  </si>
  <si>
    <t xml:space="preserve"> post-fire understorey structure</t>
  </si>
  <si>
    <t xml:space="preserve"> post-fire soil</t>
  </si>
  <si>
    <t>Time elapsed since fire to pine regeneration sampling</t>
  </si>
  <si>
    <t>initial target tree size</t>
  </si>
  <si>
    <t>local climatic conditions</t>
  </si>
  <si>
    <t>competition</t>
  </si>
  <si>
    <t>woody debris after fire</t>
  </si>
  <si>
    <t xml:space="preserve"> soil chemical properties</t>
  </si>
  <si>
    <t xml:space="preserve"> vegetation richness</t>
  </si>
  <si>
    <t>position within the species climatic niche</t>
  </si>
  <si>
    <t>soil stoniness</t>
  </si>
  <si>
    <t>stable isotopes of host plants</t>
  </si>
  <si>
    <t xml:space="preserve"> soil organic matter fraction</t>
  </si>
  <si>
    <t>post-fire vegetation recovery</t>
  </si>
  <si>
    <t>slope gradient</t>
  </si>
  <si>
    <t>slope length</t>
  </si>
  <si>
    <t>post-fire management treatment</t>
  </si>
  <si>
    <t>environment</t>
  </si>
  <si>
    <t>time between fires</t>
  </si>
  <si>
    <t>lithology</t>
  </si>
  <si>
    <t>edaphology</t>
  </si>
  <si>
    <t>vegetation structure</t>
  </si>
  <si>
    <t>fire return interval lenght</t>
  </si>
  <si>
    <t xml:space="preserve"> fire history</t>
  </si>
  <si>
    <t xml:space="preserve"> plant host</t>
  </si>
  <si>
    <t>plot size</t>
  </si>
  <si>
    <t>plot shape</t>
  </si>
  <si>
    <t>distance from trunk</t>
  </si>
  <si>
    <t xml:space="preserve"> substrate (ash vs soil)</t>
  </si>
  <si>
    <t xml:space="preserve"> ash presence</t>
  </si>
  <si>
    <t>stem height</t>
  </si>
  <si>
    <t xml:space="preserve"> habitat structural complexity</t>
  </si>
  <si>
    <t>shrub development</t>
  </si>
  <si>
    <t>fire impact</t>
  </si>
  <si>
    <t>previous size of the individuals</t>
  </si>
  <si>
    <t>growth form (tree vs shrub)</t>
  </si>
  <si>
    <t xml:space="preserve"> slope aspect</t>
  </si>
  <si>
    <t>vegetation index</t>
  </si>
  <si>
    <t>cone type</t>
  </si>
  <si>
    <t>figure ocurrence</t>
  </si>
  <si>
    <t>host sex</t>
  </si>
  <si>
    <t>habitat</t>
  </si>
  <si>
    <t>fire type</t>
  </si>
  <si>
    <t>Post-fire management strategies</t>
  </si>
  <si>
    <t xml:space="preserve"> Soil Organic Matter</t>
  </si>
  <si>
    <t>ocurrence</t>
  </si>
  <si>
    <t>post-fire period</t>
  </si>
  <si>
    <t xml:space="preserve"> host sex</t>
  </si>
  <si>
    <t>ecological guilds</t>
  </si>
  <si>
    <t xml:space="preserve"> fire</t>
  </si>
  <si>
    <t xml:space="preserve"> NDVI</t>
  </si>
  <si>
    <t>soil erosion treatment</t>
  </si>
  <si>
    <t>time since the soil treatment</t>
  </si>
  <si>
    <t>Tree diameter (DBH)</t>
  </si>
  <si>
    <t xml:space="preserve"> fire severity (char depth/height)</t>
  </si>
  <si>
    <t xml:space="preserve"> green crown volume</t>
  </si>
  <si>
    <t xml:space="preserve"> distance to unburned area</t>
  </si>
  <si>
    <t xml:space="preserve"> cork exploitation status (exploited/unexploited)</t>
  </si>
  <si>
    <t xml:space="preserve"> and stem wounds.</t>
  </si>
  <si>
    <t>Distance to unburned area</t>
  </si>
  <si>
    <t xml:space="preserve"> debarking height</t>
  </si>
  <si>
    <t xml:space="preserve"> and tree diameter (DBH).</t>
  </si>
  <si>
    <t>Zone (Deposition/Erosion)</t>
  </si>
  <si>
    <t xml:space="preserve"> Structure type</t>
  </si>
  <si>
    <t xml:space="preserve"> Site</t>
  </si>
  <si>
    <t xml:space="preserve"> Year</t>
  </si>
  <si>
    <t>Zone</t>
  </si>
  <si>
    <t>Rainfall</t>
  </si>
  <si>
    <t xml:space="preserve"> temperature</t>
  </si>
  <si>
    <t xml:space="preserve"> net radiation</t>
  </si>
  <si>
    <t xml:space="preserve"> soil moisture</t>
  </si>
  <si>
    <t xml:space="preserve"> dew formation</t>
  </si>
  <si>
    <t>Net radiation</t>
  </si>
  <si>
    <t>Soil temperature</t>
  </si>
  <si>
    <t xml:space="preserve"> soil volumetric water content (VWC)</t>
  </si>
  <si>
    <t xml:space="preserve"> ground heat flux</t>
  </si>
  <si>
    <t xml:space="preserve"> wind speed</t>
  </si>
  <si>
    <t xml:space="preserve"> fire ocurrence</t>
  </si>
  <si>
    <t>Total Organic Carbon</t>
  </si>
  <si>
    <t>Microbial Biomass Carbon</t>
  </si>
  <si>
    <t>Basal Soil Respiration</t>
  </si>
  <si>
    <t>Deshydrogenase activity</t>
  </si>
  <si>
    <t>previous management</t>
  </si>
  <si>
    <t>annual rainfal</t>
  </si>
  <si>
    <t>rainfal erosivity</t>
  </si>
  <si>
    <t>frequency of high soil water repellency classes</t>
  </si>
  <si>
    <t>previous stand age</t>
  </si>
  <si>
    <t>available water</t>
  </si>
  <si>
    <t>plant diversity</t>
  </si>
  <si>
    <t>plant reproductive traits</t>
  </si>
  <si>
    <t>life forms</t>
  </si>
  <si>
    <t>mulching treatment</t>
  </si>
  <si>
    <t>cover of understory</t>
  </si>
  <si>
    <t>biogeographic region</t>
  </si>
  <si>
    <t>forest type (mono-specific eucalypt plantation, mono-specific maritime pine plantation, mixed eucalypt-pine stand)</t>
  </si>
  <si>
    <t>occurrence of soil tillage</t>
  </si>
  <si>
    <t>occurrence of tree harvesting</t>
  </si>
  <si>
    <t>occurrence of shrub clearance</t>
  </si>
  <si>
    <t>reproductive functional group</t>
  </si>
  <si>
    <t>shrub family</t>
  </si>
  <si>
    <t>nutritional mode</t>
  </si>
  <si>
    <t>edibility</t>
  </si>
  <si>
    <t>age after fire</t>
  </si>
  <si>
    <t>distance to unburned patches</t>
  </si>
  <si>
    <t>heat load index</t>
  </si>
  <si>
    <t>number of mature surviving trees</t>
  </si>
  <si>
    <t>height and dbh of mature surviving trees</t>
  </si>
  <si>
    <t>no. of fires</t>
  </si>
  <si>
    <t>vegetation cover (ferns, herbs, coarse woody debris, stones, bare soil and litter)</t>
  </si>
  <si>
    <t xml:space="preserve"> presence of terraces</t>
  </si>
  <si>
    <t>fire site</t>
  </si>
  <si>
    <t xml:space="preserve"> pre-fire vegetation</t>
  </si>
  <si>
    <t xml:space="preserve"> altitude</t>
  </si>
  <si>
    <t xml:space="preserve"> solar radiation</t>
  </si>
  <si>
    <t xml:space="preserve"> distance from unburned sites</t>
  </si>
  <si>
    <t xml:space="preserve"> distance from unburned P. brutia forest</t>
  </si>
  <si>
    <t xml:space="preserve"> </t>
  </si>
  <si>
    <t xml:space="preserve"> soil depth</t>
  </si>
  <si>
    <t xml:space="preserve"> bedrock type</t>
  </si>
  <si>
    <t>Altitude</t>
  </si>
  <si>
    <t xml:space="preserve"> life form type</t>
  </si>
  <si>
    <t xml:space="preserve"> vegetation index</t>
  </si>
  <si>
    <t xml:space="preserve"> diversity type (Shannon-Wiener diversity, Simpson diversity, and species richness)</t>
  </si>
  <si>
    <t xml:space="preserve"> species type (Ulex parviflorus, Rosmarinus officinalis y Cistus clusi, Ulex  parviflorus)</t>
  </si>
  <si>
    <t xml:space="preserve"> post-management treatment</t>
  </si>
  <si>
    <t>species identity</t>
  </si>
  <si>
    <t>remote sensing indexes</t>
  </si>
  <si>
    <t>categoria vegetacion</t>
  </si>
  <si>
    <t>structure (cover, diameter, height, density, biomass, etc.)</t>
  </si>
  <si>
    <t>prefire vegetation type</t>
  </si>
  <si>
    <t>life form and functional traits</t>
  </si>
  <si>
    <t>NBR index</t>
  </si>
  <si>
    <t>fire spatial area, patterns, agreggation and distribution</t>
  </si>
  <si>
    <t>fire events and number of fires</t>
  </si>
  <si>
    <t>fire history and return interval</t>
  </si>
  <si>
    <t>clima, fisiografía, paisaje y sitio</t>
  </si>
  <si>
    <t>variables climaticas (precipitación, temperatura)</t>
  </si>
  <si>
    <t>topografia (exposición, orientación, pendiente, altitud, rugosidad, etc.)</t>
  </si>
  <si>
    <t>sitio y localización</t>
  </si>
  <si>
    <t>geology</t>
  </si>
  <si>
    <t>management, land use and other treatments</t>
  </si>
  <si>
    <t>soil activity</t>
  </si>
  <si>
    <t>water availability</t>
  </si>
  <si>
    <t>hydrological processes (runoff, erosion)</t>
  </si>
  <si>
    <t>características del suelo y disponibilidad de agua</t>
  </si>
  <si>
    <t>soil properties (physical, chemical and biological)</t>
  </si>
  <si>
    <t>tabla de agrupación de variables que conforman cada subtipo de variable respuesta y cada tipo de variable explicativa</t>
  </si>
  <si>
    <t>odas las subcategorías que haces dentro de las categoris grandes deben explicarse brevemente en los metodos. No hace falta buscar referencias de todo, si no decir que cae en cada grupo. La tabla que hablamos para poner el anexo es imprescindible y ayudará a entender todo 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</si>
</sst>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theme="1"/>
      <name val="Arial"/>
      <family val="2"/>
    </font>
    <font>
      <b/>
      <sz val="11"/>
      <color theme="1"/>
      <name val="Arial"/>
      <family val="2"/>
    </font>
    <font>
      <sz val="11"/>
      <name val="Arial"/>
      <family val="2"/>
    </font>
    <font>
      <sz val="11"/>
      <name val="Calibri"/>
      <family val="2"/>
      <scheme val="minor"/>
    </font>
    <font>
      <sz val="9"/>
      <color theme="1"/>
      <name val="Segoe UI"/>
      <family val="2"/>
    </font>
  </fonts>
  <fills count="42">
    <fill>
      <patternFill patternType="none"/>
    </fill>
    <fill>
      <patternFill patternType="gray125"/>
    </fill>
    <fill>
      <patternFill patternType="solid">
        <fgColor rgb="FFFFFF00"/>
        <bgColor indexed="64"/>
      </patternFill>
    </fill>
    <fill>
      <patternFill patternType="solid">
        <fgColor theme="8"/>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1" tint="0.499984740745262"/>
        <bgColor indexed="64"/>
      </patternFill>
    </fill>
    <fill>
      <patternFill patternType="solid">
        <fgColor theme="8" tint="-0.249977111117893"/>
        <bgColor indexed="64"/>
      </patternFill>
    </fill>
    <fill>
      <patternFill patternType="solid">
        <fgColor rgb="FFC00000"/>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00B050"/>
        <bgColor indexed="64"/>
      </patternFill>
    </fill>
    <fill>
      <patternFill patternType="solid">
        <fgColor rgb="FFFFC000"/>
        <bgColor indexed="64"/>
      </patternFill>
    </fill>
    <fill>
      <patternFill patternType="solid">
        <fgColor rgb="FF0070C0"/>
        <bgColor indexed="64"/>
      </patternFill>
    </fill>
    <fill>
      <patternFill patternType="solid">
        <fgColor rgb="FF996633"/>
        <bgColor indexed="64"/>
      </patternFill>
    </fill>
    <fill>
      <patternFill patternType="solid">
        <fgColor theme="5" tint="-0.249977111117893"/>
        <bgColor indexed="64"/>
      </patternFill>
    </fill>
    <fill>
      <patternFill patternType="solid">
        <fgColor rgb="FF00B0F0"/>
        <bgColor indexed="64"/>
      </patternFill>
    </fill>
    <fill>
      <patternFill patternType="solid">
        <fgColor theme="0" tint="-0.249977111117893"/>
        <bgColor indexed="64"/>
      </patternFill>
    </fill>
    <fill>
      <patternFill patternType="solid">
        <fgColor rgb="FFFF0000"/>
        <bgColor indexed="64"/>
      </patternFill>
    </fill>
    <fill>
      <patternFill patternType="solid">
        <fgColor theme="7" tint="-0.249977111117893"/>
        <bgColor indexed="64"/>
      </patternFill>
    </fill>
    <fill>
      <patternFill patternType="solid">
        <fgColor theme="5"/>
        <bgColor indexed="64"/>
      </patternFill>
    </fill>
    <fill>
      <patternFill patternType="solid">
        <fgColor theme="2" tint="-0.49998474074526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9" tint="-0.249977111117893"/>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rgb="FF7030A0"/>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6"/>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xfId="0"/>
    <xf numFmtId="0" fontId="1" fillId="0" borderId="0" xfId="0" applyFont="1" applyAlignment="1">
      <alignment horizont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2" fillId="0" borderId="0" xfId="0" applyFont="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2" fillId="0" borderId="1" xfId="0" applyFont="1" applyBorder="1"/>
    <xf numFmtId="0" fontId="0" fillId="21" borderId="0" xfId="0" applyFill="1"/>
    <xf numFmtId="0" fontId="0" fillId="22" borderId="0" xfId="0" applyFill="1"/>
    <xf numFmtId="0" fontId="0" fillId="23" borderId="0" xfId="0" applyFill="1"/>
    <xf numFmtId="0" fontId="0" fillId="24" borderId="0" xfId="0" applyFill="1"/>
    <xf numFmtId="0" fontId="2" fillId="3" borderId="1" xfId="0" applyFont="1" applyFill="1" applyBorder="1" applyAlignment="1">
      <alignment horizontal="left" vertical="center"/>
    </xf>
    <xf numFmtId="0" fontId="2" fillId="2" borderId="1" xfId="0" applyFont="1" applyFill="1" applyBorder="1" applyAlignment="1">
      <alignment horizontal="left" vertical="center"/>
    </xf>
    <xf numFmtId="0" fontId="2" fillId="4" borderId="1" xfId="0" applyFont="1" applyFill="1" applyBorder="1" applyAlignment="1">
      <alignment horizontal="left" vertical="center"/>
    </xf>
    <xf numFmtId="0" fontId="2" fillId="7" borderId="1" xfId="0" applyFont="1" applyFill="1" applyBorder="1" applyAlignment="1">
      <alignment horizontal="left" vertical="center"/>
    </xf>
    <xf numFmtId="0" fontId="2" fillId="5" borderId="1" xfId="0" applyFont="1" applyFill="1" applyBorder="1" applyAlignment="1">
      <alignment horizontal="left" vertical="center"/>
    </xf>
    <xf numFmtId="0" fontId="2" fillId="8" borderId="1" xfId="0" applyFont="1" applyFill="1" applyBorder="1" applyAlignment="1">
      <alignment horizontal="left" vertical="center"/>
    </xf>
    <xf numFmtId="0" fontId="2" fillId="6" borderId="1" xfId="0" applyFont="1" applyFill="1" applyBorder="1" applyAlignment="1">
      <alignment horizontal="left" vertical="center"/>
    </xf>
    <xf numFmtId="0" fontId="2" fillId="10" borderId="1" xfId="0" applyFont="1" applyFill="1" applyBorder="1" applyAlignment="1">
      <alignment horizontal="left" vertical="center"/>
    </xf>
    <xf numFmtId="0" fontId="2" fillId="11" borderId="1" xfId="0" applyFont="1" applyFill="1" applyBorder="1" applyAlignment="1">
      <alignment horizontal="left" vertical="center"/>
    </xf>
    <xf numFmtId="0" fontId="2" fillId="12" borderId="1" xfId="0" applyFont="1" applyFill="1" applyBorder="1" applyAlignment="1">
      <alignment horizontal="left" vertical="center"/>
    </xf>
    <xf numFmtId="0" fontId="2" fillId="13" borderId="1" xfId="0" applyFont="1" applyFill="1" applyBorder="1" applyAlignment="1">
      <alignment horizontal="left" vertical="center"/>
    </xf>
    <xf numFmtId="0" fontId="2" fillId="14" borderId="1" xfId="0" applyFont="1" applyFill="1" applyBorder="1" applyAlignment="1">
      <alignment horizontal="left" vertical="center"/>
    </xf>
    <xf numFmtId="0" fontId="2" fillId="22" borderId="1" xfId="0" applyFont="1" applyFill="1" applyBorder="1" applyAlignment="1">
      <alignment horizontal="left" vertical="center"/>
    </xf>
    <xf numFmtId="0" fontId="2" fillId="23" borderId="1" xfId="0" applyFont="1" applyFill="1" applyBorder="1" applyAlignment="1">
      <alignment horizontal="left" vertical="center"/>
    </xf>
    <xf numFmtId="0" fontId="0" fillId="25" borderId="0" xfId="0" applyFill="1"/>
    <xf numFmtId="0" fontId="0" fillId="26" borderId="0" xfId="0" applyFill="1"/>
    <xf numFmtId="0" fontId="0" fillId="27" borderId="0" xfId="0" applyFill="1"/>
    <xf numFmtId="0" fontId="2" fillId="21" borderId="1" xfId="0" applyFont="1" applyFill="1" applyBorder="1" applyAlignment="1">
      <alignment horizontal="left" vertical="center"/>
    </xf>
    <xf numFmtId="0" fontId="2" fillId="24" borderId="1" xfId="0" applyFont="1" applyFill="1" applyBorder="1" applyAlignment="1">
      <alignment horizontal="left" vertical="center"/>
    </xf>
    <xf numFmtId="0" fontId="2" fillId="0" borderId="1" xfId="0" applyFont="1" applyBorder="1" applyAlignment="1">
      <alignment vertical="center"/>
    </xf>
    <xf numFmtId="0" fontId="4" fillId="22" borderId="1" xfId="0" applyFont="1" applyFill="1" applyBorder="1" applyAlignment="1">
      <alignment horizontal="left" vertical="center"/>
    </xf>
    <xf numFmtId="0" fontId="2" fillId="26" borderId="1" xfId="0" applyFont="1" applyFill="1" applyBorder="1" applyAlignment="1">
      <alignment horizontal="left" vertical="center"/>
    </xf>
    <xf numFmtId="0" fontId="2" fillId="15" borderId="1" xfId="0" applyFont="1" applyFill="1" applyBorder="1" applyAlignment="1">
      <alignment horizontal="left" vertical="center"/>
    </xf>
    <xf numFmtId="0" fontId="2" fillId="16" borderId="1" xfId="0" applyFont="1" applyFill="1" applyBorder="1" applyAlignment="1">
      <alignment horizontal="left" vertical="center"/>
    </xf>
    <xf numFmtId="0" fontId="2" fillId="19" borderId="1" xfId="0" applyFont="1" applyFill="1" applyBorder="1" applyAlignment="1">
      <alignment horizontal="left" vertical="center"/>
    </xf>
    <xf numFmtId="0" fontId="2" fillId="18" borderId="1" xfId="0" applyFont="1" applyFill="1" applyBorder="1" applyAlignment="1">
      <alignment horizontal="left" vertical="center"/>
    </xf>
    <xf numFmtId="0" fontId="2" fillId="20" borderId="1" xfId="0" applyFont="1" applyFill="1" applyBorder="1" applyAlignment="1">
      <alignment horizontal="left" vertical="center"/>
    </xf>
    <xf numFmtId="0" fontId="2" fillId="17" borderId="1" xfId="0" applyFont="1" applyFill="1" applyBorder="1" applyAlignment="1">
      <alignment horizontal="left" vertical="center"/>
    </xf>
    <xf numFmtId="0" fontId="3" fillId="0" borderId="1" xfId="0" applyFont="1" applyBorder="1"/>
    <xf numFmtId="0" fontId="2" fillId="0" borderId="1" xfId="0" applyFont="1" applyBorder="1" applyAlignment="1">
      <alignment horizontal="left" vertical="center"/>
    </xf>
    <xf numFmtId="0" fontId="4" fillId="0" borderId="1" xfId="0" applyFont="1" applyBorder="1" applyAlignment="1">
      <alignment horizontal="left" vertical="center"/>
    </xf>
    <xf numFmtId="0" fontId="0" fillId="28" borderId="0" xfId="0" applyFill="1"/>
    <xf numFmtId="0" fontId="0" fillId="29" borderId="0" xfId="0" applyFill="1"/>
    <xf numFmtId="0" fontId="5" fillId="2" borderId="0" xfId="0" applyFont="1" applyFill="1"/>
    <xf numFmtId="0" fontId="0" fillId="30" borderId="0" xfId="0" applyFill="1"/>
    <xf numFmtId="0" fontId="5" fillId="18" borderId="0" xfId="0" applyFont="1" applyFill="1"/>
    <xf numFmtId="0" fontId="0" fillId="31" borderId="0" xfId="0" applyFill="1"/>
    <xf numFmtId="0" fontId="0" fillId="32" borderId="0" xfId="0" applyFill="1"/>
    <xf numFmtId="0" fontId="0" fillId="33" borderId="0" xfId="0" applyFill="1"/>
    <xf numFmtId="0" fontId="2" fillId="35" borderId="1" xfId="0" applyFont="1" applyFill="1" applyBorder="1" applyAlignment="1">
      <alignment horizontal="left" vertical="center"/>
    </xf>
    <xf numFmtId="0" fontId="0" fillId="35" borderId="0" xfId="0" applyFill="1"/>
    <xf numFmtId="0" fontId="4" fillId="35" borderId="1" xfId="0" applyFont="1" applyFill="1" applyBorder="1" applyAlignment="1">
      <alignment horizontal="left" vertical="center"/>
    </xf>
    <xf numFmtId="0" fontId="2" fillId="27" borderId="1" xfId="0" applyFont="1" applyFill="1" applyBorder="1" applyAlignment="1">
      <alignment horizontal="left" vertical="center"/>
    </xf>
    <xf numFmtId="0" fontId="0" fillId="31" borderId="1" xfId="0" applyFill="1" applyBorder="1"/>
    <xf numFmtId="0" fontId="2" fillId="34" borderId="0" xfId="0" applyFont="1" applyFill="1" applyAlignment="1">
      <alignment horizontal="left" vertical="center"/>
    </xf>
    <xf numFmtId="0" fontId="2" fillId="0" borderId="0" xfId="0" applyFont="1" applyAlignment="1">
      <alignment horizontal="left" vertical="center"/>
    </xf>
    <xf numFmtId="0" fontId="0" fillId="0" borderId="1" xfId="0" applyBorder="1"/>
    <xf numFmtId="0" fontId="0" fillId="36" borderId="0" xfId="0" applyFill="1"/>
    <xf numFmtId="0" fontId="0" fillId="37" borderId="0" xfId="0" applyFill="1"/>
    <xf numFmtId="0" fontId="0" fillId="38" borderId="0" xfId="0" applyFill="1"/>
    <xf numFmtId="0" fontId="0" fillId="34" borderId="0" xfId="0" applyFill="1"/>
    <xf numFmtId="0" fontId="0" fillId="39" borderId="0" xfId="0" applyFill="1"/>
    <xf numFmtId="0" fontId="2" fillId="0" borderId="2" xfId="0" applyFont="1" applyBorder="1" applyAlignment="1">
      <alignment horizontal="left" vertical="center"/>
    </xf>
    <xf numFmtId="0" fontId="2" fillId="30" borderId="1" xfId="0" applyFont="1" applyFill="1" applyBorder="1" applyAlignment="1">
      <alignment horizontal="left" vertical="center"/>
    </xf>
    <xf numFmtId="0" fontId="0" fillId="40" borderId="0" xfId="0" applyFill="1"/>
    <xf numFmtId="0" fontId="0" fillId="41" borderId="0" xfId="0" applyFill="1"/>
    <xf numFmtId="0" fontId="6" fillId="0" borderId="0" xfId="0" applyFont="1"/>
  </cellXfs>
  <cellStyles count="1">
    <cellStyle name="Normal" xfId="0" builtinId="0"/>
  </cellStyles>
  <dxfs count="0"/>
  <tableStyles count="0" defaultTableStyle="TableStyleMedium9" defaultPivotStyle="PivotStyleLight16"/>
  <colors>
    <mruColors>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71"/>
  <sheetViews>
    <sheetView workbookViewId="0">
      <selection activeCell="B872" sqref="B872"/>
    </sheetView>
  </sheetViews>
  <sheetFormatPr defaultRowHeight="14.5" x14ac:dyDescent="0.35"/>
  <cols>
    <col min="1" max="1" width="6.7265625" bestFit="1" customWidth="1"/>
    <col min="2" max="2" width="93" bestFit="1" customWidth="1"/>
    <col min="3" max="3" width="23.453125" bestFit="1" customWidth="1"/>
  </cols>
  <sheetData>
    <row r="1" spans="1:12" s="1" customFormat="1"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v>16</v>
      </c>
      <c r="B2" s="2" t="s">
        <v>12</v>
      </c>
      <c r="C2" t="s">
        <v>13</v>
      </c>
      <c r="D2" t="s">
        <v>14</v>
      </c>
      <c r="E2" t="s">
        <v>15</v>
      </c>
      <c r="F2" t="s">
        <v>13</v>
      </c>
      <c r="G2" t="s">
        <v>16</v>
      </c>
      <c r="H2" t="s">
        <v>17</v>
      </c>
      <c r="J2" t="s">
        <v>18</v>
      </c>
      <c r="K2" t="s">
        <v>19</v>
      </c>
      <c r="L2" t="s">
        <v>20</v>
      </c>
    </row>
    <row r="3" spans="1:12" x14ac:dyDescent="0.35">
      <c r="A3">
        <v>29</v>
      </c>
      <c r="B3" s="16" t="s">
        <v>21</v>
      </c>
      <c r="C3" t="s">
        <v>22</v>
      </c>
      <c r="D3" t="s">
        <v>23</v>
      </c>
      <c r="E3" t="s">
        <v>15</v>
      </c>
      <c r="F3" t="s">
        <v>24</v>
      </c>
      <c r="G3" t="s">
        <v>25</v>
      </c>
      <c r="H3" t="s">
        <v>26</v>
      </c>
      <c r="J3" t="s">
        <v>27</v>
      </c>
      <c r="L3" t="s">
        <v>28</v>
      </c>
    </row>
    <row r="4" spans="1:12" x14ac:dyDescent="0.35">
      <c r="A4">
        <v>29</v>
      </c>
      <c r="B4" s="23" t="s">
        <v>29</v>
      </c>
      <c r="C4" t="s">
        <v>30</v>
      </c>
      <c r="D4" t="s">
        <v>31</v>
      </c>
      <c r="E4" t="s">
        <v>15</v>
      </c>
      <c r="F4" t="s">
        <v>24</v>
      </c>
      <c r="G4" t="s">
        <v>25</v>
      </c>
      <c r="H4" t="s">
        <v>26</v>
      </c>
      <c r="J4" t="s">
        <v>27</v>
      </c>
      <c r="L4" t="s">
        <v>28</v>
      </c>
    </row>
    <row r="5" spans="1:12" x14ac:dyDescent="0.35">
      <c r="A5">
        <v>29</v>
      </c>
      <c r="B5" s="2" t="s">
        <v>32</v>
      </c>
      <c r="C5" t="s">
        <v>33</v>
      </c>
      <c r="D5" t="s">
        <v>34</v>
      </c>
      <c r="E5" t="s">
        <v>15</v>
      </c>
      <c r="F5" t="s">
        <v>35</v>
      </c>
      <c r="G5" t="s">
        <v>25</v>
      </c>
      <c r="H5" t="s">
        <v>26</v>
      </c>
      <c r="J5" t="s">
        <v>36</v>
      </c>
      <c r="L5" t="s">
        <v>28</v>
      </c>
    </row>
    <row r="6" spans="1:12" x14ac:dyDescent="0.35">
      <c r="A6">
        <v>29</v>
      </c>
      <c r="B6" s="2" t="s">
        <v>37</v>
      </c>
      <c r="C6" t="s">
        <v>33</v>
      </c>
      <c r="D6" t="s">
        <v>38</v>
      </c>
      <c r="E6" t="s">
        <v>15</v>
      </c>
      <c r="F6" t="s">
        <v>33</v>
      </c>
      <c r="G6" t="s">
        <v>25</v>
      </c>
      <c r="H6" t="s">
        <v>26</v>
      </c>
      <c r="J6" t="s">
        <v>36</v>
      </c>
      <c r="L6" t="s">
        <v>28</v>
      </c>
    </row>
    <row r="7" spans="1:12" x14ac:dyDescent="0.35">
      <c r="A7">
        <v>29</v>
      </c>
      <c r="B7" s="3" t="s">
        <v>39</v>
      </c>
      <c r="C7" t="s">
        <v>33</v>
      </c>
      <c r="D7" t="s">
        <v>34</v>
      </c>
      <c r="E7" t="s">
        <v>15</v>
      </c>
      <c r="F7" t="s">
        <v>33</v>
      </c>
      <c r="G7" t="s">
        <v>25</v>
      </c>
      <c r="H7" t="s">
        <v>26</v>
      </c>
      <c r="J7" t="s">
        <v>36</v>
      </c>
      <c r="L7" t="s">
        <v>28</v>
      </c>
    </row>
    <row r="8" spans="1:12" x14ac:dyDescent="0.35">
      <c r="A8">
        <v>78</v>
      </c>
      <c r="B8" s="17" t="s">
        <v>40</v>
      </c>
      <c r="C8" t="s">
        <v>22</v>
      </c>
      <c r="D8" t="s">
        <v>41</v>
      </c>
      <c r="E8" t="s">
        <v>15</v>
      </c>
      <c r="F8" t="s">
        <v>22</v>
      </c>
      <c r="G8" t="s">
        <v>42</v>
      </c>
      <c r="H8" t="s">
        <v>43</v>
      </c>
      <c r="J8" t="s">
        <v>44</v>
      </c>
      <c r="L8" t="s">
        <v>45</v>
      </c>
    </row>
    <row r="9" spans="1:12" x14ac:dyDescent="0.35">
      <c r="A9">
        <v>78</v>
      </c>
      <c r="B9" s="18" t="s">
        <v>46</v>
      </c>
      <c r="C9" t="s">
        <v>22</v>
      </c>
      <c r="D9" t="s">
        <v>47</v>
      </c>
      <c r="E9" t="s">
        <v>15</v>
      </c>
      <c r="F9" t="s">
        <v>22</v>
      </c>
      <c r="G9" t="s">
        <v>42</v>
      </c>
      <c r="H9" t="s">
        <v>43</v>
      </c>
      <c r="J9" t="s">
        <v>44</v>
      </c>
      <c r="L9" t="s">
        <v>45</v>
      </c>
    </row>
    <row r="10" spans="1:12" x14ac:dyDescent="0.35">
      <c r="A10">
        <v>78</v>
      </c>
      <c r="B10" s="15" t="s">
        <v>48</v>
      </c>
      <c r="C10" t="s">
        <v>49</v>
      </c>
      <c r="D10" t="s">
        <v>50</v>
      </c>
      <c r="E10" t="s">
        <v>15</v>
      </c>
      <c r="F10" t="s">
        <v>24</v>
      </c>
      <c r="G10" t="s">
        <v>42</v>
      </c>
      <c r="H10" t="s">
        <v>43</v>
      </c>
      <c r="J10" t="s">
        <v>51</v>
      </c>
      <c r="L10" t="s">
        <v>45</v>
      </c>
    </row>
    <row r="11" spans="1:12" x14ac:dyDescent="0.35">
      <c r="A11">
        <v>103</v>
      </c>
      <c r="B11" s="4" t="s">
        <v>52</v>
      </c>
      <c r="C11" t="s">
        <v>33</v>
      </c>
      <c r="D11" t="s">
        <v>38</v>
      </c>
      <c r="E11" t="s">
        <v>15</v>
      </c>
      <c r="F11" t="s">
        <v>33</v>
      </c>
      <c r="G11" t="s">
        <v>53</v>
      </c>
      <c r="H11" t="s">
        <v>54</v>
      </c>
      <c r="J11" t="s">
        <v>55</v>
      </c>
      <c r="L11" t="s">
        <v>28</v>
      </c>
    </row>
    <row r="12" spans="1:12" x14ac:dyDescent="0.35">
      <c r="A12">
        <v>103</v>
      </c>
      <c r="B12" t="s">
        <v>56</v>
      </c>
      <c r="C12" t="s">
        <v>30</v>
      </c>
      <c r="D12" t="s">
        <v>34</v>
      </c>
      <c r="E12" t="s">
        <v>15</v>
      </c>
      <c r="F12" t="s">
        <v>57</v>
      </c>
      <c r="G12" t="s">
        <v>53</v>
      </c>
      <c r="H12" t="s">
        <v>54</v>
      </c>
      <c r="J12" t="s">
        <v>58</v>
      </c>
      <c r="L12" t="s">
        <v>28</v>
      </c>
    </row>
    <row r="13" spans="1:12" x14ac:dyDescent="0.35">
      <c r="A13">
        <v>103</v>
      </c>
      <c r="B13" t="s">
        <v>59</v>
      </c>
      <c r="C13" t="s">
        <v>30</v>
      </c>
      <c r="D13" t="s">
        <v>60</v>
      </c>
      <c r="E13" t="s">
        <v>15</v>
      </c>
      <c r="F13" t="s">
        <v>57</v>
      </c>
      <c r="G13" t="s">
        <v>53</v>
      </c>
      <c r="H13" t="s">
        <v>54</v>
      </c>
      <c r="J13" t="s">
        <v>61</v>
      </c>
      <c r="L13" t="s">
        <v>28</v>
      </c>
    </row>
    <row r="14" spans="1:12" x14ac:dyDescent="0.35">
      <c r="A14">
        <v>142</v>
      </c>
      <c r="B14" s="17" t="s">
        <v>62</v>
      </c>
      <c r="C14" t="s">
        <v>22</v>
      </c>
      <c r="D14" t="s">
        <v>34</v>
      </c>
      <c r="E14" t="s">
        <v>15</v>
      </c>
      <c r="F14" t="s">
        <v>22</v>
      </c>
      <c r="G14" t="s">
        <v>63</v>
      </c>
      <c r="H14" t="s">
        <v>64</v>
      </c>
      <c r="J14" t="s">
        <v>65</v>
      </c>
      <c r="L14" t="s">
        <v>28</v>
      </c>
    </row>
    <row r="15" spans="1:12" x14ac:dyDescent="0.35">
      <c r="A15">
        <v>142</v>
      </c>
      <c r="B15" s="3" t="s">
        <v>66</v>
      </c>
      <c r="C15" t="s">
        <v>33</v>
      </c>
      <c r="D15" t="s">
        <v>34</v>
      </c>
      <c r="E15" t="s">
        <v>15</v>
      </c>
      <c r="F15" t="s">
        <v>33</v>
      </c>
      <c r="G15" t="s">
        <v>63</v>
      </c>
      <c r="H15" t="s">
        <v>64</v>
      </c>
      <c r="J15" t="s">
        <v>65</v>
      </c>
      <c r="L15" t="s">
        <v>28</v>
      </c>
    </row>
    <row r="16" spans="1:12" x14ac:dyDescent="0.35">
      <c r="A16">
        <v>142</v>
      </c>
      <c r="B16" s="16" t="s">
        <v>67</v>
      </c>
      <c r="C16" t="s">
        <v>22</v>
      </c>
      <c r="D16" t="s">
        <v>23</v>
      </c>
      <c r="E16" t="s">
        <v>15</v>
      </c>
      <c r="F16" t="s">
        <v>22</v>
      </c>
      <c r="G16" t="s">
        <v>63</v>
      </c>
      <c r="H16" t="s">
        <v>64</v>
      </c>
      <c r="J16" t="s">
        <v>65</v>
      </c>
      <c r="L16" t="s">
        <v>28</v>
      </c>
    </row>
    <row r="17" spans="1:12" x14ac:dyDescent="0.35">
      <c r="A17">
        <v>142</v>
      </c>
      <c r="B17" t="s">
        <v>68</v>
      </c>
      <c r="C17" t="s">
        <v>22</v>
      </c>
      <c r="D17" t="s">
        <v>69</v>
      </c>
      <c r="E17" t="s">
        <v>15</v>
      </c>
      <c r="F17" t="s">
        <v>22</v>
      </c>
      <c r="G17" t="s">
        <v>63</v>
      </c>
      <c r="H17" t="s">
        <v>64</v>
      </c>
      <c r="J17" t="s">
        <v>70</v>
      </c>
      <c r="L17" t="s">
        <v>28</v>
      </c>
    </row>
    <row r="18" spans="1:12" x14ac:dyDescent="0.35">
      <c r="A18">
        <v>142</v>
      </c>
      <c r="B18" t="s">
        <v>71</v>
      </c>
      <c r="C18" t="s">
        <v>30</v>
      </c>
      <c r="D18" t="s">
        <v>34</v>
      </c>
      <c r="E18" t="s">
        <v>15</v>
      </c>
      <c r="F18" t="s">
        <v>33</v>
      </c>
      <c r="G18" t="s">
        <v>63</v>
      </c>
      <c r="H18" t="s">
        <v>64</v>
      </c>
      <c r="J18" t="s">
        <v>70</v>
      </c>
      <c r="L18" t="s">
        <v>28</v>
      </c>
    </row>
    <row r="19" spans="1:12" x14ac:dyDescent="0.35">
      <c r="A19">
        <v>142</v>
      </c>
      <c r="B19" s="3" t="s">
        <v>72</v>
      </c>
      <c r="C19" t="s">
        <v>33</v>
      </c>
      <c r="D19" t="s">
        <v>34</v>
      </c>
      <c r="E19" t="s">
        <v>15</v>
      </c>
      <c r="F19" t="s">
        <v>33</v>
      </c>
      <c r="G19" t="s">
        <v>63</v>
      </c>
      <c r="H19" t="s">
        <v>64</v>
      </c>
      <c r="J19" t="s">
        <v>65</v>
      </c>
      <c r="K19" t="s">
        <v>73</v>
      </c>
      <c r="L19" t="s">
        <v>28</v>
      </c>
    </row>
    <row r="20" spans="1:12" x14ac:dyDescent="0.35">
      <c r="A20">
        <v>142</v>
      </c>
      <c r="B20" t="s">
        <v>74</v>
      </c>
      <c r="C20" t="s">
        <v>22</v>
      </c>
      <c r="D20" t="s">
        <v>75</v>
      </c>
      <c r="E20" t="s">
        <v>15</v>
      </c>
      <c r="F20" t="s">
        <v>22</v>
      </c>
      <c r="G20" t="s">
        <v>63</v>
      </c>
      <c r="H20" t="s">
        <v>64</v>
      </c>
      <c r="J20" t="s">
        <v>65</v>
      </c>
      <c r="L20" t="s">
        <v>28</v>
      </c>
    </row>
    <row r="21" spans="1:12" x14ac:dyDescent="0.35">
      <c r="A21">
        <v>145</v>
      </c>
      <c r="B21" s="3" t="s">
        <v>76</v>
      </c>
      <c r="C21" t="s">
        <v>33</v>
      </c>
      <c r="D21" t="s">
        <v>34</v>
      </c>
      <c r="E21" t="s">
        <v>15</v>
      </c>
      <c r="F21" t="s">
        <v>33</v>
      </c>
      <c r="G21" t="s">
        <v>42</v>
      </c>
      <c r="H21" t="s">
        <v>77</v>
      </c>
      <c r="J21" t="s">
        <v>78</v>
      </c>
      <c r="L21" t="s">
        <v>79</v>
      </c>
    </row>
    <row r="22" spans="1:12" x14ac:dyDescent="0.35">
      <c r="A22">
        <v>145</v>
      </c>
      <c r="B22" s="16" t="s">
        <v>80</v>
      </c>
      <c r="C22" t="s">
        <v>22</v>
      </c>
      <c r="D22" t="s">
        <v>23</v>
      </c>
      <c r="E22" t="s">
        <v>15</v>
      </c>
      <c r="F22" t="s">
        <v>22</v>
      </c>
      <c r="G22" t="s">
        <v>42</v>
      </c>
      <c r="H22" t="s">
        <v>77</v>
      </c>
      <c r="J22" t="s">
        <v>27</v>
      </c>
      <c r="L22" t="s">
        <v>79</v>
      </c>
    </row>
    <row r="23" spans="1:12" x14ac:dyDescent="0.35">
      <c r="A23">
        <v>152</v>
      </c>
      <c r="B23" s="16" t="s">
        <v>81</v>
      </c>
      <c r="C23" t="s">
        <v>13</v>
      </c>
      <c r="D23" t="s">
        <v>34</v>
      </c>
      <c r="E23" t="s">
        <v>15</v>
      </c>
      <c r="F23" t="s">
        <v>13</v>
      </c>
      <c r="G23" t="s">
        <v>16</v>
      </c>
      <c r="H23" t="s">
        <v>82</v>
      </c>
      <c r="J23" t="s">
        <v>83</v>
      </c>
      <c r="K23" t="s">
        <v>19</v>
      </c>
      <c r="L23" t="s">
        <v>28</v>
      </c>
    </row>
    <row r="24" spans="1:12" x14ac:dyDescent="0.35">
      <c r="A24">
        <v>152</v>
      </c>
      <c r="B24" t="s">
        <v>84</v>
      </c>
      <c r="C24" t="s">
        <v>33</v>
      </c>
      <c r="D24" t="s">
        <v>50</v>
      </c>
      <c r="E24" t="s">
        <v>15</v>
      </c>
      <c r="F24" t="s">
        <v>33</v>
      </c>
      <c r="G24" t="s">
        <v>16</v>
      </c>
      <c r="H24" t="s">
        <v>82</v>
      </c>
      <c r="J24" t="s">
        <v>85</v>
      </c>
      <c r="L24" t="s">
        <v>28</v>
      </c>
    </row>
    <row r="25" spans="1:12" x14ac:dyDescent="0.35">
      <c r="A25">
        <v>152</v>
      </c>
      <c r="B25" s="10" t="s">
        <v>86</v>
      </c>
      <c r="C25" t="s">
        <v>33</v>
      </c>
      <c r="D25" t="s">
        <v>34</v>
      </c>
      <c r="E25" t="s">
        <v>15</v>
      </c>
      <c r="F25" t="s">
        <v>33</v>
      </c>
      <c r="G25" t="s">
        <v>16</v>
      </c>
      <c r="H25" t="s">
        <v>82</v>
      </c>
      <c r="J25" t="s">
        <v>87</v>
      </c>
      <c r="L25" t="s">
        <v>28</v>
      </c>
    </row>
    <row r="26" spans="1:12" x14ac:dyDescent="0.35">
      <c r="A26">
        <v>168</v>
      </c>
      <c r="B26" s="2" t="s">
        <v>12</v>
      </c>
      <c r="C26" t="s">
        <v>13</v>
      </c>
      <c r="D26" t="s">
        <v>14</v>
      </c>
      <c r="E26" t="s">
        <v>15</v>
      </c>
      <c r="F26" t="s">
        <v>13</v>
      </c>
      <c r="G26" t="s">
        <v>16</v>
      </c>
      <c r="H26" t="s">
        <v>88</v>
      </c>
      <c r="J26" t="s">
        <v>89</v>
      </c>
      <c r="K26" t="s">
        <v>19</v>
      </c>
      <c r="L26" t="s">
        <v>90</v>
      </c>
    </row>
    <row r="27" spans="1:12" x14ac:dyDescent="0.35">
      <c r="A27">
        <v>177</v>
      </c>
      <c r="B27" s="16" t="s">
        <v>91</v>
      </c>
      <c r="C27" t="s">
        <v>22</v>
      </c>
      <c r="D27" t="s">
        <v>23</v>
      </c>
      <c r="E27" t="s">
        <v>15</v>
      </c>
      <c r="F27" t="s">
        <v>22</v>
      </c>
      <c r="G27" t="s">
        <v>42</v>
      </c>
      <c r="H27" t="s">
        <v>92</v>
      </c>
      <c r="J27" t="s">
        <v>93</v>
      </c>
      <c r="L27" t="s">
        <v>94</v>
      </c>
    </row>
    <row r="28" spans="1:12" x14ac:dyDescent="0.35">
      <c r="A28">
        <v>177</v>
      </c>
      <c r="B28" s="3" t="s">
        <v>76</v>
      </c>
      <c r="C28" t="s">
        <v>33</v>
      </c>
      <c r="D28" t="s">
        <v>34</v>
      </c>
      <c r="E28" t="s">
        <v>15</v>
      </c>
      <c r="F28" t="s">
        <v>33</v>
      </c>
      <c r="G28" t="s">
        <v>42</v>
      </c>
      <c r="H28" t="s">
        <v>92</v>
      </c>
      <c r="J28" t="s">
        <v>93</v>
      </c>
      <c r="L28" t="s">
        <v>94</v>
      </c>
    </row>
    <row r="29" spans="1:12" x14ac:dyDescent="0.35">
      <c r="A29">
        <v>177</v>
      </c>
      <c r="B29" s="23" t="s">
        <v>95</v>
      </c>
      <c r="C29" t="s">
        <v>30</v>
      </c>
      <c r="D29" t="s">
        <v>34</v>
      </c>
      <c r="E29" t="s">
        <v>15</v>
      </c>
      <c r="F29" t="s">
        <v>33</v>
      </c>
      <c r="G29" t="s">
        <v>42</v>
      </c>
      <c r="H29" t="s">
        <v>92</v>
      </c>
      <c r="J29" t="s">
        <v>93</v>
      </c>
      <c r="L29" t="s">
        <v>94</v>
      </c>
    </row>
    <row r="30" spans="1:12" x14ac:dyDescent="0.35">
      <c r="A30">
        <v>177</v>
      </c>
      <c r="B30" s="24" t="s">
        <v>96</v>
      </c>
      <c r="C30" t="s">
        <v>30</v>
      </c>
      <c r="D30" t="s">
        <v>34</v>
      </c>
      <c r="E30" t="s">
        <v>15</v>
      </c>
      <c r="F30" t="s">
        <v>57</v>
      </c>
      <c r="G30" t="s">
        <v>42</v>
      </c>
      <c r="H30" t="s">
        <v>92</v>
      </c>
      <c r="J30" t="s">
        <v>93</v>
      </c>
      <c r="L30" t="s">
        <v>94</v>
      </c>
    </row>
    <row r="31" spans="1:12" x14ac:dyDescent="0.35">
      <c r="A31">
        <v>177</v>
      </c>
      <c r="B31" s="7" t="s">
        <v>97</v>
      </c>
      <c r="C31" t="s">
        <v>30</v>
      </c>
      <c r="D31" t="s">
        <v>34</v>
      </c>
      <c r="E31" t="s">
        <v>15</v>
      </c>
      <c r="F31" t="s">
        <v>57</v>
      </c>
      <c r="G31" t="s">
        <v>42</v>
      </c>
      <c r="H31" t="s">
        <v>92</v>
      </c>
      <c r="J31" t="s">
        <v>93</v>
      </c>
      <c r="L31" t="s">
        <v>94</v>
      </c>
    </row>
    <row r="32" spans="1:12" x14ac:dyDescent="0.35">
      <c r="A32">
        <v>177</v>
      </c>
      <c r="B32" s="3" t="s">
        <v>98</v>
      </c>
      <c r="C32" t="s">
        <v>33</v>
      </c>
      <c r="D32" t="s">
        <v>34</v>
      </c>
      <c r="E32" t="s">
        <v>15</v>
      </c>
      <c r="F32" t="s">
        <v>24</v>
      </c>
      <c r="G32" t="s">
        <v>42</v>
      </c>
      <c r="H32" t="s">
        <v>92</v>
      </c>
      <c r="J32" t="s">
        <v>93</v>
      </c>
      <c r="L32" t="s">
        <v>94</v>
      </c>
    </row>
    <row r="33" spans="1:12" x14ac:dyDescent="0.35">
      <c r="A33">
        <v>177</v>
      </c>
      <c r="B33" s="15" t="s">
        <v>99</v>
      </c>
      <c r="C33" t="s">
        <v>49</v>
      </c>
      <c r="D33" t="s">
        <v>100</v>
      </c>
      <c r="E33" t="s">
        <v>15</v>
      </c>
      <c r="F33" t="s">
        <v>24</v>
      </c>
      <c r="G33" t="s">
        <v>42</v>
      </c>
      <c r="H33" t="s">
        <v>92</v>
      </c>
      <c r="J33" t="s">
        <v>93</v>
      </c>
      <c r="K33" t="s">
        <v>101</v>
      </c>
      <c r="L33" t="s">
        <v>94</v>
      </c>
    </row>
    <row r="34" spans="1:12" x14ac:dyDescent="0.35">
      <c r="A34">
        <v>190</v>
      </c>
      <c r="B34" s="2" t="s">
        <v>12</v>
      </c>
      <c r="C34" t="s">
        <v>13</v>
      </c>
      <c r="D34" t="s">
        <v>14</v>
      </c>
      <c r="E34" t="s">
        <v>15</v>
      </c>
      <c r="F34" t="s">
        <v>13</v>
      </c>
      <c r="G34" t="s">
        <v>16</v>
      </c>
      <c r="H34" t="s">
        <v>102</v>
      </c>
      <c r="J34" t="s">
        <v>103</v>
      </c>
      <c r="K34" t="s">
        <v>19</v>
      </c>
      <c r="L34" t="s">
        <v>28</v>
      </c>
    </row>
    <row r="35" spans="1:12" x14ac:dyDescent="0.35">
      <c r="A35">
        <v>200</v>
      </c>
      <c r="B35" s="23" t="s">
        <v>95</v>
      </c>
      <c r="C35" t="s">
        <v>30</v>
      </c>
      <c r="D35" t="s">
        <v>34</v>
      </c>
      <c r="E35" t="s">
        <v>15</v>
      </c>
      <c r="F35" t="s">
        <v>33</v>
      </c>
      <c r="G35" t="s">
        <v>63</v>
      </c>
      <c r="H35" t="s">
        <v>104</v>
      </c>
      <c r="J35" t="s">
        <v>105</v>
      </c>
      <c r="L35" t="s">
        <v>28</v>
      </c>
    </row>
    <row r="36" spans="1:12" x14ac:dyDescent="0.35">
      <c r="A36">
        <v>200</v>
      </c>
      <c r="B36" s="24" t="s">
        <v>96</v>
      </c>
      <c r="C36" t="s">
        <v>30</v>
      </c>
      <c r="D36" t="s">
        <v>34</v>
      </c>
      <c r="E36" t="s">
        <v>15</v>
      </c>
      <c r="F36" t="s">
        <v>57</v>
      </c>
      <c r="G36" t="s">
        <v>63</v>
      </c>
      <c r="H36" t="s">
        <v>104</v>
      </c>
      <c r="J36" t="s">
        <v>105</v>
      </c>
      <c r="L36" t="s">
        <v>28</v>
      </c>
    </row>
    <row r="37" spans="1:12" x14ac:dyDescent="0.35">
      <c r="A37">
        <v>200</v>
      </c>
      <c r="B37" s="23" t="s">
        <v>106</v>
      </c>
      <c r="C37" t="s">
        <v>30</v>
      </c>
      <c r="D37" t="s">
        <v>38</v>
      </c>
      <c r="E37" t="s">
        <v>15</v>
      </c>
      <c r="F37" t="s">
        <v>33</v>
      </c>
      <c r="G37" t="s">
        <v>63</v>
      </c>
      <c r="H37" t="s">
        <v>104</v>
      </c>
      <c r="J37" t="s">
        <v>105</v>
      </c>
      <c r="L37" t="s">
        <v>28</v>
      </c>
    </row>
    <row r="38" spans="1:12" x14ac:dyDescent="0.35">
      <c r="A38">
        <v>200</v>
      </c>
      <c r="B38" s="23" t="s">
        <v>107</v>
      </c>
      <c r="C38" t="s">
        <v>30</v>
      </c>
      <c r="D38" t="s">
        <v>108</v>
      </c>
      <c r="E38" t="s">
        <v>15</v>
      </c>
      <c r="F38" t="s">
        <v>35</v>
      </c>
      <c r="G38" t="s">
        <v>63</v>
      </c>
      <c r="H38" t="s">
        <v>104</v>
      </c>
      <c r="J38" t="s">
        <v>105</v>
      </c>
      <c r="L38" t="s">
        <v>28</v>
      </c>
    </row>
    <row r="39" spans="1:12" x14ac:dyDescent="0.35">
      <c r="A39">
        <v>200</v>
      </c>
      <c r="B39" s="23" t="s">
        <v>109</v>
      </c>
      <c r="C39" t="s">
        <v>30</v>
      </c>
      <c r="D39" t="s">
        <v>34</v>
      </c>
      <c r="E39" t="s">
        <v>15</v>
      </c>
      <c r="F39" t="s">
        <v>35</v>
      </c>
      <c r="G39" t="s">
        <v>63</v>
      </c>
      <c r="H39" t="s">
        <v>104</v>
      </c>
      <c r="J39" t="s">
        <v>105</v>
      </c>
      <c r="L39" t="s">
        <v>28</v>
      </c>
    </row>
    <row r="40" spans="1:12" x14ac:dyDescent="0.35">
      <c r="A40">
        <v>200</v>
      </c>
      <c r="B40" s="2" t="s">
        <v>110</v>
      </c>
      <c r="C40" t="s">
        <v>33</v>
      </c>
      <c r="D40" t="s">
        <v>34</v>
      </c>
      <c r="E40" t="s">
        <v>15</v>
      </c>
      <c r="F40" t="s">
        <v>33</v>
      </c>
      <c r="G40" t="s">
        <v>63</v>
      </c>
      <c r="H40" t="s">
        <v>104</v>
      </c>
      <c r="J40" t="s">
        <v>105</v>
      </c>
      <c r="L40" t="s">
        <v>28</v>
      </c>
    </row>
    <row r="41" spans="1:12" x14ac:dyDescent="0.35">
      <c r="A41">
        <v>200</v>
      </c>
      <c r="B41" s="4" t="s">
        <v>111</v>
      </c>
      <c r="C41" t="s">
        <v>30</v>
      </c>
      <c r="D41" t="s">
        <v>112</v>
      </c>
      <c r="E41" t="s">
        <v>15</v>
      </c>
      <c r="F41" t="s">
        <v>57</v>
      </c>
      <c r="G41" t="s">
        <v>63</v>
      </c>
      <c r="H41" t="s">
        <v>104</v>
      </c>
      <c r="J41" t="s">
        <v>113</v>
      </c>
      <c r="L41" t="s">
        <v>28</v>
      </c>
    </row>
    <row r="42" spans="1:12" x14ac:dyDescent="0.35">
      <c r="A42">
        <v>208</v>
      </c>
      <c r="B42" s="3" t="s">
        <v>76</v>
      </c>
      <c r="C42" t="s">
        <v>33</v>
      </c>
      <c r="D42" t="s">
        <v>34</v>
      </c>
      <c r="E42" t="s">
        <v>15</v>
      </c>
      <c r="F42" t="s">
        <v>33</v>
      </c>
      <c r="G42" t="s">
        <v>63</v>
      </c>
      <c r="H42" t="s">
        <v>114</v>
      </c>
      <c r="J42" t="s">
        <v>115</v>
      </c>
      <c r="L42" t="s">
        <v>28</v>
      </c>
    </row>
    <row r="43" spans="1:12" x14ac:dyDescent="0.35">
      <c r="A43">
        <v>208</v>
      </c>
      <c r="B43" s="19" t="s">
        <v>116</v>
      </c>
      <c r="C43" t="s">
        <v>22</v>
      </c>
      <c r="D43" t="s">
        <v>34</v>
      </c>
      <c r="E43" t="s">
        <v>15</v>
      </c>
      <c r="F43" t="s">
        <v>22</v>
      </c>
      <c r="G43" t="s">
        <v>63</v>
      </c>
      <c r="H43" t="s">
        <v>114</v>
      </c>
      <c r="J43" t="s">
        <v>115</v>
      </c>
      <c r="L43" t="s">
        <v>28</v>
      </c>
    </row>
    <row r="44" spans="1:12" x14ac:dyDescent="0.35">
      <c r="A44">
        <v>208</v>
      </c>
      <c r="B44" s="16" t="s">
        <v>91</v>
      </c>
      <c r="C44" t="s">
        <v>22</v>
      </c>
      <c r="D44" t="s">
        <v>23</v>
      </c>
      <c r="E44" t="s">
        <v>15</v>
      </c>
      <c r="F44" t="s">
        <v>22</v>
      </c>
      <c r="G44" t="s">
        <v>63</v>
      </c>
      <c r="H44" t="s">
        <v>114</v>
      </c>
      <c r="J44" t="s">
        <v>115</v>
      </c>
      <c r="L44" t="s">
        <v>28</v>
      </c>
    </row>
    <row r="45" spans="1:12" x14ac:dyDescent="0.35">
      <c r="A45">
        <v>208</v>
      </c>
      <c r="B45" s="17" t="s">
        <v>62</v>
      </c>
      <c r="C45" t="s">
        <v>22</v>
      </c>
      <c r="D45" t="s">
        <v>117</v>
      </c>
      <c r="E45" t="s">
        <v>15</v>
      </c>
      <c r="F45" t="s">
        <v>22</v>
      </c>
      <c r="G45" t="s">
        <v>63</v>
      </c>
      <c r="H45" t="s">
        <v>114</v>
      </c>
      <c r="J45" t="s">
        <v>115</v>
      </c>
      <c r="L45" t="s">
        <v>28</v>
      </c>
    </row>
    <row r="46" spans="1:12" x14ac:dyDescent="0.35">
      <c r="A46">
        <v>208</v>
      </c>
      <c r="B46" s="18" t="s">
        <v>118</v>
      </c>
      <c r="C46" t="s">
        <v>22</v>
      </c>
      <c r="D46" t="s">
        <v>112</v>
      </c>
      <c r="E46" t="s">
        <v>15</v>
      </c>
      <c r="F46" t="s">
        <v>22</v>
      </c>
      <c r="G46" t="s">
        <v>63</v>
      </c>
      <c r="H46" t="s">
        <v>114</v>
      </c>
      <c r="J46" t="s">
        <v>115</v>
      </c>
      <c r="L46" t="s">
        <v>28</v>
      </c>
    </row>
    <row r="47" spans="1:12" x14ac:dyDescent="0.35">
      <c r="A47">
        <v>215</v>
      </c>
      <c r="B47" s="4" t="s">
        <v>119</v>
      </c>
      <c r="C47" t="s">
        <v>30</v>
      </c>
      <c r="D47" t="s">
        <v>112</v>
      </c>
      <c r="E47" t="s">
        <v>15</v>
      </c>
      <c r="F47" t="s">
        <v>57</v>
      </c>
      <c r="G47" t="s">
        <v>120</v>
      </c>
      <c r="H47" t="s">
        <v>121</v>
      </c>
      <c r="J47" t="s">
        <v>122</v>
      </c>
      <c r="L47" t="s">
        <v>28</v>
      </c>
    </row>
    <row r="48" spans="1:12" x14ac:dyDescent="0.35">
      <c r="A48">
        <v>222</v>
      </c>
      <c r="B48" s="42" t="s">
        <v>123</v>
      </c>
      <c r="C48" t="s">
        <v>13</v>
      </c>
      <c r="D48" t="s">
        <v>112</v>
      </c>
      <c r="E48" t="s">
        <v>15</v>
      </c>
      <c r="F48" t="s">
        <v>13</v>
      </c>
      <c r="G48" t="s">
        <v>16</v>
      </c>
      <c r="H48" t="s">
        <v>124</v>
      </c>
      <c r="J48" t="s">
        <v>125</v>
      </c>
      <c r="K48" t="s">
        <v>19</v>
      </c>
      <c r="L48" t="s">
        <v>94</v>
      </c>
    </row>
    <row r="49" spans="1:12" x14ac:dyDescent="0.35">
      <c r="A49">
        <v>222</v>
      </c>
      <c r="B49" s="42" t="s">
        <v>126</v>
      </c>
      <c r="C49" t="s">
        <v>13</v>
      </c>
      <c r="D49" t="s">
        <v>112</v>
      </c>
      <c r="E49" t="s">
        <v>15</v>
      </c>
      <c r="F49" t="s">
        <v>13</v>
      </c>
      <c r="G49" t="s">
        <v>16</v>
      </c>
      <c r="H49" t="s">
        <v>124</v>
      </c>
      <c r="J49" t="s">
        <v>127</v>
      </c>
      <c r="K49" t="s">
        <v>19</v>
      </c>
      <c r="L49" t="s">
        <v>94</v>
      </c>
    </row>
    <row r="50" spans="1:12" x14ac:dyDescent="0.35">
      <c r="A50">
        <v>240</v>
      </c>
      <c r="B50" s="8" t="s">
        <v>128</v>
      </c>
      <c r="C50" t="s">
        <v>33</v>
      </c>
      <c r="D50" t="s">
        <v>129</v>
      </c>
      <c r="E50" t="s">
        <v>15</v>
      </c>
      <c r="F50" t="s">
        <v>33</v>
      </c>
      <c r="G50" t="s">
        <v>130</v>
      </c>
      <c r="H50" t="s">
        <v>131</v>
      </c>
      <c r="J50" t="s">
        <v>132</v>
      </c>
      <c r="L50" t="s">
        <v>133</v>
      </c>
    </row>
    <row r="51" spans="1:12" x14ac:dyDescent="0.35">
      <c r="A51">
        <v>240</v>
      </c>
      <c r="B51" s="5" t="s">
        <v>134</v>
      </c>
      <c r="C51" t="s">
        <v>33</v>
      </c>
      <c r="D51" t="s">
        <v>112</v>
      </c>
      <c r="E51" t="s">
        <v>15</v>
      </c>
      <c r="F51" t="s">
        <v>33</v>
      </c>
      <c r="G51" t="s">
        <v>130</v>
      </c>
      <c r="H51" t="s">
        <v>131</v>
      </c>
      <c r="J51" t="s">
        <v>132</v>
      </c>
      <c r="L51" t="s">
        <v>133</v>
      </c>
    </row>
    <row r="52" spans="1:12" x14ac:dyDescent="0.35">
      <c r="A52">
        <v>240</v>
      </c>
      <c r="B52" s="26" t="s">
        <v>135</v>
      </c>
      <c r="C52" t="s">
        <v>30</v>
      </c>
      <c r="D52" t="s">
        <v>136</v>
      </c>
      <c r="E52" t="s">
        <v>15</v>
      </c>
      <c r="F52" t="s">
        <v>137</v>
      </c>
      <c r="G52" t="s">
        <v>130</v>
      </c>
      <c r="H52" t="s">
        <v>131</v>
      </c>
      <c r="J52" t="s">
        <v>27</v>
      </c>
      <c r="L52" t="s">
        <v>133</v>
      </c>
    </row>
    <row r="53" spans="1:12" x14ac:dyDescent="0.35">
      <c r="A53">
        <v>240</v>
      </c>
      <c r="B53" s="26" t="s">
        <v>138</v>
      </c>
      <c r="C53" t="s">
        <v>30</v>
      </c>
      <c r="D53" t="s">
        <v>136</v>
      </c>
      <c r="E53" t="s">
        <v>15</v>
      </c>
      <c r="F53" t="s">
        <v>137</v>
      </c>
      <c r="G53" t="s">
        <v>130</v>
      </c>
      <c r="H53" t="s">
        <v>131</v>
      </c>
      <c r="J53" t="s">
        <v>27</v>
      </c>
      <c r="L53" t="s">
        <v>133</v>
      </c>
    </row>
    <row r="54" spans="1:12" x14ac:dyDescent="0.35">
      <c r="A54">
        <v>240</v>
      </c>
      <c r="B54" s="15" t="s">
        <v>139</v>
      </c>
      <c r="C54" t="s">
        <v>30</v>
      </c>
      <c r="D54" t="s">
        <v>140</v>
      </c>
      <c r="E54" t="s">
        <v>15</v>
      </c>
      <c r="F54" t="s">
        <v>33</v>
      </c>
      <c r="G54" t="s">
        <v>130</v>
      </c>
      <c r="H54" t="s">
        <v>131</v>
      </c>
      <c r="J54" t="s">
        <v>27</v>
      </c>
      <c r="L54" t="s">
        <v>133</v>
      </c>
    </row>
    <row r="55" spans="1:12" x14ac:dyDescent="0.35">
      <c r="A55">
        <v>245</v>
      </c>
      <c r="B55" s="4" t="s">
        <v>119</v>
      </c>
      <c r="C55" t="s">
        <v>30</v>
      </c>
      <c r="D55" t="s">
        <v>34</v>
      </c>
      <c r="E55" t="s">
        <v>15</v>
      </c>
      <c r="F55" t="s">
        <v>57</v>
      </c>
      <c r="G55" t="s">
        <v>141</v>
      </c>
      <c r="H55" t="s">
        <v>142</v>
      </c>
      <c r="J55" t="s">
        <v>143</v>
      </c>
      <c r="L55" t="s">
        <v>20</v>
      </c>
    </row>
    <row r="56" spans="1:12" x14ac:dyDescent="0.35">
      <c r="A56">
        <v>245</v>
      </c>
      <c r="B56" s="2" t="s">
        <v>144</v>
      </c>
      <c r="C56" t="s">
        <v>33</v>
      </c>
      <c r="D56" t="s">
        <v>38</v>
      </c>
      <c r="E56" t="s">
        <v>15</v>
      </c>
      <c r="F56" t="s">
        <v>33</v>
      </c>
      <c r="G56" t="s">
        <v>141</v>
      </c>
      <c r="H56" t="s">
        <v>142</v>
      </c>
      <c r="J56" t="s">
        <v>143</v>
      </c>
      <c r="L56" t="s">
        <v>20</v>
      </c>
    </row>
    <row r="57" spans="1:12" x14ac:dyDescent="0.35">
      <c r="A57">
        <v>245</v>
      </c>
      <c r="B57" s="4" t="s">
        <v>145</v>
      </c>
      <c r="C57" t="s">
        <v>33</v>
      </c>
      <c r="D57" t="s">
        <v>38</v>
      </c>
      <c r="E57" t="s">
        <v>15</v>
      </c>
      <c r="F57" t="s">
        <v>33</v>
      </c>
      <c r="G57" t="s">
        <v>141</v>
      </c>
      <c r="H57" t="s">
        <v>142</v>
      </c>
      <c r="J57" t="s">
        <v>143</v>
      </c>
      <c r="L57" t="s">
        <v>20</v>
      </c>
    </row>
    <row r="58" spans="1:12" x14ac:dyDescent="0.35">
      <c r="A58">
        <v>266</v>
      </c>
      <c r="B58" s="23" t="s">
        <v>146</v>
      </c>
      <c r="C58" t="s">
        <v>30</v>
      </c>
      <c r="D58" t="s">
        <v>108</v>
      </c>
      <c r="E58" t="s">
        <v>15</v>
      </c>
      <c r="F58" t="s">
        <v>35</v>
      </c>
      <c r="G58" t="s">
        <v>147</v>
      </c>
      <c r="H58" t="s">
        <v>148</v>
      </c>
      <c r="J58" t="s">
        <v>149</v>
      </c>
      <c r="L58" t="s">
        <v>28</v>
      </c>
    </row>
    <row r="59" spans="1:12" x14ac:dyDescent="0.35">
      <c r="A59">
        <v>270</v>
      </c>
      <c r="B59" s="5" t="s">
        <v>150</v>
      </c>
      <c r="C59" t="s">
        <v>33</v>
      </c>
      <c r="D59" t="s">
        <v>151</v>
      </c>
      <c r="E59" t="s">
        <v>15</v>
      </c>
      <c r="F59" t="s">
        <v>35</v>
      </c>
      <c r="G59" t="s">
        <v>152</v>
      </c>
      <c r="H59" t="s">
        <v>153</v>
      </c>
      <c r="J59" t="s">
        <v>154</v>
      </c>
      <c r="L59" t="s">
        <v>28</v>
      </c>
    </row>
    <row r="60" spans="1:12" x14ac:dyDescent="0.35">
      <c r="A60">
        <v>270</v>
      </c>
      <c r="B60" s="2" t="s">
        <v>155</v>
      </c>
      <c r="C60" t="s">
        <v>33</v>
      </c>
      <c r="D60" t="s">
        <v>38</v>
      </c>
      <c r="E60" t="s">
        <v>15</v>
      </c>
      <c r="F60" t="s">
        <v>33</v>
      </c>
      <c r="G60" t="s">
        <v>152</v>
      </c>
      <c r="H60" t="s">
        <v>153</v>
      </c>
      <c r="J60" t="s">
        <v>154</v>
      </c>
      <c r="L60" t="s">
        <v>28</v>
      </c>
    </row>
    <row r="61" spans="1:12" x14ac:dyDescent="0.35">
      <c r="A61">
        <v>270</v>
      </c>
      <c r="B61" s="4" t="s">
        <v>156</v>
      </c>
      <c r="C61" t="s">
        <v>33</v>
      </c>
      <c r="D61" t="s">
        <v>157</v>
      </c>
      <c r="E61" t="s">
        <v>15</v>
      </c>
      <c r="F61" t="s">
        <v>33</v>
      </c>
      <c r="G61" t="s">
        <v>152</v>
      </c>
      <c r="H61" t="s">
        <v>153</v>
      </c>
      <c r="J61" t="s">
        <v>154</v>
      </c>
      <c r="L61" t="s">
        <v>28</v>
      </c>
    </row>
    <row r="62" spans="1:12" x14ac:dyDescent="0.35">
      <c r="A62">
        <v>270</v>
      </c>
      <c r="B62" s="23" t="s">
        <v>158</v>
      </c>
      <c r="C62" t="s">
        <v>30</v>
      </c>
      <c r="D62" t="s">
        <v>157</v>
      </c>
      <c r="E62" t="s">
        <v>15</v>
      </c>
      <c r="F62" t="s">
        <v>33</v>
      </c>
      <c r="G62" t="s">
        <v>152</v>
      </c>
      <c r="H62" t="s">
        <v>153</v>
      </c>
      <c r="J62" t="s">
        <v>154</v>
      </c>
      <c r="L62" t="s">
        <v>28</v>
      </c>
    </row>
    <row r="63" spans="1:12" x14ac:dyDescent="0.35">
      <c r="A63">
        <v>270</v>
      </c>
      <c r="B63" s="23" t="s">
        <v>159</v>
      </c>
      <c r="C63" t="s">
        <v>30</v>
      </c>
      <c r="D63" t="s">
        <v>160</v>
      </c>
      <c r="E63" t="s">
        <v>15</v>
      </c>
      <c r="F63" t="s">
        <v>35</v>
      </c>
      <c r="G63" t="s">
        <v>152</v>
      </c>
      <c r="H63" t="s">
        <v>153</v>
      </c>
      <c r="J63" t="s">
        <v>27</v>
      </c>
      <c r="L63" t="s">
        <v>28</v>
      </c>
    </row>
    <row r="64" spans="1:12" x14ac:dyDescent="0.35">
      <c r="A64">
        <v>271</v>
      </c>
      <c r="B64" s="23" t="s">
        <v>161</v>
      </c>
      <c r="C64" t="s">
        <v>30</v>
      </c>
      <c r="D64" t="s">
        <v>34</v>
      </c>
      <c r="E64" t="s">
        <v>15</v>
      </c>
      <c r="F64" t="s">
        <v>35</v>
      </c>
      <c r="G64" t="s">
        <v>63</v>
      </c>
      <c r="H64" t="s">
        <v>162</v>
      </c>
      <c r="I64" t="s">
        <v>163</v>
      </c>
      <c r="J64" t="s">
        <v>164</v>
      </c>
      <c r="L64" t="s">
        <v>28</v>
      </c>
    </row>
    <row r="65" spans="1:12" x14ac:dyDescent="0.35">
      <c r="A65">
        <v>271</v>
      </c>
      <c r="B65" s="23" t="s">
        <v>165</v>
      </c>
      <c r="C65" t="s">
        <v>30</v>
      </c>
      <c r="D65" t="s">
        <v>166</v>
      </c>
      <c r="E65" t="s">
        <v>15</v>
      </c>
      <c r="F65" t="s">
        <v>35</v>
      </c>
      <c r="G65" t="s">
        <v>63</v>
      </c>
      <c r="H65" t="s">
        <v>162</v>
      </c>
      <c r="I65" t="s">
        <v>163</v>
      </c>
      <c r="J65" t="s">
        <v>164</v>
      </c>
      <c r="L65" t="s">
        <v>28</v>
      </c>
    </row>
    <row r="66" spans="1:12" x14ac:dyDescent="0.35">
      <c r="A66">
        <v>271</v>
      </c>
      <c r="B66" s="7" t="s">
        <v>167</v>
      </c>
      <c r="C66" t="s">
        <v>30</v>
      </c>
      <c r="D66" t="s">
        <v>166</v>
      </c>
      <c r="E66" t="s">
        <v>15</v>
      </c>
      <c r="F66" t="s">
        <v>35</v>
      </c>
      <c r="G66" t="s">
        <v>63</v>
      </c>
      <c r="H66" t="s">
        <v>162</v>
      </c>
      <c r="I66" t="s">
        <v>163</v>
      </c>
      <c r="J66" t="s">
        <v>164</v>
      </c>
      <c r="L66" t="s">
        <v>28</v>
      </c>
    </row>
    <row r="67" spans="1:12" x14ac:dyDescent="0.35">
      <c r="A67">
        <v>271</v>
      </c>
      <c r="B67" s="23" t="s">
        <v>168</v>
      </c>
      <c r="C67" t="s">
        <v>30</v>
      </c>
      <c r="D67" t="s">
        <v>166</v>
      </c>
      <c r="E67" t="s">
        <v>15</v>
      </c>
      <c r="F67" t="s">
        <v>35</v>
      </c>
      <c r="G67" t="s">
        <v>63</v>
      </c>
      <c r="H67" t="s">
        <v>162</v>
      </c>
      <c r="I67" t="s">
        <v>163</v>
      </c>
      <c r="J67" t="s">
        <v>164</v>
      </c>
      <c r="L67" t="s">
        <v>28</v>
      </c>
    </row>
    <row r="68" spans="1:12" x14ac:dyDescent="0.35">
      <c r="A68">
        <v>271</v>
      </c>
      <c r="B68" s="23" t="s">
        <v>169</v>
      </c>
      <c r="C68" t="s">
        <v>30</v>
      </c>
      <c r="D68" t="s">
        <v>166</v>
      </c>
      <c r="E68" t="s">
        <v>15</v>
      </c>
      <c r="F68" t="s">
        <v>35</v>
      </c>
      <c r="G68" t="s">
        <v>63</v>
      </c>
      <c r="H68" t="s">
        <v>162</v>
      </c>
      <c r="I68" t="s">
        <v>163</v>
      </c>
      <c r="J68" t="s">
        <v>164</v>
      </c>
      <c r="L68" t="s">
        <v>28</v>
      </c>
    </row>
    <row r="69" spans="1:12" x14ac:dyDescent="0.35">
      <c r="A69">
        <v>280</v>
      </c>
      <c r="B69" s="23" t="s">
        <v>170</v>
      </c>
      <c r="C69" t="s">
        <v>30</v>
      </c>
      <c r="D69" t="s">
        <v>171</v>
      </c>
      <c r="E69" t="s">
        <v>15</v>
      </c>
      <c r="F69" t="s">
        <v>35</v>
      </c>
      <c r="G69" t="s">
        <v>63</v>
      </c>
      <c r="H69" t="s">
        <v>172</v>
      </c>
      <c r="J69" t="s">
        <v>173</v>
      </c>
      <c r="L69" t="s">
        <v>174</v>
      </c>
    </row>
    <row r="70" spans="1:12" x14ac:dyDescent="0.35">
      <c r="A70">
        <v>282</v>
      </c>
      <c r="B70" s="4" t="s">
        <v>119</v>
      </c>
      <c r="C70" t="s">
        <v>30</v>
      </c>
      <c r="D70" t="s">
        <v>34</v>
      </c>
      <c r="E70" t="s">
        <v>15</v>
      </c>
      <c r="F70" t="s">
        <v>57</v>
      </c>
      <c r="G70" t="s">
        <v>63</v>
      </c>
      <c r="H70" t="s">
        <v>142</v>
      </c>
      <c r="J70" t="s">
        <v>27</v>
      </c>
      <c r="L70" t="s">
        <v>20</v>
      </c>
    </row>
    <row r="71" spans="1:12" x14ac:dyDescent="0.35">
      <c r="A71">
        <v>282</v>
      </c>
      <c r="B71" s="24" t="s">
        <v>175</v>
      </c>
      <c r="C71" t="s">
        <v>30</v>
      </c>
      <c r="D71" t="s">
        <v>34</v>
      </c>
      <c r="E71" t="s">
        <v>15</v>
      </c>
      <c r="F71" t="s">
        <v>57</v>
      </c>
      <c r="G71" t="s">
        <v>63</v>
      </c>
      <c r="H71" t="s">
        <v>142</v>
      </c>
      <c r="J71" t="s">
        <v>27</v>
      </c>
      <c r="L71" t="s">
        <v>20</v>
      </c>
    </row>
    <row r="72" spans="1:12" x14ac:dyDescent="0.35">
      <c r="A72">
        <v>282</v>
      </c>
      <c r="B72" s="24" t="s">
        <v>176</v>
      </c>
      <c r="C72" t="s">
        <v>30</v>
      </c>
      <c r="D72" t="s">
        <v>34</v>
      </c>
      <c r="E72" t="s">
        <v>15</v>
      </c>
      <c r="F72" t="s">
        <v>57</v>
      </c>
      <c r="G72" t="s">
        <v>63</v>
      </c>
      <c r="H72" t="s">
        <v>142</v>
      </c>
      <c r="J72" t="s">
        <v>177</v>
      </c>
      <c r="L72" t="s">
        <v>20</v>
      </c>
    </row>
    <row r="73" spans="1:12" x14ac:dyDescent="0.35">
      <c r="A73">
        <v>287</v>
      </c>
      <c r="B73" s="2" t="s">
        <v>144</v>
      </c>
      <c r="C73" t="s">
        <v>33</v>
      </c>
      <c r="D73" t="s">
        <v>38</v>
      </c>
      <c r="E73" t="s">
        <v>15</v>
      </c>
      <c r="F73" t="s">
        <v>33</v>
      </c>
      <c r="G73" t="s">
        <v>25</v>
      </c>
      <c r="H73" t="s">
        <v>178</v>
      </c>
      <c r="J73" t="s">
        <v>179</v>
      </c>
      <c r="L73" t="s">
        <v>28</v>
      </c>
    </row>
    <row r="74" spans="1:12" x14ac:dyDescent="0.35">
      <c r="A74">
        <v>287</v>
      </c>
      <c r="B74" s="3" t="s">
        <v>76</v>
      </c>
      <c r="C74" t="s">
        <v>33</v>
      </c>
      <c r="D74" t="s">
        <v>34</v>
      </c>
      <c r="E74" t="s">
        <v>15</v>
      </c>
      <c r="F74" t="s">
        <v>33</v>
      </c>
      <c r="G74" t="s">
        <v>25</v>
      </c>
      <c r="H74" t="s">
        <v>178</v>
      </c>
      <c r="J74" t="s">
        <v>179</v>
      </c>
      <c r="L74" t="s">
        <v>28</v>
      </c>
    </row>
    <row r="75" spans="1:12" x14ac:dyDescent="0.35">
      <c r="A75">
        <v>289</v>
      </c>
      <c r="B75" s="5" t="s">
        <v>180</v>
      </c>
      <c r="C75" t="s">
        <v>49</v>
      </c>
      <c r="D75" t="s">
        <v>34</v>
      </c>
      <c r="E75" t="s">
        <v>15</v>
      </c>
      <c r="F75" t="s">
        <v>24</v>
      </c>
      <c r="G75" t="s">
        <v>63</v>
      </c>
      <c r="H75" t="s">
        <v>181</v>
      </c>
      <c r="J75" t="s">
        <v>182</v>
      </c>
      <c r="L75" t="s">
        <v>28</v>
      </c>
    </row>
    <row r="76" spans="1:12" x14ac:dyDescent="0.35">
      <c r="A76">
        <v>289</v>
      </c>
      <c r="B76" s="5" t="s">
        <v>183</v>
      </c>
      <c r="C76" t="s">
        <v>33</v>
      </c>
      <c r="D76" t="s">
        <v>184</v>
      </c>
      <c r="E76" t="s">
        <v>15</v>
      </c>
      <c r="F76" t="s">
        <v>24</v>
      </c>
      <c r="G76" t="s">
        <v>63</v>
      </c>
      <c r="H76" t="s">
        <v>181</v>
      </c>
      <c r="J76" t="s">
        <v>185</v>
      </c>
      <c r="L76" t="s">
        <v>28</v>
      </c>
    </row>
    <row r="77" spans="1:12" x14ac:dyDescent="0.35">
      <c r="A77">
        <v>289</v>
      </c>
      <c r="B77" s="2" t="s">
        <v>12</v>
      </c>
      <c r="C77" t="s">
        <v>13</v>
      </c>
      <c r="D77" t="s">
        <v>14</v>
      </c>
      <c r="E77" t="s">
        <v>15</v>
      </c>
      <c r="F77" t="s">
        <v>13</v>
      </c>
      <c r="G77" t="s">
        <v>16</v>
      </c>
      <c r="H77" t="s">
        <v>186</v>
      </c>
      <c r="J77" t="s">
        <v>182</v>
      </c>
      <c r="K77" t="s">
        <v>19</v>
      </c>
      <c r="L77" t="s">
        <v>28</v>
      </c>
    </row>
    <row r="78" spans="1:12" x14ac:dyDescent="0.35">
      <c r="A78">
        <v>295</v>
      </c>
      <c r="B78" s="23" t="s">
        <v>187</v>
      </c>
      <c r="C78" t="s">
        <v>30</v>
      </c>
      <c r="D78" t="s">
        <v>188</v>
      </c>
      <c r="E78" t="s">
        <v>15</v>
      </c>
      <c r="F78" t="s">
        <v>137</v>
      </c>
      <c r="G78" t="s">
        <v>63</v>
      </c>
      <c r="H78" t="s">
        <v>189</v>
      </c>
      <c r="J78" t="s">
        <v>190</v>
      </c>
      <c r="K78" t="s">
        <v>191</v>
      </c>
      <c r="L78" t="s">
        <v>28</v>
      </c>
    </row>
    <row r="79" spans="1:12" x14ac:dyDescent="0.35">
      <c r="A79">
        <v>295</v>
      </c>
      <c r="B79" s="23" t="s">
        <v>192</v>
      </c>
      <c r="C79" t="s">
        <v>30</v>
      </c>
      <c r="D79" t="s">
        <v>188</v>
      </c>
      <c r="E79" t="s">
        <v>15</v>
      </c>
      <c r="F79" t="s">
        <v>137</v>
      </c>
      <c r="G79" t="s">
        <v>63</v>
      </c>
      <c r="H79" t="s">
        <v>189</v>
      </c>
      <c r="J79" t="s">
        <v>190</v>
      </c>
      <c r="K79" t="s">
        <v>191</v>
      </c>
      <c r="L79" t="s">
        <v>28</v>
      </c>
    </row>
    <row r="80" spans="1:12" x14ac:dyDescent="0.35">
      <c r="A80">
        <v>295</v>
      </c>
      <c r="B80" s="25" t="s">
        <v>193</v>
      </c>
      <c r="C80" t="s">
        <v>30</v>
      </c>
      <c r="D80" t="s">
        <v>38</v>
      </c>
      <c r="E80" t="s">
        <v>15</v>
      </c>
      <c r="F80" t="s">
        <v>33</v>
      </c>
      <c r="G80" t="s">
        <v>63</v>
      </c>
      <c r="H80" t="s">
        <v>189</v>
      </c>
      <c r="J80" t="s">
        <v>190</v>
      </c>
      <c r="K80" t="s">
        <v>194</v>
      </c>
      <c r="L80" t="s">
        <v>28</v>
      </c>
    </row>
    <row r="81" spans="1:12" x14ac:dyDescent="0.35">
      <c r="A81">
        <v>295</v>
      </c>
      <c r="B81" s="25" t="s">
        <v>195</v>
      </c>
      <c r="C81" t="s">
        <v>30</v>
      </c>
      <c r="D81" t="s">
        <v>196</v>
      </c>
      <c r="E81" t="s">
        <v>15</v>
      </c>
      <c r="F81" t="s">
        <v>33</v>
      </c>
      <c r="G81" t="s">
        <v>63</v>
      </c>
      <c r="H81" t="s">
        <v>189</v>
      </c>
      <c r="J81" t="s">
        <v>190</v>
      </c>
      <c r="K81" t="s">
        <v>194</v>
      </c>
      <c r="L81" t="s">
        <v>28</v>
      </c>
    </row>
    <row r="82" spans="1:12" x14ac:dyDescent="0.35">
      <c r="A82">
        <v>295</v>
      </c>
      <c r="B82" s="7" t="s">
        <v>197</v>
      </c>
      <c r="C82" t="s">
        <v>30</v>
      </c>
      <c r="D82" t="s">
        <v>196</v>
      </c>
      <c r="E82" t="s">
        <v>15</v>
      </c>
      <c r="F82" t="s">
        <v>33</v>
      </c>
      <c r="G82" t="s">
        <v>63</v>
      </c>
      <c r="H82" t="s">
        <v>189</v>
      </c>
      <c r="J82" t="s">
        <v>190</v>
      </c>
      <c r="K82" t="s">
        <v>194</v>
      </c>
      <c r="L82" t="s">
        <v>28</v>
      </c>
    </row>
    <row r="83" spans="1:12" x14ac:dyDescent="0.35">
      <c r="A83">
        <v>295</v>
      </c>
      <c r="B83" s="7" t="s">
        <v>198</v>
      </c>
      <c r="C83" t="s">
        <v>30</v>
      </c>
      <c r="D83" t="s">
        <v>199</v>
      </c>
      <c r="E83" t="s">
        <v>15</v>
      </c>
      <c r="F83" t="s">
        <v>35</v>
      </c>
      <c r="G83" t="s">
        <v>63</v>
      </c>
      <c r="H83" t="s">
        <v>189</v>
      </c>
      <c r="J83" t="s">
        <v>190</v>
      </c>
      <c r="L83" t="s">
        <v>28</v>
      </c>
    </row>
    <row r="84" spans="1:12" x14ac:dyDescent="0.35">
      <c r="A84">
        <v>295</v>
      </c>
      <c r="B84" s="2" t="s">
        <v>144</v>
      </c>
      <c r="C84" t="s">
        <v>33</v>
      </c>
      <c r="D84" t="s">
        <v>38</v>
      </c>
      <c r="E84" t="s">
        <v>15</v>
      </c>
      <c r="F84" t="s">
        <v>33</v>
      </c>
      <c r="G84" t="s">
        <v>63</v>
      </c>
      <c r="H84" t="s">
        <v>189</v>
      </c>
      <c r="J84" t="s">
        <v>190</v>
      </c>
      <c r="L84" t="s">
        <v>28</v>
      </c>
    </row>
    <row r="85" spans="1:12" x14ac:dyDescent="0.35">
      <c r="A85">
        <v>295</v>
      </c>
      <c r="B85" s="4" t="s">
        <v>200</v>
      </c>
      <c r="C85" t="s">
        <v>33</v>
      </c>
      <c r="D85" t="s">
        <v>157</v>
      </c>
      <c r="E85" t="s">
        <v>15</v>
      </c>
      <c r="F85" t="s">
        <v>33</v>
      </c>
      <c r="G85" t="s">
        <v>63</v>
      </c>
      <c r="H85" t="s">
        <v>189</v>
      </c>
      <c r="J85" t="s">
        <v>190</v>
      </c>
      <c r="L85" t="s">
        <v>28</v>
      </c>
    </row>
    <row r="86" spans="1:12" x14ac:dyDescent="0.35">
      <c r="A86">
        <v>295</v>
      </c>
      <c r="B86" s="26" t="s">
        <v>201</v>
      </c>
      <c r="C86" t="s">
        <v>30</v>
      </c>
      <c r="D86" t="s">
        <v>136</v>
      </c>
      <c r="E86" t="s">
        <v>15</v>
      </c>
      <c r="F86" t="s">
        <v>137</v>
      </c>
      <c r="G86" t="s">
        <v>63</v>
      </c>
      <c r="H86" t="s">
        <v>189</v>
      </c>
      <c r="J86" t="s">
        <v>190</v>
      </c>
      <c r="L86" t="s">
        <v>28</v>
      </c>
    </row>
    <row r="87" spans="1:12" x14ac:dyDescent="0.35">
      <c r="A87">
        <v>295</v>
      </c>
      <c r="B87" s="26" t="s">
        <v>202</v>
      </c>
      <c r="C87" t="s">
        <v>30</v>
      </c>
      <c r="D87" t="s">
        <v>136</v>
      </c>
      <c r="E87" t="s">
        <v>15</v>
      </c>
      <c r="F87" t="s">
        <v>137</v>
      </c>
      <c r="G87" t="s">
        <v>63</v>
      </c>
      <c r="H87" t="s">
        <v>189</v>
      </c>
      <c r="J87" t="s">
        <v>190</v>
      </c>
      <c r="L87" t="s">
        <v>28</v>
      </c>
    </row>
    <row r="88" spans="1:12" x14ac:dyDescent="0.35">
      <c r="A88">
        <v>295</v>
      </c>
      <c r="B88" s="26" t="s">
        <v>203</v>
      </c>
      <c r="C88" t="s">
        <v>30</v>
      </c>
      <c r="D88" t="s">
        <v>136</v>
      </c>
      <c r="E88" t="s">
        <v>15</v>
      </c>
      <c r="F88" t="s">
        <v>137</v>
      </c>
      <c r="G88" t="s">
        <v>63</v>
      </c>
      <c r="H88" t="s">
        <v>189</v>
      </c>
      <c r="J88" t="s">
        <v>190</v>
      </c>
      <c r="L88" t="s">
        <v>28</v>
      </c>
    </row>
    <row r="89" spans="1:12" x14ac:dyDescent="0.35">
      <c r="A89">
        <v>342</v>
      </c>
      <c r="B89" s="2" t="s">
        <v>204</v>
      </c>
      <c r="C89" t="s">
        <v>33</v>
      </c>
      <c r="D89" t="s">
        <v>205</v>
      </c>
      <c r="E89" t="s">
        <v>15</v>
      </c>
      <c r="F89" t="s">
        <v>33</v>
      </c>
      <c r="G89" t="s">
        <v>63</v>
      </c>
      <c r="H89" t="s">
        <v>206</v>
      </c>
      <c r="J89" t="s">
        <v>27</v>
      </c>
      <c r="L89" t="s">
        <v>28</v>
      </c>
    </row>
    <row r="90" spans="1:12" x14ac:dyDescent="0.35">
      <c r="A90">
        <v>342</v>
      </c>
      <c r="B90" s="2" t="s">
        <v>207</v>
      </c>
      <c r="C90" t="s">
        <v>33</v>
      </c>
      <c r="D90" t="s">
        <v>205</v>
      </c>
      <c r="E90" t="s">
        <v>15</v>
      </c>
      <c r="F90" t="s">
        <v>33</v>
      </c>
      <c r="G90" t="s">
        <v>63</v>
      </c>
      <c r="H90" t="s">
        <v>206</v>
      </c>
      <c r="J90" t="s">
        <v>27</v>
      </c>
      <c r="L90" t="s">
        <v>28</v>
      </c>
    </row>
    <row r="91" spans="1:12" x14ac:dyDescent="0.35">
      <c r="A91">
        <v>342</v>
      </c>
      <c r="B91" s="3" t="s">
        <v>208</v>
      </c>
      <c r="C91" t="s">
        <v>33</v>
      </c>
      <c r="D91" t="s">
        <v>34</v>
      </c>
      <c r="E91" t="s">
        <v>15</v>
      </c>
      <c r="F91" t="s">
        <v>33</v>
      </c>
      <c r="G91" t="s">
        <v>63</v>
      </c>
      <c r="H91" t="s">
        <v>206</v>
      </c>
      <c r="J91" t="s">
        <v>27</v>
      </c>
      <c r="L91" t="s">
        <v>28</v>
      </c>
    </row>
    <row r="92" spans="1:12" x14ac:dyDescent="0.35">
      <c r="A92">
        <v>342</v>
      </c>
      <c r="B92" s="7" t="s">
        <v>209</v>
      </c>
      <c r="C92" t="s">
        <v>33</v>
      </c>
      <c r="D92" t="s">
        <v>210</v>
      </c>
      <c r="E92" t="s">
        <v>15</v>
      </c>
      <c r="F92" t="s">
        <v>35</v>
      </c>
      <c r="G92" t="s">
        <v>63</v>
      </c>
      <c r="H92" t="s">
        <v>206</v>
      </c>
      <c r="J92" t="s">
        <v>27</v>
      </c>
      <c r="L92" t="s">
        <v>28</v>
      </c>
    </row>
    <row r="93" spans="1:12" x14ac:dyDescent="0.35">
      <c r="A93">
        <v>342</v>
      </c>
      <c r="B93" s="16" t="s">
        <v>80</v>
      </c>
      <c r="C93" t="s">
        <v>22</v>
      </c>
      <c r="D93" t="s">
        <v>23</v>
      </c>
      <c r="E93" t="s">
        <v>15</v>
      </c>
      <c r="F93" t="s">
        <v>22</v>
      </c>
      <c r="G93" t="s">
        <v>63</v>
      </c>
      <c r="H93" t="s">
        <v>206</v>
      </c>
      <c r="J93" t="s">
        <v>27</v>
      </c>
      <c r="L93" t="s">
        <v>28</v>
      </c>
    </row>
    <row r="94" spans="1:12" x14ac:dyDescent="0.35">
      <c r="A94">
        <v>375</v>
      </c>
      <c r="B94" s="23" t="s">
        <v>211</v>
      </c>
      <c r="C94" t="s">
        <v>30</v>
      </c>
      <c r="D94" t="s">
        <v>212</v>
      </c>
      <c r="E94" t="s">
        <v>15</v>
      </c>
      <c r="F94" t="s">
        <v>35</v>
      </c>
      <c r="G94" t="s">
        <v>213</v>
      </c>
      <c r="H94" t="s">
        <v>214</v>
      </c>
      <c r="J94" t="s">
        <v>27</v>
      </c>
      <c r="L94" t="s">
        <v>45</v>
      </c>
    </row>
    <row r="95" spans="1:12" x14ac:dyDescent="0.35">
      <c r="A95">
        <v>375</v>
      </c>
      <c r="B95" s="23" t="s">
        <v>215</v>
      </c>
      <c r="C95" t="s">
        <v>30</v>
      </c>
      <c r="D95" t="s">
        <v>212</v>
      </c>
      <c r="E95" t="s">
        <v>15</v>
      </c>
      <c r="F95" t="s">
        <v>35</v>
      </c>
      <c r="G95" t="s">
        <v>213</v>
      </c>
      <c r="H95" t="s">
        <v>214</v>
      </c>
      <c r="J95" t="s">
        <v>27</v>
      </c>
      <c r="L95" t="s">
        <v>45</v>
      </c>
    </row>
    <row r="96" spans="1:12" x14ac:dyDescent="0.35">
      <c r="A96">
        <v>375</v>
      </c>
      <c r="B96" t="s">
        <v>216</v>
      </c>
      <c r="C96" t="s">
        <v>33</v>
      </c>
      <c r="D96" t="s">
        <v>212</v>
      </c>
      <c r="E96" t="s">
        <v>15</v>
      </c>
      <c r="F96" t="s">
        <v>35</v>
      </c>
      <c r="G96" t="s">
        <v>213</v>
      </c>
      <c r="H96" t="s">
        <v>214</v>
      </c>
      <c r="J96" t="s">
        <v>27</v>
      </c>
      <c r="L96" t="s">
        <v>45</v>
      </c>
    </row>
    <row r="97" spans="1:12" x14ac:dyDescent="0.35">
      <c r="A97">
        <v>378</v>
      </c>
      <c r="B97" s="3" t="s">
        <v>76</v>
      </c>
      <c r="C97" t="s">
        <v>33</v>
      </c>
      <c r="D97" t="s">
        <v>34</v>
      </c>
      <c r="E97" t="s">
        <v>15</v>
      </c>
      <c r="F97" t="s">
        <v>33</v>
      </c>
      <c r="G97" t="s">
        <v>16</v>
      </c>
      <c r="H97" t="s">
        <v>217</v>
      </c>
      <c r="J97" t="s">
        <v>27</v>
      </c>
      <c r="L97" t="s">
        <v>28</v>
      </c>
    </row>
    <row r="98" spans="1:12" x14ac:dyDescent="0.35">
      <c r="A98">
        <v>378</v>
      </c>
      <c r="B98" s="3" t="s">
        <v>218</v>
      </c>
      <c r="C98" t="s">
        <v>33</v>
      </c>
      <c r="D98" t="s">
        <v>34</v>
      </c>
      <c r="E98" t="s">
        <v>15</v>
      </c>
      <c r="F98" t="s">
        <v>33</v>
      </c>
      <c r="G98" t="s">
        <v>16</v>
      </c>
      <c r="H98" t="s">
        <v>217</v>
      </c>
      <c r="J98" t="s">
        <v>219</v>
      </c>
      <c r="L98" t="s">
        <v>28</v>
      </c>
    </row>
    <row r="99" spans="1:12" x14ac:dyDescent="0.35">
      <c r="A99">
        <v>378</v>
      </c>
      <c r="B99" s="2" t="s">
        <v>220</v>
      </c>
      <c r="C99" t="s">
        <v>33</v>
      </c>
      <c r="D99" t="s">
        <v>205</v>
      </c>
      <c r="E99" t="s">
        <v>15</v>
      </c>
      <c r="F99" t="s">
        <v>33</v>
      </c>
      <c r="G99" t="s">
        <v>16</v>
      </c>
      <c r="H99" t="s">
        <v>217</v>
      </c>
      <c r="J99" t="s">
        <v>219</v>
      </c>
      <c r="L99" t="s">
        <v>28</v>
      </c>
    </row>
    <row r="100" spans="1:12" x14ac:dyDescent="0.35">
      <c r="A100">
        <v>378</v>
      </c>
      <c r="B100" s="42" t="s">
        <v>221</v>
      </c>
      <c r="C100" t="s">
        <v>13</v>
      </c>
      <c r="D100" t="s">
        <v>205</v>
      </c>
      <c r="E100" t="s">
        <v>15</v>
      </c>
      <c r="F100" t="s">
        <v>33</v>
      </c>
      <c r="G100" t="s">
        <v>16</v>
      </c>
      <c r="H100" t="s">
        <v>217</v>
      </c>
      <c r="J100" t="s">
        <v>219</v>
      </c>
      <c r="L100" t="s">
        <v>28</v>
      </c>
    </row>
    <row r="101" spans="1:12" x14ac:dyDescent="0.35">
      <c r="A101">
        <v>378</v>
      </c>
      <c r="B101" s="41" t="s">
        <v>222</v>
      </c>
      <c r="C101" t="s">
        <v>13</v>
      </c>
      <c r="D101" t="s">
        <v>223</v>
      </c>
      <c r="E101" t="s">
        <v>15</v>
      </c>
      <c r="F101" t="s">
        <v>35</v>
      </c>
      <c r="G101" t="s">
        <v>16</v>
      </c>
      <c r="H101" t="s">
        <v>217</v>
      </c>
      <c r="J101" t="s">
        <v>224</v>
      </c>
      <c r="L101" t="s">
        <v>28</v>
      </c>
    </row>
    <row r="102" spans="1:12" x14ac:dyDescent="0.35">
      <c r="A102">
        <v>381</v>
      </c>
      <c r="B102" s="20" t="s">
        <v>21</v>
      </c>
      <c r="C102" t="s">
        <v>22</v>
      </c>
      <c r="D102" t="s">
        <v>225</v>
      </c>
      <c r="E102" t="s">
        <v>15</v>
      </c>
      <c r="F102" t="s">
        <v>24</v>
      </c>
      <c r="G102" t="s">
        <v>42</v>
      </c>
      <c r="H102" t="s">
        <v>226</v>
      </c>
      <c r="J102" t="s">
        <v>227</v>
      </c>
      <c r="L102" t="s">
        <v>28</v>
      </c>
    </row>
    <row r="103" spans="1:12" x14ac:dyDescent="0.35">
      <c r="A103">
        <v>381</v>
      </c>
      <c r="B103" s="3" t="s">
        <v>228</v>
      </c>
      <c r="C103" t="s">
        <v>33</v>
      </c>
      <c r="D103" t="s">
        <v>34</v>
      </c>
      <c r="E103" t="s">
        <v>15</v>
      </c>
      <c r="F103" t="s">
        <v>33</v>
      </c>
      <c r="G103" t="s">
        <v>42</v>
      </c>
      <c r="H103" t="s">
        <v>226</v>
      </c>
      <c r="J103" t="s">
        <v>227</v>
      </c>
      <c r="L103" t="s">
        <v>28</v>
      </c>
    </row>
    <row r="104" spans="1:12" x14ac:dyDescent="0.35">
      <c r="A104">
        <v>381</v>
      </c>
      <c r="B104" s="3" t="s">
        <v>229</v>
      </c>
      <c r="C104" t="s">
        <v>33</v>
      </c>
      <c r="D104" t="s">
        <v>34</v>
      </c>
      <c r="E104" t="s">
        <v>15</v>
      </c>
      <c r="F104" t="s">
        <v>33</v>
      </c>
      <c r="G104" t="s">
        <v>42</v>
      </c>
      <c r="H104" t="s">
        <v>226</v>
      </c>
      <c r="J104" t="s">
        <v>227</v>
      </c>
      <c r="L104" t="s">
        <v>28</v>
      </c>
    </row>
    <row r="105" spans="1:12" x14ac:dyDescent="0.35">
      <c r="A105">
        <v>381</v>
      </c>
      <c r="B105" s="3" t="s">
        <v>230</v>
      </c>
      <c r="C105" t="s">
        <v>33</v>
      </c>
      <c r="D105" t="s">
        <v>34</v>
      </c>
      <c r="E105" t="s">
        <v>15</v>
      </c>
      <c r="F105" t="s">
        <v>33</v>
      </c>
      <c r="G105" t="s">
        <v>42</v>
      </c>
      <c r="H105" t="s">
        <v>226</v>
      </c>
      <c r="J105" t="s">
        <v>227</v>
      </c>
      <c r="L105" t="s">
        <v>28</v>
      </c>
    </row>
    <row r="106" spans="1:12" x14ac:dyDescent="0.35">
      <c r="A106">
        <v>381</v>
      </c>
      <c r="B106" s="3" t="s">
        <v>231</v>
      </c>
      <c r="C106" t="s">
        <v>33</v>
      </c>
      <c r="D106" t="s">
        <v>34</v>
      </c>
      <c r="E106" t="s">
        <v>15</v>
      </c>
      <c r="F106" t="s">
        <v>33</v>
      </c>
      <c r="G106" t="s">
        <v>42</v>
      </c>
      <c r="H106" t="s">
        <v>226</v>
      </c>
      <c r="J106" t="s">
        <v>227</v>
      </c>
      <c r="L106" t="s">
        <v>28</v>
      </c>
    </row>
    <row r="107" spans="1:12" x14ac:dyDescent="0.35">
      <c r="A107">
        <v>381</v>
      </c>
      <c r="B107" s="3" t="s">
        <v>232</v>
      </c>
      <c r="C107" t="s">
        <v>33</v>
      </c>
      <c r="D107" t="s">
        <v>34</v>
      </c>
      <c r="E107" t="s">
        <v>15</v>
      </c>
      <c r="F107" t="s">
        <v>33</v>
      </c>
      <c r="G107" t="s">
        <v>42</v>
      </c>
      <c r="H107" t="s">
        <v>226</v>
      </c>
      <c r="J107" t="s">
        <v>227</v>
      </c>
      <c r="L107" t="s">
        <v>28</v>
      </c>
    </row>
    <row r="108" spans="1:12" x14ac:dyDescent="0.35">
      <c r="A108">
        <v>381</v>
      </c>
      <c r="B108" s="3" t="s">
        <v>233</v>
      </c>
      <c r="C108" t="s">
        <v>33</v>
      </c>
      <c r="D108" t="s">
        <v>34</v>
      </c>
      <c r="E108" t="s">
        <v>15</v>
      </c>
      <c r="F108" t="s">
        <v>33</v>
      </c>
      <c r="G108" t="s">
        <v>42</v>
      </c>
      <c r="H108" t="s">
        <v>226</v>
      </c>
      <c r="J108" t="s">
        <v>227</v>
      </c>
      <c r="L108" t="s">
        <v>28</v>
      </c>
    </row>
    <row r="109" spans="1:12" x14ac:dyDescent="0.35">
      <c r="A109">
        <v>381</v>
      </c>
      <c r="B109" s="16" t="s">
        <v>91</v>
      </c>
      <c r="C109" t="s">
        <v>22</v>
      </c>
      <c r="D109" t="s">
        <v>23</v>
      </c>
      <c r="E109" t="s">
        <v>15</v>
      </c>
      <c r="F109" t="s">
        <v>22</v>
      </c>
      <c r="G109" t="s">
        <v>42</v>
      </c>
      <c r="H109" t="s">
        <v>226</v>
      </c>
      <c r="J109" t="s">
        <v>227</v>
      </c>
      <c r="L109" t="s">
        <v>28</v>
      </c>
    </row>
    <row r="110" spans="1:12" x14ac:dyDescent="0.35">
      <c r="A110">
        <v>381</v>
      </c>
      <c r="B110" s="17" t="s">
        <v>62</v>
      </c>
      <c r="C110" t="s">
        <v>22</v>
      </c>
      <c r="D110" t="s">
        <v>112</v>
      </c>
      <c r="E110" t="s">
        <v>15</v>
      </c>
      <c r="F110" t="s">
        <v>22</v>
      </c>
      <c r="G110" t="s">
        <v>42</v>
      </c>
      <c r="H110" t="s">
        <v>226</v>
      </c>
      <c r="J110" t="s">
        <v>227</v>
      </c>
      <c r="L110" t="s">
        <v>28</v>
      </c>
    </row>
    <row r="111" spans="1:12" x14ac:dyDescent="0.35">
      <c r="A111">
        <v>381</v>
      </c>
      <c r="B111" s="15" t="s">
        <v>234</v>
      </c>
      <c r="C111" t="s">
        <v>49</v>
      </c>
      <c r="D111" t="s">
        <v>50</v>
      </c>
      <c r="E111" t="s">
        <v>15</v>
      </c>
      <c r="F111" t="s">
        <v>33</v>
      </c>
      <c r="G111" t="s">
        <v>42</v>
      </c>
      <c r="H111" t="s">
        <v>226</v>
      </c>
      <c r="J111" t="s">
        <v>227</v>
      </c>
      <c r="L111" t="s">
        <v>28</v>
      </c>
    </row>
    <row r="112" spans="1:12" x14ac:dyDescent="0.35">
      <c r="A112">
        <v>398</v>
      </c>
      <c r="B112" s="3" t="s">
        <v>235</v>
      </c>
      <c r="C112" t="s">
        <v>33</v>
      </c>
      <c r="D112" t="s">
        <v>34</v>
      </c>
      <c r="E112" t="s">
        <v>15</v>
      </c>
      <c r="F112" t="s">
        <v>33</v>
      </c>
      <c r="G112" t="s">
        <v>42</v>
      </c>
      <c r="H112" t="s">
        <v>236</v>
      </c>
      <c r="J112" t="s">
        <v>237</v>
      </c>
      <c r="K112" t="s">
        <v>238</v>
      </c>
      <c r="L112" t="s">
        <v>28</v>
      </c>
    </row>
    <row r="113" spans="1:12" x14ac:dyDescent="0.35">
      <c r="A113">
        <v>398</v>
      </c>
      <c r="B113" s="10" t="s">
        <v>239</v>
      </c>
      <c r="C113" t="s">
        <v>33</v>
      </c>
      <c r="D113" t="s">
        <v>240</v>
      </c>
      <c r="E113" t="s">
        <v>15</v>
      </c>
      <c r="F113" t="s">
        <v>33</v>
      </c>
      <c r="G113" t="s">
        <v>63</v>
      </c>
      <c r="H113" t="s">
        <v>236</v>
      </c>
      <c r="J113" t="s">
        <v>237</v>
      </c>
      <c r="L113" t="s">
        <v>28</v>
      </c>
    </row>
    <row r="114" spans="1:12" x14ac:dyDescent="0.35">
      <c r="A114">
        <v>398</v>
      </c>
      <c r="B114" s="17" t="s">
        <v>241</v>
      </c>
      <c r="C114" t="s">
        <v>22</v>
      </c>
      <c r="D114" t="s">
        <v>112</v>
      </c>
      <c r="E114" t="s">
        <v>15</v>
      </c>
      <c r="F114" t="s">
        <v>22</v>
      </c>
      <c r="G114" t="s">
        <v>42</v>
      </c>
      <c r="H114" t="s">
        <v>236</v>
      </c>
      <c r="J114" t="s">
        <v>237</v>
      </c>
      <c r="L114" t="s">
        <v>28</v>
      </c>
    </row>
    <row r="115" spans="1:12" x14ac:dyDescent="0.35">
      <c r="A115">
        <v>419</v>
      </c>
      <c r="B115" s="2" t="s">
        <v>12</v>
      </c>
      <c r="C115" t="s">
        <v>13</v>
      </c>
      <c r="D115" t="s">
        <v>14</v>
      </c>
      <c r="E115" t="s">
        <v>15</v>
      </c>
      <c r="F115" t="s">
        <v>13</v>
      </c>
      <c r="G115" t="s">
        <v>16</v>
      </c>
      <c r="H115" t="s">
        <v>242</v>
      </c>
      <c r="J115" t="s">
        <v>27</v>
      </c>
      <c r="K115" t="s">
        <v>19</v>
      </c>
      <c r="L115" t="s">
        <v>133</v>
      </c>
    </row>
    <row r="116" spans="1:12" x14ac:dyDescent="0.35">
      <c r="A116">
        <v>426</v>
      </c>
      <c r="B116" t="s">
        <v>243</v>
      </c>
      <c r="C116" t="s">
        <v>13</v>
      </c>
      <c r="E116" t="s">
        <v>15</v>
      </c>
      <c r="F116" t="s">
        <v>244</v>
      </c>
      <c r="G116" t="s">
        <v>16</v>
      </c>
      <c r="H116" t="s">
        <v>245</v>
      </c>
      <c r="J116" t="s">
        <v>246</v>
      </c>
      <c r="L116" t="s">
        <v>20</v>
      </c>
    </row>
    <row r="117" spans="1:12" x14ac:dyDescent="0.35">
      <c r="A117">
        <v>429</v>
      </c>
      <c r="B117" s="16" t="s">
        <v>91</v>
      </c>
      <c r="C117" t="s">
        <v>22</v>
      </c>
      <c r="D117" t="s">
        <v>23</v>
      </c>
      <c r="E117" t="s">
        <v>15</v>
      </c>
      <c r="F117" t="s">
        <v>22</v>
      </c>
      <c r="G117" t="s">
        <v>247</v>
      </c>
      <c r="H117" t="s">
        <v>248</v>
      </c>
      <c r="J117" t="s">
        <v>249</v>
      </c>
      <c r="L117" t="s">
        <v>28</v>
      </c>
    </row>
    <row r="118" spans="1:12" x14ac:dyDescent="0.35">
      <c r="A118">
        <v>429</v>
      </c>
      <c r="B118" s="17" t="s">
        <v>62</v>
      </c>
      <c r="C118" t="s">
        <v>22</v>
      </c>
      <c r="D118" t="s">
        <v>112</v>
      </c>
      <c r="E118" t="s">
        <v>15</v>
      </c>
      <c r="F118" t="s">
        <v>22</v>
      </c>
      <c r="G118" t="s">
        <v>247</v>
      </c>
      <c r="H118" t="s">
        <v>248</v>
      </c>
      <c r="J118" t="s">
        <v>249</v>
      </c>
      <c r="L118" t="s">
        <v>28</v>
      </c>
    </row>
    <row r="119" spans="1:12" x14ac:dyDescent="0.35">
      <c r="A119">
        <v>429</v>
      </c>
      <c r="B119" s="17" t="s">
        <v>250</v>
      </c>
      <c r="C119" t="s">
        <v>22</v>
      </c>
      <c r="D119" t="s">
        <v>112</v>
      </c>
      <c r="E119" t="s">
        <v>15</v>
      </c>
      <c r="F119" t="s">
        <v>22</v>
      </c>
      <c r="G119" t="s">
        <v>247</v>
      </c>
      <c r="H119" t="s">
        <v>248</v>
      </c>
      <c r="J119" t="s">
        <v>249</v>
      </c>
      <c r="L119" t="s">
        <v>28</v>
      </c>
    </row>
    <row r="120" spans="1:12" x14ac:dyDescent="0.35">
      <c r="A120">
        <v>429</v>
      </c>
      <c r="B120" s="19" t="s">
        <v>251</v>
      </c>
      <c r="C120" t="s">
        <v>22</v>
      </c>
      <c r="D120" t="s">
        <v>34</v>
      </c>
      <c r="E120" t="s">
        <v>15</v>
      </c>
      <c r="F120" t="s">
        <v>22</v>
      </c>
      <c r="G120" t="s">
        <v>247</v>
      </c>
      <c r="H120" t="s">
        <v>248</v>
      </c>
      <c r="J120" t="s">
        <v>249</v>
      </c>
      <c r="L120" t="s">
        <v>28</v>
      </c>
    </row>
    <row r="121" spans="1:12" x14ac:dyDescent="0.35">
      <c r="A121">
        <v>429</v>
      </c>
      <c r="B121" t="s">
        <v>252</v>
      </c>
      <c r="C121" t="s">
        <v>22</v>
      </c>
      <c r="D121" t="s">
        <v>253</v>
      </c>
      <c r="E121" t="s">
        <v>15</v>
      </c>
      <c r="F121" t="s">
        <v>24</v>
      </c>
      <c r="G121" t="s">
        <v>247</v>
      </c>
      <c r="H121" t="s">
        <v>248</v>
      </c>
      <c r="J121" t="s">
        <v>249</v>
      </c>
      <c r="L121" t="s">
        <v>28</v>
      </c>
    </row>
    <row r="122" spans="1:12" x14ac:dyDescent="0.35">
      <c r="A122">
        <v>443</v>
      </c>
      <c r="B122" s="23" t="s">
        <v>146</v>
      </c>
      <c r="C122" t="s">
        <v>30</v>
      </c>
      <c r="D122" t="s">
        <v>254</v>
      </c>
      <c r="E122" t="s">
        <v>15</v>
      </c>
      <c r="F122" t="s">
        <v>35</v>
      </c>
      <c r="G122" t="s">
        <v>255</v>
      </c>
      <c r="H122" t="s">
        <v>256</v>
      </c>
      <c r="J122" t="s">
        <v>257</v>
      </c>
      <c r="L122" t="s">
        <v>28</v>
      </c>
    </row>
    <row r="123" spans="1:12" x14ac:dyDescent="0.35">
      <c r="A123">
        <v>505</v>
      </c>
      <c r="B123" s="16" t="s">
        <v>91</v>
      </c>
      <c r="C123" t="s">
        <v>22</v>
      </c>
      <c r="D123" t="s">
        <v>23</v>
      </c>
      <c r="E123" t="s">
        <v>15</v>
      </c>
      <c r="F123" t="s">
        <v>22</v>
      </c>
      <c r="G123" t="s">
        <v>25</v>
      </c>
      <c r="H123" t="s">
        <v>258</v>
      </c>
      <c r="J123" t="s">
        <v>179</v>
      </c>
      <c r="L123" t="s">
        <v>28</v>
      </c>
    </row>
    <row r="124" spans="1:12" x14ac:dyDescent="0.35">
      <c r="A124">
        <v>505</v>
      </c>
      <c r="B124" s="3" t="s">
        <v>76</v>
      </c>
      <c r="C124" t="s">
        <v>33</v>
      </c>
      <c r="D124" t="s">
        <v>34</v>
      </c>
      <c r="E124" t="s">
        <v>15</v>
      </c>
      <c r="F124" t="s">
        <v>33</v>
      </c>
      <c r="G124" t="s">
        <v>25</v>
      </c>
      <c r="H124" t="s">
        <v>258</v>
      </c>
      <c r="J124" t="s">
        <v>179</v>
      </c>
      <c r="L124" t="s">
        <v>28</v>
      </c>
    </row>
    <row r="125" spans="1:12" x14ac:dyDescent="0.35">
      <c r="A125">
        <v>505</v>
      </c>
      <c r="B125" s="3" t="s">
        <v>259</v>
      </c>
      <c r="C125" t="s">
        <v>33</v>
      </c>
      <c r="D125" t="s">
        <v>34</v>
      </c>
      <c r="E125" t="s">
        <v>15</v>
      </c>
      <c r="F125" t="s">
        <v>33</v>
      </c>
      <c r="G125" t="s">
        <v>25</v>
      </c>
      <c r="H125" t="s">
        <v>258</v>
      </c>
      <c r="J125" t="s">
        <v>179</v>
      </c>
      <c r="L125" t="s">
        <v>28</v>
      </c>
    </row>
    <row r="126" spans="1:12" x14ac:dyDescent="0.35">
      <c r="A126">
        <v>505</v>
      </c>
      <c r="B126" s="17" t="s">
        <v>260</v>
      </c>
      <c r="C126" t="s">
        <v>22</v>
      </c>
      <c r="D126" t="s">
        <v>261</v>
      </c>
      <c r="E126" t="s">
        <v>15</v>
      </c>
      <c r="F126" t="s">
        <v>22</v>
      </c>
      <c r="G126" t="s">
        <v>25</v>
      </c>
      <c r="H126" t="s">
        <v>258</v>
      </c>
      <c r="J126" t="s">
        <v>179</v>
      </c>
      <c r="L126" t="s">
        <v>28</v>
      </c>
    </row>
    <row r="127" spans="1:12" x14ac:dyDescent="0.35">
      <c r="A127">
        <v>505</v>
      </c>
      <c r="B127" s="3" t="s">
        <v>262</v>
      </c>
      <c r="C127" t="s">
        <v>33</v>
      </c>
      <c r="D127" t="s">
        <v>34</v>
      </c>
      <c r="E127" t="s">
        <v>15</v>
      </c>
      <c r="F127" t="s">
        <v>33</v>
      </c>
      <c r="G127" t="s">
        <v>25</v>
      </c>
      <c r="H127" t="s">
        <v>258</v>
      </c>
      <c r="J127" t="s">
        <v>179</v>
      </c>
      <c r="L127" t="s">
        <v>28</v>
      </c>
    </row>
    <row r="128" spans="1:12" x14ac:dyDescent="0.35">
      <c r="A128">
        <v>509</v>
      </c>
      <c r="B128" s="23" t="s">
        <v>263</v>
      </c>
      <c r="C128" t="s">
        <v>30</v>
      </c>
      <c r="D128" t="s">
        <v>264</v>
      </c>
      <c r="E128" t="s">
        <v>15</v>
      </c>
      <c r="F128" t="s">
        <v>35</v>
      </c>
      <c r="G128" t="s">
        <v>63</v>
      </c>
      <c r="H128" t="s">
        <v>265</v>
      </c>
      <c r="I128" t="s">
        <v>266</v>
      </c>
      <c r="J128" t="s">
        <v>267</v>
      </c>
      <c r="L128" t="s">
        <v>28</v>
      </c>
    </row>
    <row r="129" spans="1:12" x14ac:dyDescent="0.35">
      <c r="A129">
        <v>509</v>
      </c>
      <c r="B129" s="23" t="s">
        <v>268</v>
      </c>
      <c r="C129" t="s">
        <v>30</v>
      </c>
      <c r="D129" t="s">
        <v>38</v>
      </c>
      <c r="E129" t="s">
        <v>15</v>
      </c>
      <c r="F129" t="s">
        <v>33</v>
      </c>
      <c r="G129" t="s">
        <v>63</v>
      </c>
      <c r="H129" t="s">
        <v>265</v>
      </c>
      <c r="I129" t="s">
        <v>266</v>
      </c>
      <c r="J129" t="s">
        <v>269</v>
      </c>
      <c r="L129" t="s">
        <v>28</v>
      </c>
    </row>
    <row r="130" spans="1:12" x14ac:dyDescent="0.35">
      <c r="A130">
        <v>523</v>
      </c>
      <c r="B130" s="16" t="s">
        <v>270</v>
      </c>
      <c r="C130" t="s">
        <v>22</v>
      </c>
      <c r="D130" t="s">
        <v>23</v>
      </c>
      <c r="E130" t="s">
        <v>15</v>
      </c>
      <c r="F130" t="s">
        <v>22</v>
      </c>
      <c r="G130" t="s">
        <v>247</v>
      </c>
      <c r="H130" t="s">
        <v>271</v>
      </c>
      <c r="I130" t="s">
        <v>163</v>
      </c>
      <c r="J130" t="s">
        <v>272</v>
      </c>
      <c r="L130" t="s">
        <v>28</v>
      </c>
    </row>
    <row r="131" spans="1:12" x14ac:dyDescent="0.35">
      <c r="A131">
        <v>523</v>
      </c>
      <c r="B131" s="3" t="s">
        <v>273</v>
      </c>
      <c r="C131" t="s">
        <v>33</v>
      </c>
      <c r="D131" t="s">
        <v>34</v>
      </c>
      <c r="E131" t="s">
        <v>15</v>
      </c>
      <c r="F131" t="s">
        <v>33</v>
      </c>
      <c r="G131" t="s">
        <v>247</v>
      </c>
      <c r="H131" t="s">
        <v>271</v>
      </c>
      <c r="I131" t="s">
        <v>163</v>
      </c>
      <c r="J131" t="s">
        <v>272</v>
      </c>
      <c r="L131" t="s">
        <v>28</v>
      </c>
    </row>
    <row r="132" spans="1:12" x14ac:dyDescent="0.35">
      <c r="A132">
        <v>523</v>
      </c>
      <c r="B132" s="20" t="s">
        <v>21</v>
      </c>
      <c r="C132" t="s">
        <v>22</v>
      </c>
      <c r="D132" t="s">
        <v>225</v>
      </c>
      <c r="E132" t="s">
        <v>15</v>
      </c>
      <c r="F132" t="s">
        <v>24</v>
      </c>
      <c r="G132" t="s">
        <v>247</v>
      </c>
      <c r="H132" t="s">
        <v>271</v>
      </c>
      <c r="I132" t="s">
        <v>163</v>
      </c>
      <c r="J132" t="s">
        <v>27</v>
      </c>
      <c r="L132" t="s">
        <v>28</v>
      </c>
    </row>
    <row r="133" spans="1:12" x14ac:dyDescent="0.35">
      <c r="A133">
        <v>533</v>
      </c>
      <c r="B133" s="3" t="s">
        <v>274</v>
      </c>
      <c r="C133" t="s">
        <v>33</v>
      </c>
      <c r="D133" t="s">
        <v>34</v>
      </c>
      <c r="E133" t="s">
        <v>15</v>
      </c>
      <c r="F133" t="s">
        <v>33</v>
      </c>
      <c r="G133" t="s">
        <v>63</v>
      </c>
      <c r="H133" t="s">
        <v>275</v>
      </c>
      <c r="J133" t="s">
        <v>276</v>
      </c>
      <c r="L133" t="s">
        <v>28</v>
      </c>
    </row>
    <row r="134" spans="1:12" x14ac:dyDescent="0.35">
      <c r="A134">
        <v>533</v>
      </c>
      <c r="B134" s="3" t="s">
        <v>277</v>
      </c>
      <c r="C134" t="s">
        <v>33</v>
      </c>
      <c r="D134" t="s">
        <v>34</v>
      </c>
      <c r="E134" t="s">
        <v>15</v>
      </c>
      <c r="F134" t="s">
        <v>33</v>
      </c>
      <c r="G134" t="s">
        <v>63</v>
      </c>
      <c r="H134" t="s">
        <v>275</v>
      </c>
      <c r="J134" t="s">
        <v>276</v>
      </c>
      <c r="L134" t="s">
        <v>28</v>
      </c>
    </row>
    <row r="135" spans="1:12" x14ac:dyDescent="0.35">
      <c r="A135">
        <v>533</v>
      </c>
      <c r="B135" s="16" t="s">
        <v>278</v>
      </c>
      <c r="C135" t="s">
        <v>22</v>
      </c>
      <c r="D135" t="s">
        <v>23</v>
      </c>
      <c r="E135" t="s">
        <v>15</v>
      </c>
      <c r="F135" t="s">
        <v>22</v>
      </c>
      <c r="G135" t="s">
        <v>63</v>
      </c>
      <c r="H135" t="s">
        <v>275</v>
      </c>
      <c r="J135" t="s">
        <v>276</v>
      </c>
      <c r="L135" t="s">
        <v>28</v>
      </c>
    </row>
    <row r="136" spans="1:12" x14ac:dyDescent="0.35">
      <c r="A136">
        <v>533</v>
      </c>
      <c r="B136" t="s">
        <v>279</v>
      </c>
      <c r="C136" t="s">
        <v>22</v>
      </c>
      <c r="D136" t="s">
        <v>34</v>
      </c>
      <c r="E136" t="s">
        <v>15</v>
      </c>
      <c r="F136" t="s">
        <v>22</v>
      </c>
      <c r="G136" t="s">
        <v>63</v>
      </c>
      <c r="H136" t="s">
        <v>275</v>
      </c>
      <c r="J136" t="s">
        <v>276</v>
      </c>
      <c r="L136" t="s">
        <v>28</v>
      </c>
    </row>
    <row r="137" spans="1:12" x14ac:dyDescent="0.35">
      <c r="A137">
        <v>550</v>
      </c>
      <c r="B137" s="3" t="s">
        <v>76</v>
      </c>
      <c r="C137" t="s">
        <v>33</v>
      </c>
      <c r="D137" t="s">
        <v>34</v>
      </c>
      <c r="E137" t="s">
        <v>15</v>
      </c>
      <c r="F137" t="s">
        <v>33</v>
      </c>
      <c r="G137" t="s">
        <v>280</v>
      </c>
      <c r="H137" t="s">
        <v>121</v>
      </c>
      <c r="J137" t="s">
        <v>27</v>
      </c>
      <c r="L137" t="s">
        <v>28</v>
      </c>
    </row>
    <row r="138" spans="1:12" x14ac:dyDescent="0.35">
      <c r="A138">
        <v>550</v>
      </c>
      <c r="B138" s="3" t="s">
        <v>281</v>
      </c>
      <c r="C138" t="s">
        <v>33</v>
      </c>
      <c r="D138" t="s">
        <v>34</v>
      </c>
      <c r="E138" t="s">
        <v>15</v>
      </c>
      <c r="F138" t="s">
        <v>33</v>
      </c>
      <c r="G138" t="s">
        <v>280</v>
      </c>
      <c r="H138" t="s">
        <v>121</v>
      </c>
      <c r="J138" t="s">
        <v>27</v>
      </c>
      <c r="L138" t="s">
        <v>28</v>
      </c>
    </row>
    <row r="139" spans="1:12" x14ac:dyDescent="0.35">
      <c r="A139">
        <v>550</v>
      </c>
      <c r="B139" s="2" t="s">
        <v>12</v>
      </c>
      <c r="C139" t="s">
        <v>13</v>
      </c>
      <c r="D139" t="s">
        <v>14</v>
      </c>
      <c r="E139" t="s">
        <v>15</v>
      </c>
      <c r="F139" t="s">
        <v>13</v>
      </c>
      <c r="G139" t="s">
        <v>280</v>
      </c>
      <c r="H139" t="s">
        <v>121</v>
      </c>
      <c r="J139" t="s">
        <v>27</v>
      </c>
      <c r="K139" t="s">
        <v>19</v>
      </c>
      <c r="L139" t="s">
        <v>28</v>
      </c>
    </row>
    <row r="140" spans="1:12" x14ac:dyDescent="0.35">
      <c r="A140">
        <v>553</v>
      </c>
      <c r="B140" s="20" t="s">
        <v>21</v>
      </c>
      <c r="C140" t="s">
        <v>22</v>
      </c>
      <c r="D140" t="s">
        <v>225</v>
      </c>
      <c r="E140" t="s">
        <v>15</v>
      </c>
      <c r="F140" t="s">
        <v>24</v>
      </c>
      <c r="G140" t="s">
        <v>42</v>
      </c>
      <c r="H140" t="s">
        <v>282</v>
      </c>
      <c r="J140" t="s">
        <v>283</v>
      </c>
      <c r="L140" t="s">
        <v>94</v>
      </c>
    </row>
    <row r="141" spans="1:12" x14ac:dyDescent="0.35">
      <c r="A141">
        <v>553</v>
      </c>
      <c r="B141" s="19" t="s">
        <v>284</v>
      </c>
      <c r="C141" t="s">
        <v>22</v>
      </c>
      <c r="D141" t="s">
        <v>285</v>
      </c>
      <c r="E141" t="s">
        <v>15</v>
      </c>
      <c r="F141" t="s">
        <v>22</v>
      </c>
      <c r="G141" t="s">
        <v>42</v>
      </c>
      <c r="H141" t="s">
        <v>282</v>
      </c>
      <c r="J141" t="s">
        <v>283</v>
      </c>
      <c r="L141" t="s">
        <v>94</v>
      </c>
    </row>
    <row r="142" spans="1:12" x14ac:dyDescent="0.35">
      <c r="A142">
        <v>553</v>
      </c>
      <c r="B142" s="3" t="s">
        <v>286</v>
      </c>
      <c r="C142" t="s">
        <v>33</v>
      </c>
      <c r="D142" t="s">
        <v>34</v>
      </c>
      <c r="E142" t="s">
        <v>15</v>
      </c>
      <c r="F142" t="s">
        <v>33</v>
      </c>
      <c r="G142" t="s">
        <v>42</v>
      </c>
      <c r="H142" t="s">
        <v>282</v>
      </c>
      <c r="J142" t="s">
        <v>283</v>
      </c>
      <c r="L142" t="s">
        <v>94</v>
      </c>
    </row>
    <row r="143" spans="1:12" x14ac:dyDescent="0.35">
      <c r="A143">
        <v>553</v>
      </c>
      <c r="B143" s="11" t="s">
        <v>287</v>
      </c>
      <c r="C143" t="s">
        <v>33</v>
      </c>
      <c r="D143" t="s">
        <v>288</v>
      </c>
      <c r="E143" t="s">
        <v>15</v>
      </c>
      <c r="F143" t="s">
        <v>33</v>
      </c>
      <c r="G143" t="s">
        <v>42</v>
      </c>
      <c r="H143" t="s">
        <v>282</v>
      </c>
      <c r="J143" t="s">
        <v>289</v>
      </c>
      <c r="L143" t="s">
        <v>94</v>
      </c>
    </row>
    <row r="144" spans="1:12" x14ac:dyDescent="0.35">
      <c r="A144">
        <v>553</v>
      </c>
      <c r="B144" s="2" t="s">
        <v>290</v>
      </c>
      <c r="C144" t="s">
        <v>33</v>
      </c>
      <c r="D144" t="s">
        <v>205</v>
      </c>
      <c r="E144" t="s">
        <v>15</v>
      </c>
      <c r="F144" t="s">
        <v>33</v>
      </c>
      <c r="G144" t="s">
        <v>42</v>
      </c>
      <c r="H144" t="s">
        <v>282</v>
      </c>
      <c r="J144" t="s">
        <v>291</v>
      </c>
      <c r="L144" t="s">
        <v>94</v>
      </c>
    </row>
    <row r="145" spans="1:12" x14ac:dyDescent="0.35">
      <c r="A145">
        <v>553</v>
      </c>
      <c r="B145" s="4" t="s">
        <v>292</v>
      </c>
      <c r="C145" t="s">
        <v>33</v>
      </c>
      <c r="D145" t="s">
        <v>38</v>
      </c>
      <c r="E145" t="s">
        <v>15</v>
      </c>
      <c r="F145" t="s">
        <v>33</v>
      </c>
      <c r="G145" t="s">
        <v>42</v>
      </c>
      <c r="H145" t="s">
        <v>282</v>
      </c>
      <c r="J145" t="s">
        <v>293</v>
      </c>
      <c r="L145" t="s">
        <v>94</v>
      </c>
    </row>
    <row r="146" spans="1:12" x14ac:dyDescent="0.35">
      <c r="A146">
        <v>553</v>
      </c>
      <c r="B146" t="s">
        <v>294</v>
      </c>
      <c r="C146" t="s">
        <v>33</v>
      </c>
      <c r="D146" t="s">
        <v>205</v>
      </c>
      <c r="E146" t="s">
        <v>15</v>
      </c>
      <c r="F146" t="s">
        <v>33</v>
      </c>
      <c r="G146" t="s">
        <v>42</v>
      </c>
      <c r="H146" t="s">
        <v>282</v>
      </c>
      <c r="J146" t="s">
        <v>295</v>
      </c>
      <c r="L146" t="s">
        <v>94</v>
      </c>
    </row>
    <row r="147" spans="1:12" x14ac:dyDescent="0.35">
      <c r="A147">
        <v>553</v>
      </c>
      <c r="B147" t="s">
        <v>296</v>
      </c>
      <c r="C147" t="s">
        <v>33</v>
      </c>
      <c r="D147" t="s">
        <v>34</v>
      </c>
      <c r="E147" t="s">
        <v>15</v>
      </c>
      <c r="F147" t="s">
        <v>33</v>
      </c>
      <c r="G147" t="s">
        <v>42</v>
      </c>
      <c r="H147" t="s">
        <v>282</v>
      </c>
      <c r="J147" t="s">
        <v>27</v>
      </c>
      <c r="L147" t="s">
        <v>94</v>
      </c>
    </row>
    <row r="148" spans="1:12" x14ac:dyDescent="0.35">
      <c r="A148">
        <v>553</v>
      </c>
      <c r="B148" t="s">
        <v>297</v>
      </c>
      <c r="C148" t="s">
        <v>22</v>
      </c>
      <c r="D148" t="s">
        <v>298</v>
      </c>
      <c r="E148" t="s">
        <v>15</v>
      </c>
      <c r="F148" t="s">
        <v>22</v>
      </c>
      <c r="G148" t="s">
        <v>42</v>
      </c>
      <c r="H148" t="s">
        <v>282</v>
      </c>
      <c r="J148" t="s">
        <v>27</v>
      </c>
      <c r="L148" t="s">
        <v>94</v>
      </c>
    </row>
    <row r="149" spans="1:12" x14ac:dyDescent="0.35">
      <c r="A149">
        <v>553</v>
      </c>
      <c r="B149" t="s">
        <v>299</v>
      </c>
      <c r="C149" t="s">
        <v>22</v>
      </c>
      <c r="D149" t="s">
        <v>300</v>
      </c>
      <c r="E149" t="s">
        <v>15</v>
      </c>
      <c r="F149" t="s">
        <v>22</v>
      </c>
      <c r="G149" t="s">
        <v>42</v>
      </c>
      <c r="H149" t="s">
        <v>282</v>
      </c>
      <c r="J149" t="s">
        <v>27</v>
      </c>
      <c r="L149" t="s">
        <v>94</v>
      </c>
    </row>
    <row r="150" spans="1:12" x14ac:dyDescent="0.35">
      <c r="A150">
        <v>553</v>
      </c>
      <c r="B150" t="s">
        <v>301</v>
      </c>
      <c r="C150" t="s">
        <v>22</v>
      </c>
      <c r="D150" t="s">
        <v>112</v>
      </c>
      <c r="E150" t="s">
        <v>15</v>
      </c>
      <c r="F150" t="s">
        <v>22</v>
      </c>
      <c r="G150" t="s">
        <v>42</v>
      </c>
      <c r="H150" t="s">
        <v>282</v>
      </c>
      <c r="J150" t="s">
        <v>27</v>
      </c>
      <c r="L150" t="s">
        <v>94</v>
      </c>
    </row>
    <row r="151" spans="1:12" x14ac:dyDescent="0.35">
      <c r="A151">
        <v>553</v>
      </c>
      <c r="B151" t="s">
        <v>302</v>
      </c>
      <c r="C151" t="s">
        <v>22</v>
      </c>
      <c r="D151" t="s">
        <v>303</v>
      </c>
      <c r="E151" t="s">
        <v>15</v>
      </c>
      <c r="F151" t="s">
        <v>22</v>
      </c>
      <c r="G151" t="s">
        <v>42</v>
      </c>
      <c r="H151" t="s">
        <v>282</v>
      </c>
      <c r="J151" t="s">
        <v>27</v>
      </c>
      <c r="L151" t="s">
        <v>94</v>
      </c>
    </row>
    <row r="152" spans="1:12" x14ac:dyDescent="0.35">
      <c r="A152">
        <v>553</v>
      </c>
      <c r="B152" t="s">
        <v>304</v>
      </c>
      <c r="C152" t="s">
        <v>22</v>
      </c>
      <c r="D152" t="s">
        <v>112</v>
      </c>
      <c r="E152" t="s">
        <v>15</v>
      </c>
      <c r="F152" t="s">
        <v>22</v>
      </c>
      <c r="G152" t="s">
        <v>42</v>
      </c>
      <c r="H152" t="s">
        <v>282</v>
      </c>
      <c r="J152" t="s">
        <v>27</v>
      </c>
      <c r="L152" t="s">
        <v>94</v>
      </c>
    </row>
    <row r="153" spans="1:12" x14ac:dyDescent="0.35">
      <c r="A153">
        <v>553</v>
      </c>
      <c r="B153" s="16" t="s">
        <v>91</v>
      </c>
      <c r="C153" t="s">
        <v>22</v>
      </c>
      <c r="D153" t="s">
        <v>23</v>
      </c>
      <c r="E153" t="s">
        <v>15</v>
      </c>
      <c r="F153" t="s">
        <v>22</v>
      </c>
      <c r="G153" t="s">
        <v>42</v>
      </c>
      <c r="H153" t="s">
        <v>282</v>
      </c>
      <c r="J153" t="s">
        <v>283</v>
      </c>
      <c r="L153" t="s">
        <v>94</v>
      </c>
    </row>
    <row r="154" spans="1:12" x14ac:dyDescent="0.35">
      <c r="A154">
        <v>553</v>
      </c>
      <c r="B154" s="3" t="s">
        <v>305</v>
      </c>
      <c r="C154" t="s">
        <v>33</v>
      </c>
      <c r="D154" t="s">
        <v>34</v>
      </c>
      <c r="E154" t="s">
        <v>15</v>
      </c>
      <c r="F154" t="s">
        <v>33</v>
      </c>
      <c r="G154" t="s">
        <v>42</v>
      </c>
      <c r="H154" t="s">
        <v>282</v>
      </c>
      <c r="J154" t="s">
        <v>283</v>
      </c>
      <c r="L154" t="s">
        <v>94</v>
      </c>
    </row>
    <row r="155" spans="1:12" x14ac:dyDescent="0.35">
      <c r="A155">
        <v>553</v>
      </c>
      <c r="B155" s="5" t="s">
        <v>150</v>
      </c>
      <c r="C155" t="s">
        <v>33</v>
      </c>
      <c r="D155" t="s">
        <v>50</v>
      </c>
      <c r="E155" t="s">
        <v>15</v>
      </c>
      <c r="F155" t="s">
        <v>35</v>
      </c>
      <c r="G155" t="s">
        <v>42</v>
      </c>
      <c r="H155" t="s">
        <v>282</v>
      </c>
      <c r="J155" t="s">
        <v>306</v>
      </c>
      <c r="L155" t="s">
        <v>94</v>
      </c>
    </row>
    <row r="156" spans="1:12" x14ac:dyDescent="0.35">
      <c r="A156">
        <v>561</v>
      </c>
      <c r="B156" t="s">
        <v>307</v>
      </c>
      <c r="C156" t="s">
        <v>22</v>
      </c>
      <c r="D156" t="s">
        <v>34</v>
      </c>
      <c r="E156" t="s">
        <v>15</v>
      </c>
      <c r="F156" t="s">
        <v>33</v>
      </c>
      <c r="G156" t="s">
        <v>63</v>
      </c>
      <c r="H156" t="s">
        <v>308</v>
      </c>
      <c r="J156" t="s">
        <v>27</v>
      </c>
      <c r="L156" t="s">
        <v>28</v>
      </c>
    </row>
    <row r="157" spans="1:12" x14ac:dyDescent="0.35">
      <c r="A157">
        <v>561</v>
      </c>
      <c r="B157" s="23" t="s">
        <v>309</v>
      </c>
      <c r="C157" t="s">
        <v>30</v>
      </c>
      <c r="D157" t="s">
        <v>50</v>
      </c>
      <c r="E157" t="s">
        <v>15</v>
      </c>
      <c r="F157" t="s">
        <v>35</v>
      </c>
      <c r="G157" t="s">
        <v>63</v>
      </c>
      <c r="H157" t="s">
        <v>308</v>
      </c>
      <c r="J157" t="s">
        <v>27</v>
      </c>
      <c r="L157" t="s">
        <v>28</v>
      </c>
    </row>
    <row r="158" spans="1:12" x14ac:dyDescent="0.35">
      <c r="A158">
        <v>561</v>
      </c>
      <c r="B158" s="23" t="s">
        <v>310</v>
      </c>
      <c r="C158" t="s">
        <v>30</v>
      </c>
      <c r="D158" t="s">
        <v>50</v>
      </c>
      <c r="E158" t="s">
        <v>15</v>
      </c>
      <c r="F158" t="s">
        <v>35</v>
      </c>
      <c r="G158" t="s">
        <v>63</v>
      </c>
      <c r="H158" t="s">
        <v>308</v>
      </c>
      <c r="J158" t="s">
        <v>27</v>
      </c>
      <c r="L158" t="s">
        <v>28</v>
      </c>
    </row>
    <row r="159" spans="1:12" x14ac:dyDescent="0.35">
      <c r="A159">
        <v>566</v>
      </c>
      <c r="B159" s="3" t="s">
        <v>76</v>
      </c>
      <c r="C159" t="s">
        <v>33</v>
      </c>
      <c r="D159" t="s">
        <v>34</v>
      </c>
      <c r="E159" t="s">
        <v>15</v>
      </c>
      <c r="F159" t="s">
        <v>33</v>
      </c>
      <c r="G159" t="s">
        <v>311</v>
      </c>
      <c r="H159" t="s">
        <v>162</v>
      </c>
      <c r="J159" t="s">
        <v>312</v>
      </c>
      <c r="L159" t="s">
        <v>28</v>
      </c>
    </row>
    <row r="160" spans="1:12" x14ac:dyDescent="0.35">
      <c r="A160">
        <v>597</v>
      </c>
      <c r="B160" s="15" t="s">
        <v>313</v>
      </c>
      <c r="C160" t="s">
        <v>30</v>
      </c>
      <c r="D160" t="s">
        <v>34</v>
      </c>
      <c r="E160" t="s">
        <v>15</v>
      </c>
      <c r="F160" t="s">
        <v>35</v>
      </c>
      <c r="G160" t="s">
        <v>314</v>
      </c>
      <c r="H160" t="s">
        <v>315</v>
      </c>
      <c r="J160" t="s">
        <v>316</v>
      </c>
      <c r="L160" t="s">
        <v>28</v>
      </c>
    </row>
    <row r="161" spans="1:12" x14ac:dyDescent="0.35">
      <c r="A161">
        <v>604</v>
      </c>
      <c r="B161" s="3" t="s">
        <v>317</v>
      </c>
      <c r="C161" t="s">
        <v>33</v>
      </c>
      <c r="D161" t="s">
        <v>34</v>
      </c>
      <c r="E161" t="s">
        <v>15</v>
      </c>
      <c r="F161" t="s">
        <v>33</v>
      </c>
      <c r="G161" t="s">
        <v>42</v>
      </c>
      <c r="H161" t="s">
        <v>318</v>
      </c>
      <c r="I161" t="s">
        <v>163</v>
      </c>
      <c r="J161" t="s">
        <v>319</v>
      </c>
      <c r="L161" t="s">
        <v>28</v>
      </c>
    </row>
    <row r="162" spans="1:12" x14ac:dyDescent="0.35">
      <c r="A162">
        <v>604</v>
      </c>
      <c r="B162" s="3" t="s">
        <v>320</v>
      </c>
      <c r="C162" t="s">
        <v>33</v>
      </c>
      <c r="D162" t="s">
        <v>34</v>
      </c>
      <c r="E162" t="s">
        <v>15</v>
      </c>
      <c r="F162" t="s">
        <v>33</v>
      </c>
      <c r="G162" t="s">
        <v>42</v>
      </c>
      <c r="H162" t="s">
        <v>318</v>
      </c>
      <c r="I162" t="s">
        <v>163</v>
      </c>
      <c r="J162" t="s">
        <v>319</v>
      </c>
      <c r="L162" t="s">
        <v>28</v>
      </c>
    </row>
    <row r="163" spans="1:12" x14ac:dyDescent="0.35">
      <c r="A163">
        <v>604</v>
      </c>
      <c r="B163" s="3" t="s">
        <v>262</v>
      </c>
      <c r="C163" t="s">
        <v>33</v>
      </c>
      <c r="D163" t="s">
        <v>34</v>
      </c>
      <c r="E163" t="s">
        <v>15</v>
      </c>
      <c r="F163" t="s">
        <v>33</v>
      </c>
      <c r="G163" t="s">
        <v>42</v>
      </c>
      <c r="H163" t="s">
        <v>318</v>
      </c>
      <c r="I163" t="s">
        <v>163</v>
      </c>
      <c r="J163" t="s">
        <v>319</v>
      </c>
      <c r="L163" t="s">
        <v>28</v>
      </c>
    </row>
    <row r="164" spans="1:12" x14ac:dyDescent="0.35">
      <c r="A164">
        <v>604</v>
      </c>
      <c r="B164" s="3" t="s">
        <v>321</v>
      </c>
      <c r="C164" t="s">
        <v>33</v>
      </c>
      <c r="D164" t="s">
        <v>34</v>
      </c>
      <c r="E164" t="s">
        <v>15</v>
      </c>
      <c r="F164" t="s">
        <v>33</v>
      </c>
      <c r="G164" t="s">
        <v>42</v>
      </c>
      <c r="H164" t="s">
        <v>318</v>
      </c>
      <c r="I164" t="s">
        <v>163</v>
      </c>
      <c r="J164" t="s">
        <v>319</v>
      </c>
      <c r="L164" t="s">
        <v>28</v>
      </c>
    </row>
    <row r="165" spans="1:12" x14ac:dyDescent="0.35">
      <c r="A165">
        <v>604</v>
      </c>
      <c r="B165" s="16" t="s">
        <v>91</v>
      </c>
      <c r="C165" t="s">
        <v>22</v>
      </c>
      <c r="D165" t="s">
        <v>23</v>
      </c>
      <c r="E165" t="s">
        <v>15</v>
      </c>
      <c r="F165" t="s">
        <v>22</v>
      </c>
      <c r="G165" t="s">
        <v>42</v>
      </c>
      <c r="H165" t="s">
        <v>318</v>
      </c>
      <c r="I165" t="s">
        <v>163</v>
      </c>
      <c r="J165" t="s">
        <v>319</v>
      </c>
      <c r="L165" t="s">
        <v>28</v>
      </c>
    </row>
    <row r="166" spans="1:12" x14ac:dyDescent="0.35">
      <c r="A166">
        <v>604</v>
      </c>
      <c r="B166" s="17" t="s">
        <v>62</v>
      </c>
      <c r="C166" t="s">
        <v>22</v>
      </c>
      <c r="D166" t="s">
        <v>322</v>
      </c>
      <c r="E166" t="s">
        <v>15</v>
      </c>
      <c r="F166" t="s">
        <v>22</v>
      </c>
      <c r="G166" t="s">
        <v>42</v>
      </c>
      <c r="H166" t="s">
        <v>318</v>
      </c>
      <c r="I166" t="s">
        <v>163</v>
      </c>
      <c r="J166" t="s">
        <v>319</v>
      </c>
      <c r="L166" t="s">
        <v>28</v>
      </c>
    </row>
    <row r="167" spans="1:12" x14ac:dyDescent="0.35">
      <c r="A167">
        <v>604</v>
      </c>
      <c r="B167" s="20" t="s">
        <v>323</v>
      </c>
      <c r="C167" t="s">
        <v>22</v>
      </c>
      <c r="D167" t="s">
        <v>225</v>
      </c>
      <c r="E167" t="s">
        <v>15</v>
      </c>
      <c r="F167" t="s">
        <v>24</v>
      </c>
      <c r="G167" t="s">
        <v>42</v>
      </c>
      <c r="H167" t="s">
        <v>318</v>
      </c>
      <c r="I167" t="s">
        <v>163</v>
      </c>
      <c r="J167" t="s">
        <v>319</v>
      </c>
      <c r="L167" t="s">
        <v>28</v>
      </c>
    </row>
    <row r="168" spans="1:12" x14ac:dyDescent="0.35">
      <c r="A168">
        <v>604</v>
      </c>
      <c r="B168" s="19" t="s">
        <v>324</v>
      </c>
      <c r="C168" t="s">
        <v>22</v>
      </c>
      <c r="D168" t="s">
        <v>112</v>
      </c>
      <c r="E168" t="s">
        <v>15</v>
      </c>
      <c r="F168" t="s">
        <v>22</v>
      </c>
      <c r="G168" t="s">
        <v>42</v>
      </c>
      <c r="H168" t="s">
        <v>318</v>
      </c>
      <c r="I168" t="s">
        <v>163</v>
      </c>
      <c r="J168" t="s">
        <v>319</v>
      </c>
      <c r="L168" t="s">
        <v>28</v>
      </c>
    </row>
    <row r="169" spans="1:12" x14ac:dyDescent="0.35">
      <c r="A169">
        <v>612</v>
      </c>
      <c r="B169" s="15" t="s">
        <v>325</v>
      </c>
      <c r="C169" t="s">
        <v>49</v>
      </c>
      <c r="D169" t="s">
        <v>34</v>
      </c>
      <c r="E169" t="s">
        <v>15</v>
      </c>
      <c r="F169" t="s">
        <v>35</v>
      </c>
      <c r="G169" t="s">
        <v>314</v>
      </c>
      <c r="H169" t="s">
        <v>27</v>
      </c>
      <c r="J169" t="s">
        <v>326</v>
      </c>
      <c r="L169" t="s">
        <v>28</v>
      </c>
    </row>
    <row r="170" spans="1:12" x14ac:dyDescent="0.35">
      <c r="A170">
        <v>617</v>
      </c>
      <c r="B170" s="41" t="s">
        <v>327</v>
      </c>
      <c r="C170" t="s">
        <v>13</v>
      </c>
      <c r="D170" t="s">
        <v>328</v>
      </c>
      <c r="E170" t="s">
        <v>15</v>
      </c>
      <c r="F170" t="s">
        <v>13</v>
      </c>
      <c r="G170" t="s">
        <v>16</v>
      </c>
      <c r="H170" t="s">
        <v>329</v>
      </c>
      <c r="J170" t="s">
        <v>330</v>
      </c>
      <c r="K170" t="s">
        <v>19</v>
      </c>
      <c r="L170" t="s">
        <v>331</v>
      </c>
    </row>
    <row r="171" spans="1:12" x14ac:dyDescent="0.35">
      <c r="A171">
        <v>621</v>
      </c>
      <c r="B171" s="4" t="s">
        <v>332</v>
      </c>
      <c r="C171" t="s">
        <v>30</v>
      </c>
      <c r="D171" t="s">
        <v>112</v>
      </c>
      <c r="E171" t="s">
        <v>15</v>
      </c>
      <c r="F171" t="s">
        <v>57</v>
      </c>
      <c r="G171" t="s">
        <v>63</v>
      </c>
      <c r="H171" t="s">
        <v>333</v>
      </c>
      <c r="J171" t="s">
        <v>334</v>
      </c>
      <c r="L171" t="s">
        <v>28</v>
      </c>
    </row>
    <row r="172" spans="1:12" x14ac:dyDescent="0.35">
      <c r="A172">
        <v>621</v>
      </c>
      <c r="B172" s="23" t="s">
        <v>335</v>
      </c>
      <c r="C172" t="s">
        <v>30</v>
      </c>
      <c r="D172" t="s">
        <v>38</v>
      </c>
      <c r="E172" t="s">
        <v>15</v>
      </c>
      <c r="F172" t="s">
        <v>33</v>
      </c>
      <c r="G172" t="s">
        <v>63</v>
      </c>
      <c r="H172" t="s">
        <v>333</v>
      </c>
      <c r="J172" t="s">
        <v>334</v>
      </c>
      <c r="L172" t="s">
        <v>28</v>
      </c>
    </row>
    <row r="173" spans="1:12" x14ac:dyDescent="0.35">
      <c r="A173">
        <v>10</v>
      </c>
      <c r="B173" s="16" t="s">
        <v>336</v>
      </c>
      <c r="C173" t="s">
        <v>13</v>
      </c>
      <c r="D173" t="s">
        <v>337</v>
      </c>
      <c r="E173" t="s">
        <v>15</v>
      </c>
      <c r="F173" t="s">
        <v>13</v>
      </c>
      <c r="G173" t="s">
        <v>16</v>
      </c>
      <c r="H173" t="s">
        <v>338</v>
      </c>
      <c r="J173" t="s">
        <v>339</v>
      </c>
      <c r="K173" t="s">
        <v>19</v>
      </c>
      <c r="L173" t="s">
        <v>94</v>
      </c>
    </row>
    <row r="174" spans="1:12" x14ac:dyDescent="0.35">
      <c r="A174">
        <v>22</v>
      </c>
      <c r="B174" s="3" t="s">
        <v>340</v>
      </c>
      <c r="C174" t="s">
        <v>33</v>
      </c>
      <c r="D174" t="s">
        <v>34</v>
      </c>
      <c r="E174" t="s">
        <v>15</v>
      </c>
      <c r="F174" t="s">
        <v>33</v>
      </c>
      <c r="G174" t="s">
        <v>25</v>
      </c>
      <c r="H174" t="s">
        <v>271</v>
      </c>
      <c r="I174" t="s">
        <v>163</v>
      </c>
      <c r="J174" t="s">
        <v>341</v>
      </c>
      <c r="L174" t="s">
        <v>94</v>
      </c>
    </row>
    <row r="175" spans="1:12" x14ac:dyDescent="0.35">
      <c r="A175">
        <v>22</v>
      </c>
      <c r="B175" s="16" t="s">
        <v>342</v>
      </c>
      <c r="C175" t="s">
        <v>22</v>
      </c>
      <c r="D175" t="s">
        <v>343</v>
      </c>
      <c r="E175" t="s">
        <v>15</v>
      </c>
      <c r="F175" t="s">
        <v>22</v>
      </c>
      <c r="G175" t="s">
        <v>25</v>
      </c>
      <c r="H175" t="s">
        <v>271</v>
      </c>
      <c r="I175" t="s">
        <v>163</v>
      </c>
      <c r="J175" t="s">
        <v>341</v>
      </c>
      <c r="L175" t="s">
        <v>94</v>
      </c>
    </row>
    <row r="176" spans="1:12" x14ac:dyDescent="0.35">
      <c r="A176">
        <v>22</v>
      </c>
      <c r="B176" s="20" t="s">
        <v>21</v>
      </c>
      <c r="C176" t="s">
        <v>22</v>
      </c>
      <c r="D176" t="s">
        <v>344</v>
      </c>
      <c r="E176" t="s">
        <v>15</v>
      </c>
      <c r="F176" t="s">
        <v>24</v>
      </c>
      <c r="G176" t="s">
        <v>25</v>
      </c>
      <c r="H176" t="s">
        <v>271</v>
      </c>
      <c r="I176" t="s">
        <v>163</v>
      </c>
      <c r="J176" t="s">
        <v>341</v>
      </c>
      <c r="L176" t="s">
        <v>94</v>
      </c>
    </row>
    <row r="177" spans="1:12" x14ac:dyDescent="0.35">
      <c r="A177">
        <v>32</v>
      </c>
      <c r="B177" s="23" t="s">
        <v>345</v>
      </c>
      <c r="C177" t="s">
        <v>30</v>
      </c>
      <c r="D177" t="s">
        <v>346</v>
      </c>
      <c r="E177" t="s">
        <v>15</v>
      </c>
      <c r="F177" t="s">
        <v>35</v>
      </c>
      <c r="G177" t="s">
        <v>63</v>
      </c>
      <c r="H177" t="s">
        <v>347</v>
      </c>
      <c r="I177" t="s">
        <v>348</v>
      </c>
      <c r="J177" t="s">
        <v>349</v>
      </c>
      <c r="L177" t="s">
        <v>133</v>
      </c>
    </row>
    <row r="178" spans="1:12" x14ac:dyDescent="0.35">
      <c r="A178">
        <v>32</v>
      </c>
      <c r="B178" s="23" t="s">
        <v>350</v>
      </c>
      <c r="C178" t="s">
        <v>30</v>
      </c>
      <c r="D178" t="s">
        <v>351</v>
      </c>
      <c r="E178" t="s">
        <v>15</v>
      </c>
      <c r="F178" t="s">
        <v>33</v>
      </c>
      <c r="G178" t="s">
        <v>63</v>
      </c>
      <c r="H178" t="s">
        <v>347</v>
      </c>
      <c r="I178" t="s">
        <v>348</v>
      </c>
      <c r="J178" t="s">
        <v>349</v>
      </c>
      <c r="L178" t="s">
        <v>133</v>
      </c>
    </row>
    <row r="179" spans="1:12" x14ac:dyDescent="0.35">
      <c r="A179">
        <v>32</v>
      </c>
      <c r="B179" s="3" t="s">
        <v>352</v>
      </c>
      <c r="C179" t="s">
        <v>33</v>
      </c>
      <c r="D179" t="s">
        <v>353</v>
      </c>
      <c r="E179" t="s">
        <v>15</v>
      </c>
      <c r="F179" t="s">
        <v>33</v>
      </c>
      <c r="G179" t="s">
        <v>63</v>
      </c>
      <c r="H179" t="s">
        <v>347</v>
      </c>
      <c r="I179" t="s">
        <v>348</v>
      </c>
      <c r="J179" t="s">
        <v>349</v>
      </c>
      <c r="L179" t="s">
        <v>133</v>
      </c>
    </row>
    <row r="180" spans="1:12" x14ac:dyDescent="0.35">
      <c r="A180">
        <v>52</v>
      </c>
      <c r="B180" t="s">
        <v>354</v>
      </c>
      <c r="C180" t="s">
        <v>33</v>
      </c>
      <c r="D180" t="s">
        <v>355</v>
      </c>
      <c r="E180" t="s">
        <v>15</v>
      </c>
      <c r="F180" t="s">
        <v>57</v>
      </c>
      <c r="G180" t="s">
        <v>63</v>
      </c>
      <c r="H180" t="s">
        <v>356</v>
      </c>
      <c r="I180" t="s">
        <v>266</v>
      </c>
      <c r="J180" t="s">
        <v>357</v>
      </c>
      <c r="L180" t="s">
        <v>28</v>
      </c>
    </row>
    <row r="181" spans="1:12" x14ac:dyDescent="0.35">
      <c r="A181">
        <v>52</v>
      </c>
      <c r="B181" s="15" t="s">
        <v>358</v>
      </c>
      <c r="C181" t="s">
        <v>30</v>
      </c>
      <c r="D181" t="s">
        <v>359</v>
      </c>
      <c r="E181" t="s">
        <v>15</v>
      </c>
      <c r="F181" t="s">
        <v>57</v>
      </c>
      <c r="G181" t="s">
        <v>63</v>
      </c>
      <c r="H181" t="s">
        <v>360</v>
      </c>
      <c r="I181" t="s">
        <v>266</v>
      </c>
      <c r="J181" t="s">
        <v>361</v>
      </c>
      <c r="L181" t="s">
        <v>28</v>
      </c>
    </row>
    <row r="182" spans="1:12" x14ac:dyDescent="0.35">
      <c r="A182">
        <v>52</v>
      </c>
      <c r="B182" s="3" t="s">
        <v>352</v>
      </c>
      <c r="C182" t="s">
        <v>33</v>
      </c>
      <c r="D182" t="s">
        <v>34</v>
      </c>
      <c r="E182" t="s">
        <v>15</v>
      </c>
      <c r="F182" t="s">
        <v>33</v>
      </c>
      <c r="G182" t="s">
        <v>362</v>
      </c>
      <c r="H182" t="s">
        <v>360</v>
      </c>
      <c r="J182" t="s">
        <v>361</v>
      </c>
      <c r="L182" t="s">
        <v>28</v>
      </c>
    </row>
    <row r="183" spans="1:12" x14ac:dyDescent="0.35">
      <c r="A183">
        <v>65</v>
      </c>
      <c r="B183" s="15" t="s">
        <v>363</v>
      </c>
      <c r="C183" t="s">
        <v>30</v>
      </c>
      <c r="D183" t="s">
        <v>34</v>
      </c>
      <c r="E183" t="s">
        <v>15</v>
      </c>
      <c r="F183" t="s">
        <v>24</v>
      </c>
      <c r="G183" t="s">
        <v>364</v>
      </c>
      <c r="H183" t="s">
        <v>365</v>
      </c>
      <c r="I183" t="s">
        <v>163</v>
      </c>
      <c r="J183" t="s">
        <v>366</v>
      </c>
      <c r="L183" t="s">
        <v>45</v>
      </c>
    </row>
    <row r="184" spans="1:12" x14ac:dyDescent="0.35">
      <c r="A184">
        <v>65</v>
      </c>
      <c r="B184" s="15" t="s">
        <v>367</v>
      </c>
      <c r="C184" t="s">
        <v>30</v>
      </c>
      <c r="D184" t="s">
        <v>368</v>
      </c>
      <c r="E184" t="s">
        <v>15</v>
      </c>
      <c r="F184" t="s">
        <v>24</v>
      </c>
      <c r="G184" t="s">
        <v>364</v>
      </c>
      <c r="H184" t="s">
        <v>365</v>
      </c>
      <c r="I184" t="s">
        <v>163</v>
      </c>
      <c r="J184" t="s">
        <v>366</v>
      </c>
      <c r="L184" t="s">
        <v>45</v>
      </c>
    </row>
    <row r="185" spans="1:12" x14ac:dyDescent="0.35">
      <c r="A185">
        <v>65</v>
      </c>
      <c r="B185" s="15" t="s">
        <v>369</v>
      </c>
      <c r="C185" t="s">
        <v>30</v>
      </c>
      <c r="D185" t="s">
        <v>370</v>
      </c>
      <c r="E185" t="s">
        <v>15</v>
      </c>
      <c r="F185" t="s">
        <v>24</v>
      </c>
      <c r="G185" t="s">
        <v>364</v>
      </c>
      <c r="H185" t="s">
        <v>365</v>
      </c>
      <c r="I185" t="s">
        <v>163</v>
      </c>
      <c r="J185" t="s">
        <v>366</v>
      </c>
      <c r="L185" t="s">
        <v>45</v>
      </c>
    </row>
    <row r="186" spans="1:12" x14ac:dyDescent="0.35">
      <c r="A186">
        <v>75</v>
      </c>
      <c r="B186" s="8" t="s">
        <v>371</v>
      </c>
      <c r="C186" t="s">
        <v>33</v>
      </c>
      <c r="D186" t="s">
        <v>372</v>
      </c>
      <c r="E186" t="s">
        <v>15</v>
      </c>
      <c r="F186" t="s">
        <v>33</v>
      </c>
      <c r="G186" t="s">
        <v>63</v>
      </c>
      <c r="H186" t="s">
        <v>373</v>
      </c>
      <c r="J186" t="s">
        <v>374</v>
      </c>
      <c r="L186" t="s">
        <v>28</v>
      </c>
    </row>
    <row r="187" spans="1:12" x14ac:dyDescent="0.35">
      <c r="A187">
        <v>75</v>
      </c>
      <c r="B187" s="26" t="s">
        <v>375</v>
      </c>
      <c r="C187" t="s">
        <v>30</v>
      </c>
      <c r="D187" t="s">
        <v>376</v>
      </c>
      <c r="E187" t="s">
        <v>15</v>
      </c>
      <c r="F187" t="s">
        <v>377</v>
      </c>
      <c r="G187" t="s">
        <v>63</v>
      </c>
      <c r="H187" t="s">
        <v>378</v>
      </c>
      <c r="J187" t="s">
        <v>379</v>
      </c>
      <c r="L187" t="s">
        <v>28</v>
      </c>
    </row>
    <row r="188" spans="1:12" x14ac:dyDescent="0.35">
      <c r="A188">
        <v>75</v>
      </c>
      <c r="B188" s="26" t="s">
        <v>380</v>
      </c>
      <c r="C188" t="s">
        <v>30</v>
      </c>
      <c r="D188" t="s">
        <v>376</v>
      </c>
      <c r="E188" t="s">
        <v>15</v>
      </c>
      <c r="F188" t="s">
        <v>377</v>
      </c>
      <c r="G188" t="s">
        <v>63</v>
      </c>
      <c r="H188" t="s">
        <v>378</v>
      </c>
      <c r="J188" t="s">
        <v>379</v>
      </c>
      <c r="L188" t="s">
        <v>28</v>
      </c>
    </row>
    <row r="189" spans="1:12" x14ac:dyDescent="0.35">
      <c r="A189">
        <v>631</v>
      </c>
      <c r="B189" t="s">
        <v>381</v>
      </c>
      <c r="C189" t="s">
        <v>33</v>
      </c>
      <c r="E189" t="s">
        <v>15</v>
      </c>
      <c r="F189" t="s">
        <v>35</v>
      </c>
      <c r="G189" t="s">
        <v>382</v>
      </c>
      <c r="H189" t="s">
        <v>383</v>
      </c>
      <c r="J189" t="s">
        <v>384</v>
      </c>
      <c r="L189" t="s">
        <v>94</v>
      </c>
    </row>
    <row r="190" spans="1:12" x14ac:dyDescent="0.35">
      <c r="A190">
        <v>631</v>
      </c>
      <c r="B190" s="5" t="s">
        <v>385</v>
      </c>
      <c r="C190" t="s">
        <v>33</v>
      </c>
      <c r="E190" t="s">
        <v>15</v>
      </c>
      <c r="F190" t="s">
        <v>35</v>
      </c>
      <c r="G190" t="s">
        <v>382</v>
      </c>
      <c r="H190" t="s">
        <v>383</v>
      </c>
      <c r="J190" t="s">
        <v>384</v>
      </c>
      <c r="L190" t="s">
        <v>94</v>
      </c>
    </row>
    <row r="191" spans="1:12" x14ac:dyDescent="0.35">
      <c r="A191">
        <v>634</v>
      </c>
      <c r="B191" s="3" t="s">
        <v>76</v>
      </c>
      <c r="C191" t="s">
        <v>33</v>
      </c>
      <c r="E191" t="s">
        <v>15</v>
      </c>
      <c r="F191" t="s">
        <v>33</v>
      </c>
      <c r="G191" t="s">
        <v>362</v>
      </c>
      <c r="H191" t="s">
        <v>148</v>
      </c>
      <c r="I191" t="s">
        <v>386</v>
      </c>
      <c r="J191" t="s">
        <v>387</v>
      </c>
      <c r="L191" t="s">
        <v>28</v>
      </c>
    </row>
    <row r="192" spans="1:12" x14ac:dyDescent="0.35">
      <c r="A192">
        <v>634</v>
      </c>
      <c r="B192" s="20" t="s">
        <v>388</v>
      </c>
      <c r="C192" t="s">
        <v>22</v>
      </c>
      <c r="E192" t="s">
        <v>15</v>
      </c>
      <c r="F192" t="s">
        <v>24</v>
      </c>
      <c r="G192" t="s">
        <v>362</v>
      </c>
      <c r="H192" t="s">
        <v>148</v>
      </c>
      <c r="I192" t="s">
        <v>386</v>
      </c>
      <c r="J192" t="s">
        <v>387</v>
      </c>
      <c r="L192" t="s">
        <v>28</v>
      </c>
    </row>
    <row r="193" spans="1:12" x14ac:dyDescent="0.35">
      <c r="A193">
        <v>647</v>
      </c>
      <c r="B193" t="s">
        <v>389</v>
      </c>
      <c r="C193" t="s">
        <v>22</v>
      </c>
      <c r="E193" t="s">
        <v>15</v>
      </c>
      <c r="F193" t="s">
        <v>22</v>
      </c>
      <c r="G193" t="s">
        <v>382</v>
      </c>
      <c r="H193" t="s">
        <v>390</v>
      </c>
      <c r="I193" t="s">
        <v>163</v>
      </c>
      <c r="J193" t="s">
        <v>391</v>
      </c>
      <c r="L193" t="s">
        <v>20</v>
      </c>
    </row>
    <row r="194" spans="1:12" x14ac:dyDescent="0.35">
      <c r="A194">
        <v>647</v>
      </c>
      <c r="B194" t="s">
        <v>392</v>
      </c>
      <c r="C194" t="s">
        <v>30</v>
      </c>
      <c r="E194" t="s">
        <v>15</v>
      </c>
      <c r="F194" t="s">
        <v>33</v>
      </c>
      <c r="G194" t="s">
        <v>382</v>
      </c>
      <c r="H194" t="s">
        <v>390</v>
      </c>
      <c r="I194" t="s">
        <v>163</v>
      </c>
      <c r="J194" t="s">
        <v>391</v>
      </c>
      <c r="L194" t="s">
        <v>20</v>
      </c>
    </row>
    <row r="195" spans="1:12" x14ac:dyDescent="0.35">
      <c r="A195">
        <v>647</v>
      </c>
      <c r="B195" s="2" t="s">
        <v>393</v>
      </c>
      <c r="C195" t="s">
        <v>33</v>
      </c>
      <c r="E195" t="s">
        <v>15</v>
      </c>
      <c r="F195" t="s">
        <v>33</v>
      </c>
      <c r="G195" t="s">
        <v>382</v>
      </c>
      <c r="H195" t="s">
        <v>390</v>
      </c>
      <c r="I195" t="s">
        <v>163</v>
      </c>
      <c r="J195" t="s">
        <v>391</v>
      </c>
      <c r="L195" t="s">
        <v>20</v>
      </c>
    </row>
    <row r="196" spans="1:12" x14ac:dyDescent="0.35">
      <c r="A196">
        <v>647</v>
      </c>
      <c r="B196" s="3" t="s">
        <v>394</v>
      </c>
      <c r="C196" t="s">
        <v>33</v>
      </c>
      <c r="E196" t="s">
        <v>15</v>
      </c>
      <c r="F196" t="s">
        <v>33</v>
      </c>
      <c r="G196" t="s">
        <v>382</v>
      </c>
      <c r="H196" t="s">
        <v>390</v>
      </c>
      <c r="I196" t="s">
        <v>163</v>
      </c>
      <c r="J196" t="s">
        <v>391</v>
      </c>
      <c r="L196" t="s">
        <v>20</v>
      </c>
    </row>
    <row r="197" spans="1:12" x14ac:dyDescent="0.35">
      <c r="A197">
        <v>647</v>
      </c>
      <c r="B197" s="2" t="s">
        <v>395</v>
      </c>
      <c r="C197" t="s">
        <v>33</v>
      </c>
      <c r="E197" t="s">
        <v>15</v>
      </c>
      <c r="F197" t="s">
        <v>33</v>
      </c>
      <c r="G197" t="s">
        <v>382</v>
      </c>
      <c r="H197" t="s">
        <v>390</v>
      </c>
      <c r="I197" t="s">
        <v>163</v>
      </c>
      <c r="J197" t="s">
        <v>391</v>
      </c>
      <c r="L197" t="s">
        <v>20</v>
      </c>
    </row>
    <row r="198" spans="1:12" x14ac:dyDescent="0.35">
      <c r="A198">
        <v>647</v>
      </c>
      <c r="B198" s="16" t="s">
        <v>80</v>
      </c>
      <c r="C198" t="s">
        <v>22</v>
      </c>
      <c r="E198" t="s">
        <v>15</v>
      </c>
      <c r="F198" t="s">
        <v>22</v>
      </c>
      <c r="G198" t="s">
        <v>382</v>
      </c>
      <c r="H198" t="s">
        <v>390</v>
      </c>
      <c r="I198" t="s">
        <v>163</v>
      </c>
      <c r="J198" t="s">
        <v>391</v>
      </c>
      <c r="L198" t="s">
        <v>20</v>
      </c>
    </row>
    <row r="199" spans="1:12" x14ac:dyDescent="0.35">
      <c r="A199">
        <v>647</v>
      </c>
      <c r="B199" s="17" t="s">
        <v>396</v>
      </c>
      <c r="C199" t="s">
        <v>22</v>
      </c>
      <c r="E199" t="s">
        <v>15</v>
      </c>
      <c r="F199" t="s">
        <v>22</v>
      </c>
      <c r="G199" t="s">
        <v>382</v>
      </c>
      <c r="H199" t="s">
        <v>390</v>
      </c>
      <c r="I199" t="s">
        <v>163</v>
      </c>
      <c r="J199" t="s">
        <v>391</v>
      </c>
      <c r="L199" t="s">
        <v>20</v>
      </c>
    </row>
    <row r="200" spans="1:12" x14ac:dyDescent="0.35">
      <c r="A200">
        <v>647</v>
      </c>
      <c r="B200" t="s">
        <v>397</v>
      </c>
      <c r="C200" t="s">
        <v>22</v>
      </c>
      <c r="E200" t="s">
        <v>15</v>
      </c>
      <c r="F200" t="s">
        <v>22</v>
      </c>
      <c r="G200" t="s">
        <v>382</v>
      </c>
      <c r="H200" t="s">
        <v>390</v>
      </c>
      <c r="I200" t="s">
        <v>163</v>
      </c>
      <c r="J200" t="s">
        <v>391</v>
      </c>
      <c r="L200" t="s">
        <v>20</v>
      </c>
    </row>
    <row r="201" spans="1:12" x14ac:dyDescent="0.35">
      <c r="A201">
        <v>647</v>
      </c>
      <c r="B201" s="10" t="s">
        <v>398</v>
      </c>
      <c r="C201" t="s">
        <v>33</v>
      </c>
      <c r="E201" t="s">
        <v>15</v>
      </c>
      <c r="F201" t="s">
        <v>33</v>
      </c>
      <c r="G201" t="s">
        <v>382</v>
      </c>
      <c r="H201" t="s">
        <v>390</v>
      </c>
      <c r="I201" t="s">
        <v>163</v>
      </c>
      <c r="J201" t="s">
        <v>391</v>
      </c>
      <c r="L201" t="s">
        <v>20</v>
      </c>
    </row>
    <row r="202" spans="1:12" x14ac:dyDescent="0.35">
      <c r="A202">
        <v>674</v>
      </c>
      <c r="B202" s="3" t="s">
        <v>399</v>
      </c>
      <c r="C202" t="s">
        <v>33</v>
      </c>
      <c r="E202" t="s">
        <v>15</v>
      </c>
      <c r="F202" t="s">
        <v>33</v>
      </c>
      <c r="G202" t="s">
        <v>120</v>
      </c>
      <c r="H202" t="s">
        <v>400</v>
      </c>
      <c r="I202" t="s">
        <v>348</v>
      </c>
      <c r="J202" t="s">
        <v>401</v>
      </c>
      <c r="L202" t="s">
        <v>133</v>
      </c>
    </row>
    <row r="203" spans="1:12" x14ac:dyDescent="0.35">
      <c r="A203">
        <v>674</v>
      </c>
      <c r="B203" s="23" t="s">
        <v>402</v>
      </c>
      <c r="C203" t="s">
        <v>30</v>
      </c>
      <c r="E203" t="s">
        <v>15</v>
      </c>
      <c r="F203" t="s">
        <v>35</v>
      </c>
      <c r="G203" t="s">
        <v>120</v>
      </c>
      <c r="H203" t="s">
        <v>400</v>
      </c>
      <c r="I203" t="s">
        <v>348</v>
      </c>
      <c r="J203" t="s">
        <v>403</v>
      </c>
      <c r="L203" t="s">
        <v>133</v>
      </c>
    </row>
    <row r="204" spans="1:12" x14ac:dyDescent="0.35">
      <c r="A204">
        <v>674</v>
      </c>
      <c r="B204" s="20" t="s">
        <v>21</v>
      </c>
      <c r="C204" t="s">
        <v>22</v>
      </c>
      <c r="E204" t="s">
        <v>15</v>
      </c>
      <c r="F204" t="s">
        <v>24</v>
      </c>
      <c r="G204" t="s">
        <v>120</v>
      </c>
      <c r="H204" t="s">
        <v>400</v>
      </c>
      <c r="I204" t="s">
        <v>348</v>
      </c>
      <c r="J204" t="s">
        <v>401</v>
      </c>
      <c r="L204" t="s">
        <v>133</v>
      </c>
    </row>
    <row r="205" spans="1:12" x14ac:dyDescent="0.35">
      <c r="A205">
        <v>674</v>
      </c>
      <c r="B205" t="s">
        <v>404</v>
      </c>
      <c r="C205" t="s">
        <v>22</v>
      </c>
      <c r="E205" t="s">
        <v>15</v>
      </c>
      <c r="F205" t="s">
        <v>22</v>
      </c>
      <c r="G205" t="s">
        <v>120</v>
      </c>
      <c r="H205" t="s">
        <v>400</v>
      </c>
      <c r="I205" t="s">
        <v>348</v>
      </c>
      <c r="J205" t="s">
        <v>401</v>
      </c>
      <c r="L205" t="s">
        <v>133</v>
      </c>
    </row>
    <row r="206" spans="1:12" x14ac:dyDescent="0.35">
      <c r="A206">
        <v>683</v>
      </c>
      <c r="B206" s="5" t="s">
        <v>405</v>
      </c>
      <c r="C206" t="s">
        <v>33</v>
      </c>
      <c r="E206" t="s">
        <v>15</v>
      </c>
      <c r="F206" t="s">
        <v>33</v>
      </c>
      <c r="G206" t="s">
        <v>120</v>
      </c>
      <c r="H206" t="s">
        <v>390</v>
      </c>
      <c r="I206" t="s">
        <v>163</v>
      </c>
      <c r="J206" t="s">
        <v>406</v>
      </c>
      <c r="L206" t="s">
        <v>133</v>
      </c>
    </row>
    <row r="207" spans="1:12" x14ac:dyDescent="0.35">
      <c r="A207">
        <v>683</v>
      </c>
      <c r="B207" s="4" t="s">
        <v>407</v>
      </c>
      <c r="C207" t="s">
        <v>33</v>
      </c>
      <c r="E207" t="s">
        <v>15</v>
      </c>
      <c r="F207" t="s">
        <v>33</v>
      </c>
      <c r="G207" t="s">
        <v>120</v>
      </c>
      <c r="H207" t="s">
        <v>390</v>
      </c>
      <c r="I207" t="s">
        <v>163</v>
      </c>
      <c r="J207" t="s">
        <v>406</v>
      </c>
      <c r="L207" t="s">
        <v>133</v>
      </c>
    </row>
    <row r="208" spans="1:12" x14ac:dyDescent="0.35">
      <c r="A208">
        <v>683</v>
      </c>
      <c r="B208" s="2" t="s">
        <v>408</v>
      </c>
      <c r="C208" t="s">
        <v>33</v>
      </c>
      <c r="E208" t="s">
        <v>15</v>
      </c>
      <c r="F208" t="s">
        <v>33</v>
      </c>
      <c r="G208" t="s">
        <v>120</v>
      </c>
      <c r="H208" t="s">
        <v>390</v>
      </c>
      <c r="I208" t="s">
        <v>163</v>
      </c>
      <c r="J208" t="s">
        <v>406</v>
      </c>
      <c r="L208" t="s">
        <v>133</v>
      </c>
    </row>
    <row r="209" spans="1:12" x14ac:dyDescent="0.35">
      <c r="A209">
        <v>683</v>
      </c>
      <c r="B209" s="2" t="s">
        <v>409</v>
      </c>
      <c r="C209" t="s">
        <v>33</v>
      </c>
      <c r="E209" t="s">
        <v>15</v>
      </c>
      <c r="F209" t="s">
        <v>33</v>
      </c>
      <c r="G209" t="s">
        <v>120</v>
      </c>
      <c r="H209" t="s">
        <v>390</v>
      </c>
      <c r="I209" t="s">
        <v>163</v>
      </c>
      <c r="J209" t="s">
        <v>406</v>
      </c>
      <c r="L209" t="s">
        <v>133</v>
      </c>
    </row>
    <row r="210" spans="1:12" x14ac:dyDescent="0.35">
      <c r="A210">
        <v>683</v>
      </c>
      <c r="B210" t="s">
        <v>410</v>
      </c>
      <c r="C210" t="s">
        <v>33</v>
      </c>
      <c r="E210" t="s">
        <v>15</v>
      </c>
      <c r="F210" t="s">
        <v>33</v>
      </c>
      <c r="G210" t="s">
        <v>120</v>
      </c>
      <c r="H210" t="s">
        <v>390</v>
      </c>
      <c r="I210" t="s">
        <v>163</v>
      </c>
      <c r="J210" t="s">
        <v>406</v>
      </c>
      <c r="L210" t="s">
        <v>133</v>
      </c>
    </row>
    <row r="211" spans="1:12" x14ac:dyDescent="0.35">
      <c r="A211">
        <v>683</v>
      </c>
      <c r="B211" s="8" t="s">
        <v>411</v>
      </c>
      <c r="C211" t="s">
        <v>33</v>
      </c>
      <c r="E211" t="s">
        <v>15</v>
      </c>
      <c r="F211" t="s">
        <v>33</v>
      </c>
      <c r="G211" t="s">
        <v>120</v>
      </c>
      <c r="H211" t="s">
        <v>390</v>
      </c>
      <c r="I211" t="s">
        <v>163</v>
      </c>
      <c r="J211" t="s">
        <v>406</v>
      </c>
      <c r="L211" t="s">
        <v>133</v>
      </c>
    </row>
    <row r="212" spans="1:12" x14ac:dyDescent="0.35">
      <c r="A212">
        <v>683</v>
      </c>
      <c r="B212" s="4" t="s">
        <v>412</v>
      </c>
      <c r="C212" t="s">
        <v>33</v>
      </c>
      <c r="E212" t="s">
        <v>15</v>
      </c>
      <c r="F212" t="s">
        <v>35</v>
      </c>
      <c r="G212" t="s">
        <v>120</v>
      </c>
      <c r="H212" t="s">
        <v>390</v>
      </c>
      <c r="I212" t="s">
        <v>163</v>
      </c>
      <c r="J212" t="s">
        <v>406</v>
      </c>
      <c r="L212" t="s">
        <v>133</v>
      </c>
    </row>
    <row r="213" spans="1:12" x14ac:dyDescent="0.35">
      <c r="A213">
        <v>683</v>
      </c>
      <c r="B213" s="4" t="s">
        <v>413</v>
      </c>
      <c r="C213" t="s">
        <v>33</v>
      </c>
      <c r="E213" t="s">
        <v>15</v>
      </c>
      <c r="F213" t="s">
        <v>33</v>
      </c>
      <c r="G213" t="s">
        <v>120</v>
      </c>
      <c r="H213" t="s">
        <v>390</v>
      </c>
      <c r="I213" t="s">
        <v>163</v>
      </c>
      <c r="J213" t="s">
        <v>406</v>
      </c>
      <c r="L213" t="s">
        <v>133</v>
      </c>
    </row>
    <row r="214" spans="1:12" x14ac:dyDescent="0.35">
      <c r="A214">
        <v>683</v>
      </c>
      <c r="B214" s="16" t="s">
        <v>414</v>
      </c>
      <c r="C214" t="s">
        <v>22</v>
      </c>
      <c r="E214" t="s">
        <v>15</v>
      </c>
      <c r="F214" t="s">
        <v>22</v>
      </c>
      <c r="G214" t="s">
        <v>120</v>
      </c>
      <c r="H214" t="s">
        <v>390</v>
      </c>
      <c r="I214" t="s">
        <v>163</v>
      </c>
      <c r="J214" t="s">
        <v>406</v>
      </c>
      <c r="L214" t="s">
        <v>133</v>
      </c>
    </row>
    <row r="215" spans="1:12" x14ac:dyDescent="0.35">
      <c r="A215">
        <v>683</v>
      </c>
      <c r="B215" s="3" t="s">
        <v>352</v>
      </c>
      <c r="C215" t="s">
        <v>33</v>
      </c>
      <c r="E215" t="s">
        <v>15</v>
      </c>
      <c r="F215" t="s">
        <v>33</v>
      </c>
      <c r="G215" t="s">
        <v>120</v>
      </c>
      <c r="H215" t="s">
        <v>390</v>
      </c>
      <c r="I215" t="s">
        <v>163</v>
      </c>
      <c r="J215" t="s">
        <v>406</v>
      </c>
      <c r="L215" t="s">
        <v>133</v>
      </c>
    </row>
    <row r="216" spans="1:12" x14ac:dyDescent="0.35">
      <c r="A216">
        <v>687</v>
      </c>
      <c r="B216" s="3" t="s">
        <v>415</v>
      </c>
      <c r="C216" t="s">
        <v>33</v>
      </c>
      <c r="E216" t="s">
        <v>15</v>
      </c>
      <c r="F216" t="s">
        <v>33</v>
      </c>
      <c r="G216" t="s">
        <v>362</v>
      </c>
      <c r="H216" t="s">
        <v>416</v>
      </c>
      <c r="J216" t="s">
        <v>417</v>
      </c>
      <c r="L216" t="s">
        <v>28</v>
      </c>
    </row>
    <row r="217" spans="1:12" x14ac:dyDescent="0.35">
      <c r="A217">
        <v>687</v>
      </c>
      <c r="B217" s="3" t="s">
        <v>418</v>
      </c>
      <c r="C217" t="s">
        <v>33</v>
      </c>
      <c r="E217" t="s">
        <v>15</v>
      </c>
      <c r="F217" t="s">
        <v>33</v>
      </c>
      <c r="G217" t="s">
        <v>362</v>
      </c>
      <c r="H217" t="s">
        <v>416</v>
      </c>
      <c r="J217" t="s">
        <v>417</v>
      </c>
      <c r="L217" t="s">
        <v>28</v>
      </c>
    </row>
    <row r="218" spans="1:12" x14ac:dyDescent="0.35">
      <c r="A218">
        <v>687</v>
      </c>
      <c r="B218" s="3" t="s">
        <v>419</v>
      </c>
      <c r="C218" t="s">
        <v>33</v>
      </c>
      <c r="E218" t="s">
        <v>15</v>
      </c>
      <c r="F218" t="s">
        <v>33</v>
      </c>
      <c r="G218" t="s">
        <v>362</v>
      </c>
      <c r="H218" t="s">
        <v>416</v>
      </c>
      <c r="J218" t="s">
        <v>417</v>
      </c>
      <c r="L218" t="s">
        <v>28</v>
      </c>
    </row>
    <row r="219" spans="1:12" x14ac:dyDescent="0.35">
      <c r="A219">
        <v>708</v>
      </c>
      <c r="B219" s="15" t="s">
        <v>420</v>
      </c>
      <c r="C219" t="s">
        <v>49</v>
      </c>
      <c r="E219" t="s">
        <v>15</v>
      </c>
      <c r="F219" t="s">
        <v>33</v>
      </c>
      <c r="G219" t="s">
        <v>421</v>
      </c>
      <c r="H219" t="s">
        <v>422</v>
      </c>
      <c r="J219" t="s">
        <v>423</v>
      </c>
      <c r="L219" t="s">
        <v>28</v>
      </c>
    </row>
    <row r="220" spans="1:12" x14ac:dyDescent="0.35">
      <c r="A220">
        <v>708</v>
      </c>
      <c r="B220" s="16" t="s">
        <v>80</v>
      </c>
      <c r="C220" t="s">
        <v>22</v>
      </c>
      <c r="E220" t="s">
        <v>15</v>
      </c>
      <c r="F220" t="s">
        <v>22</v>
      </c>
      <c r="G220" t="s">
        <v>421</v>
      </c>
      <c r="H220" t="s">
        <v>422</v>
      </c>
      <c r="J220" t="s">
        <v>423</v>
      </c>
      <c r="L220" t="s">
        <v>28</v>
      </c>
    </row>
    <row r="221" spans="1:12" x14ac:dyDescent="0.35">
      <c r="A221">
        <v>708</v>
      </c>
      <c r="B221" s="17" t="s">
        <v>424</v>
      </c>
      <c r="C221" t="s">
        <v>22</v>
      </c>
      <c r="E221" t="s">
        <v>15</v>
      </c>
      <c r="F221" t="s">
        <v>22</v>
      </c>
      <c r="G221" t="s">
        <v>421</v>
      </c>
      <c r="H221" t="s">
        <v>422</v>
      </c>
      <c r="J221" t="s">
        <v>423</v>
      </c>
      <c r="L221" t="s">
        <v>28</v>
      </c>
    </row>
    <row r="222" spans="1:12" x14ac:dyDescent="0.35">
      <c r="A222">
        <v>708</v>
      </c>
      <c r="B222" t="s">
        <v>425</v>
      </c>
      <c r="C222" t="s">
        <v>22</v>
      </c>
      <c r="E222" t="s">
        <v>15</v>
      </c>
      <c r="F222" t="s">
        <v>22</v>
      </c>
      <c r="G222" t="s">
        <v>421</v>
      </c>
      <c r="H222" t="s">
        <v>422</v>
      </c>
      <c r="J222" t="s">
        <v>423</v>
      </c>
      <c r="L222" t="s">
        <v>28</v>
      </c>
    </row>
    <row r="223" spans="1:12" x14ac:dyDescent="0.35">
      <c r="A223">
        <v>708</v>
      </c>
      <c r="B223" s="5" t="s">
        <v>426</v>
      </c>
      <c r="C223" t="s">
        <v>49</v>
      </c>
      <c r="E223" t="s">
        <v>15</v>
      </c>
      <c r="F223" t="s">
        <v>24</v>
      </c>
      <c r="G223" t="s">
        <v>421</v>
      </c>
      <c r="H223" t="s">
        <v>422</v>
      </c>
      <c r="J223" t="s">
        <v>423</v>
      </c>
      <c r="L223" t="s">
        <v>28</v>
      </c>
    </row>
    <row r="224" spans="1:12" x14ac:dyDescent="0.35">
      <c r="A224">
        <v>708</v>
      </c>
      <c r="B224" s="5" t="s">
        <v>427</v>
      </c>
      <c r="C224" t="s">
        <v>49</v>
      </c>
      <c r="E224" t="s">
        <v>15</v>
      </c>
      <c r="F224" t="s">
        <v>24</v>
      </c>
      <c r="G224" t="s">
        <v>421</v>
      </c>
      <c r="H224" t="s">
        <v>422</v>
      </c>
      <c r="J224" t="s">
        <v>423</v>
      </c>
      <c r="L224" t="s">
        <v>28</v>
      </c>
    </row>
    <row r="225" spans="1:12" x14ac:dyDescent="0.35">
      <c r="A225">
        <v>708</v>
      </c>
      <c r="B225" s="5" t="s">
        <v>428</v>
      </c>
      <c r="C225" t="s">
        <v>49</v>
      </c>
      <c r="E225" t="s">
        <v>15</v>
      </c>
      <c r="F225" t="s">
        <v>24</v>
      </c>
      <c r="G225" t="s">
        <v>421</v>
      </c>
      <c r="H225" t="s">
        <v>422</v>
      </c>
      <c r="J225" t="s">
        <v>423</v>
      </c>
      <c r="L225" t="s">
        <v>28</v>
      </c>
    </row>
    <row r="226" spans="1:12" x14ac:dyDescent="0.35">
      <c r="A226">
        <v>708</v>
      </c>
      <c r="B226" s="5" t="s">
        <v>429</v>
      </c>
      <c r="C226" t="s">
        <v>49</v>
      </c>
      <c r="E226" t="s">
        <v>15</v>
      </c>
      <c r="F226" t="s">
        <v>24</v>
      </c>
      <c r="G226" t="s">
        <v>421</v>
      </c>
      <c r="H226" t="s">
        <v>422</v>
      </c>
      <c r="J226" t="s">
        <v>423</v>
      </c>
      <c r="L226" t="s">
        <v>28</v>
      </c>
    </row>
    <row r="227" spans="1:12" x14ac:dyDescent="0.35">
      <c r="A227">
        <v>708</v>
      </c>
      <c r="B227" s="16" t="s">
        <v>430</v>
      </c>
      <c r="C227" t="s">
        <v>22</v>
      </c>
      <c r="E227" t="s">
        <v>15</v>
      </c>
      <c r="F227" t="s">
        <v>22</v>
      </c>
      <c r="G227" t="s">
        <v>421</v>
      </c>
      <c r="H227" t="s">
        <v>422</v>
      </c>
      <c r="J227" t="s">
        <v>423</v>
      </c>
      <c r="L227" t="s">
        <v>28</v>
      </c>
    </row>
    <row r="228" spans="1:12" x14ac:dyDescent="0.35">
      <c r="A228">
        <v>708</v>
      </c>
      <c r="B228" s="16" t="s">
        <v>431</v>
      </c>
      <c r="C228" t="s">
        <v>22</v>
      </c>
      <c r="E228" t="s">
        <v>15</v>
      </c>
      <c r="F228" t="s">
        <v>22</v>
      </c>
      <c r="G228" t="s">
        <v>421</v>
      </c>
      <c r="H228" t="s">
        <v>422</v>
      </c>
      <c r="J228" t="s">
        <v>423</v>
      </c>
      <c r="L228" t="s">
        <v>28</v>
      </c>
    </row>
    <row r="229" spans="1:12" x14ac:dyDescent="0.35">
      <c r="A229">
        <v>708</v>
      </c>
      <c r="B229" s="16" t="s">
        <v>432</v>
      </c>
      <c r="C229" t="s">
        <v>22</v>
      </c>
      <c r="E229" t="s">
        <v>15</v>
      </c>
      <c r="F229" t="s">
        <v>22</v>
      </c>
      <c r="G229" t="s">
        <v>421</v>
      </c>
      <c r="H229" t="s">
        <v>422</v>
      </c>
      <c r="J229" t="s">
        <v>423</v>
      </c>
      <c r="L229" t="s">
        <v>28</v>
      </c>
    </row>
    <row r="230" spans="1:12" x14ac:dyDescent="0.35">
      <c r="A230">
        <v>708</v>
      </c>
      <c r="B230" s="16" t="s">
        <v>433</v>
      </c>
      <c r="C230" t="s">
        <v>22</v>
      </c>
      <c r="E230" t="s">
        <v>15</v>
      </c>
      <c r="F230" t="s">
        <v>22</v>
      </c>
      <c r="G230" t="s">
        <v>421</v>
      </c>
      <c r="H230" t="s">
        <v>422</v>
      </c>
      <c r="J230" t="s">
        <v>423</v>
      </c>
      <c r="L230" t="s">
        <v>28</v>
      </c>
    </row>
    <row r="231" spans="1:12" x14ac:dyDescent="0.35">
      <c r="A231">
        <v>708</v>
      </c>
      <c r="B231" s="15" t="s">
        <v>434</v>
      </c>
      <c r="C231" t="s">
        <v>49</v>
      </c>
      <c r="E231" t="s">
        <v>15</v>
      </c>
      <c r="F231" t="s">
        <v>33</v>
      </c>
      <c r="G231" t="s">
        <v>421</v>
      </c>
      <c r="H231" t="s">
        <v>422</v>
      </c>
      <c r="J231" t="s">
        <v>423</v>
      </c>
      <c r="L231" t="s">
        <v>28</v>
      </c>
    </row>
    <row r="232" spans="1:12" x14ac:dyDescent="0.35">
      <c r="A232">
        <v>724</v>
      </c>
      <c r="B232" s="2" t="s">
        <v>435</v>
      </c>
      <c r="C232" t="s">
        <v>13</v>
      </c>
      <c r="E232" t="s">
        <v>15</v>
      </c>
      <c r="F232" t="s">
        <v>13</v>
      </c>
      <c r="G232" t="s">
        <v>16</v>
      </c>
      <c r="H232" t="s">
        <v>245</v>
      </c>
      <c r="J232" t="s">
        <v>436</v>
      </c>
      <c r="K232" t="s">
        <v>437</v>
      </c>
      <c r="L232" t="s">
        <v>28</v>
      </c>
    </row>
    <row r="233" spans="1:12" x14ac:dyDescent="0.35">
      <c r="A233">
        <v>738</v>
      </c>
      <c r="B233" s="16" t="s">
        <v>438</v>
      </c>
      <c r="C233" t="s">
        <v>22</v>
      </c>
      <c r="E233" t="s">
        <v>15</v>
      </c>
      <c r="F233" t="s">
        <v>22</v>
      </c>
      <c r="G233" t="s">
        <v>120</v>
      </c>
      <c r="H233" t="s">
        <v>439</v>
      </c>
      <c r="J233" t="s">
        <v>357</v>
      </c>
      <c r="L233" t="s">
        <v>45</v>
      </c>
    </row>
    <row r="234" spans="1:12" x14ac:dyDescent="0.35">
      <c r="A234">
        <v>738</v>
      </c>
      <c r="B234" s="21" t="s">
        <v>440</v>
      </c>
      <c r="C234" t="s">
        <v>22</v>
      </c>
      <c r="E234" t="s">
        <v>15</v>
      </c>
      <c r="F234" t="s">
        <v>24</v>
      </c>
      <c r="G234" t="s">
        <v>120</v>
      </c>
      <c r="H234" t="s">
        <v>439</v>
      </c>
      <c r="J234" t="s">
        <v>441</v>
      </c>
      <c r="L234" t="s">
        <v>45</v>
      </c>
    </row>
    <row r="235" spans="1:12" x14ac:dyDescent="0.35">
      <c r="A235">
        <v>738</v>
      </c>
      <c r="B235" s="5" t="s">
        <v>385</v>
      </c>
      <c r="C235" t="s">
        <v>33</v>
      </c>
      <c r="E235" t="s">
        <v>15</v>
      </c>
      <c r="F235" t="s">
        <v>35</v>
      </c>
      <c r="G235" t="s">
        <v>120</v>
      </c>
      <c r="H235" t="s">
        <v>439</v>
      </c>
      <c r="J235" t="s">
        <v>442</v>
      </c>
      <c r="L235" t="s">
        <v>45</v>
      </c>
    </row>
    <row r="236" spans="1:12" x14ac:dyDescent="0.35">
      <c r="A236">
        <v>738</v>
      </c>
      <c r="B236" s="24" t="s">
        <v>443</v>
      </c>
      <c r="C236" t="s">
        <v>30</v>
      </c>
      <c r="E236" t="s">
        <v>15</v>
      </c>
      <c r="F236" t="s">
        <v>35</v>
      </c>
      <c r="G236" t="s">
        <v>120</v>
      </c>
      <c r="H236" t="s">
        <v>439</v>
      </c>
      <c r="J236" t="s">
        <v>442</v>
      </c>
      <c r="L236" t="s">
        <v>45</v>
      </c>
    </row>
    <row r="237" spans="1:12" x14ac:dyDescent="0.35">
      <c r="A237">
        <v>738</v>
      </c>
      <c r="B237" s="4" t="s">
        <v>444</v>
      </c>
      <c r="C237" t="s">
        <v>30</v>
      </c>
      <c r="E237" t="s">
        <v>15</v>
      </c>
      <c r="F237" t="s">
        <v>35</v>
      </c>
      <c r="G237" t="s">
        <v>120</v>
      </c>
      <c r="H237" t="s">
        <v>439</v>
      </c>
      <c r="J237" t="s">
        <v>445</v>
      </c>
      <c r="L237" t="s">
        <v>45</v>
      </c>
    </row>
    <row r="238" spans="1:12" x14ac:dyDescent="0.35">
      <c r="A238">
        <v>738</v>
      </c>
      <c r="B238" s="2" t="s">
        <v>446</v>
      </c>
      <c r="C238" t="s">
        <v>33</v>
      </c>
      <c r="E238" t="s">
        <v>15</v>
      </c>
      <c r="F238" t="s">
        <v>33</v>
      </c>
      <c r="G238" t="s">
        <v>120</v>
      </c>
      <c r="H238" t="s">
        <v>439</v>
      </c>
      <c r="J238" t="s">
        <v>441</v>
      </c>
      <c r="L238" t="s">
        <v>45</v>
      </c>
    </row>
    <row r="239" spans="1:12" x14ac:dyDescent="0.35">
      <c r="A239">
        <v>738</v>
      </c>
      <c r="B239" s="2" t="s">
        <v>447</v>
      </c>
      <c r="C239" t="s">
        <v>33</v>
      </c>
      <c r="E239" t="s">
        <v>15</v>
      </c>
      <c r="F239" t="s">
        <v>33</v>
      </c>
      <c r="G239" t="s">
        <v>120</v>
      </c>
      <c r="H239" t="s">
        <v>439</v>
      </c>
      <c r="J239" t="s">
        <v>442</v>
      </c>
      <c r="L239" t="s">
        <v>45</v>
      </c>
    </row>
    <row r="240" spans="1:12" x14ac:dyDescent="0.35">
      <c r="A240">
        <v>738</v>
      </c>
      <c r="B240" s="2" t="s">
        <v>448</v>
      </c>
      <c r="C240" t="s">
        <v>33</v>
      </c>
      <c r="D240" t="s">
        <v>34</v>
      </c>
      <c r="E240" t="s">
        <v>15</v>
      </c>
      <c r="F240" t="s">
        <v>33</v>
      </c>
      <c r="G240" t="s">
        <v>120</v>
      </c>
      <c r="H240" t="s">
        <v>439</v>
      </c>
      <c r="J240" t="s">
        <v>449</v>
      </c>
      <c r="L240" t="s">
        <v>45</v>
      </c>
    </row>
    <row r="241" spans="1:12" x14ac:dyDescent="0.35">
      <c r="A241">
        <v>743</v>
      </c>
      <c r="B241" s="24" t="s">
        <v>450</v>
      </c>
      <c r="C241" t="s">
        <v>30</v>
      </c>
      <c r="E241" t="s">
        <v>15</v>
      </c>
      <c r="F241" t="s">
        <v>57</v>
      </c>
      <c r="G241" t="s">
        <v>120</v>
      </c>
      <c r="H241" t="s">
        <v>451</v>
      </c>
      <c r="J241" t="s">
        <v>452</v>
      </c>
      <c r="L241" t="s">
        <v>28</v>
      </c>
    </row>
    <row r="242" spans="1:12" x14ac:dyDescent="0.35">
      <c r="A242">
        <v>743</v>
      </c>
      <c r="B242" s="2" t="s">
        <v>453</v>
      </c>
      <c r="C242" t="s">
        <v>33</v>
      </c>
      <c r="E242" t="s">
        <v>15</v>
      </c>
      <c r="F242" t="s">
        <v>35</v>
      </c>
      <c r="G242" t="s">
        <v>120</v>
      </c>
      <c r="H242" t="s">
        <v>451</v>
      </c>
      <c r="J242" t="s">
        <v>452</v>
      </c>
      <c r="L242" t="s">
        <v>28</v>
      </c>
    </row>
    <row r="243" spans="1:12" x14ac:dyDescent="0.35">
      <c r="A243">
        <v>743</v>
      </c>
      <c r="B243" t="s">
        <v>454</v>
      </c>
      <c r="C243" t="s">
        <v>33</v>
      </c>
      <c r="E243" t="s">
        <v>15</v>
      </c>
      <c r="F243" t="s">
        <v>22</v>
      </c>
      <c r="G243" t="s">
        <v>120</v>
      </c>
      <c r="H243" t="s">
        <v>451</v>
      </c>
      <c r="J243" t="s">
        <v>120</v>
      </c>
      <c r="L243" t="s">
        <v>28</v>
      </c>
    </row>
    <row r="244" spans="1:12" x14ac:dyDescent="0.35">
      <c r="A244">
        <v>743</v>
      </c>
      <c r="B244" s="3" t="s">
        <v>455</v>
      </c>
      <c r="C244" t="s">
        <v>33</v>
      </c>
      <c r="E244" t="s">
        <v>15</v>
      </c>
      <c r="F244" t="s">
        <v>33</v>
      </c>
      <c r="G244" t="s">
        <v>120</v>
      </c>
      <c r="H244" t="s">
        <v>451</v>
      </c>
      <c r="J244" t="s">
        <v>120</v>
      </c>
      <c r="L244" t="s">
        <v>28</v>
      </c>
    </row>
    <row r="245" spans="1:12" x14ac:dyDescent="0.35">
      <c r="A245">
        <v>753</v>
      </c>
      <c r="B245" s="16" t="s">
        <v>456</v>
      </c>
      <c r="C245" t="s">
        <v>22</v>
      </c>
      <c r="D245" t="s">
        <v>23</v>
      </c>
      <c r="E245" t="s">
        <v>15</v>
      </c>
      <c r="F245" t="s">
        <v>22</v>
      </c>
      <c r="G245" t="s">
        <v>120</v>
      </c>
      <c r="H245" t="s">
        <v>457</v>
      </c>
      <c r="I245" t="s">
        <v>163</v>
      </c>
      <c r="J245" t="s">
        <v>154</v>
      </c>
      <c r="L245" t="s">
        <v>174</v>
      </c>
    </row>
    <row r="246" spans="1:12" x14ac:dyDescent="0.35">
      <c r="A246">
        <v>753</v>
      </c>
      <c r="B246" s="17" t="s">
        <v>458</v>
      </c>
      <c r="C246" t="s">
        <v>22</v>
      </c>
      <c r="D246" t="s">
        <v>459</v>
      </c>
      <c r="E246" t="s">
        <v>15</v>
      </c>
      <c r="F246" t="s">
        <v>22</v>
      </c>
      <c r="G246" t="s">
        <v>120</v>
      </c>
      <c r="H246" t="s">
        <v>457</v>
      </c>
      <c r="I246" t="s">
        <v>163</v>
      </c>
      <c r="J246" t="s">
        <v>154</v>
      </c>
      <c r="L246" t="s">
        <v>174</v>
      </c>
    </row>
    <row r="247" spans="1:12" x14ac:dyDescent="0.35">
      <c r="A247">
        <v>753</v>
      </c>
      <c r="B247" t="s">
        <v>460</v>
      </c>
      <c r="C247" t="s">
        <v>22</v>
      </c>
      <c r="D247" t="s">
        <v>461</v>
      </c>
      <c r="E247" t="s">
        <v>15</v>
      </c>
      <c r="F247" t="s">
        <v>22</v>
      </c>
      <c r="G247" t="s">
        <v>120</v>
      </c>
      <c r="H247" t="s">
        <v>457</v>
      </c>
      <c r="I247" t="s">
        <v>163</v>
      </c>
      <c r="J247" t="s">
        <v>154</v>
      </c>
      <c r="L247" t="s">
        <v>174</v>
      </c>
    </row>
    <row r="248" spans="1:12" x14ac:dyDescent="0.35">
      <c r="A248">
        <v>753</v>
      </c>
      <c r="B248" s="19" t="s">
        <v>462</v>
      </c>
      <c r="C248" t="s">
        <v>22</v>
      </c>
      <c r="D248" t="s">
        <v>112</v>
      </c>
      <c r="E248" t="s">
        <v>15</v>
      </c>
      <c r="F248" t="s">
        <v>22</v>
      </c>
      <c r="G248" t="s">
        <v>120</v>
      </c>
      <c r="H248" t="s">
        <v>457</v>
      </c>
      <c r="I248" t="s">
        <v>163</v>
      </c>
      <c r="J248" t="s">
        <v>154</v>
      </c>
      <c r="L248" t="s">
        <v>174</v>
      </c>
    </row>
    <row r="249" spans="1:12" x14ac:dyDescent="0.35">
      <c r="A249">
        <v>753</v>
      </c>
      <c r="B249" s="17" t="s">
        <v>463</v>
      </c>
      <c r="C249" t="s">
        <v>22</v>
      </c>
      <c r="D249" t="s">
        <v>459</v>
      </c>
      <c r="E249" t="s">
        <v>15</v>
      </c>
      <c r="F249" t="s">
        <v>22</v>
      </c>
      <c r="G249" t="s">
        <v>120</v>
      </c>
      <c r="H249" t="s">
        <v>457</v>
      </c>
      <c r="I249" t="s">
        <v>163</v>
      </c>
      <c r="J249" t="s">
        <v>154</v>
      </c>
      <c r="L249" t="s">
        <v>174</v>
      </c>
    </row>
    <row r="250" spans="1:12" x14ac:dyDescent="0.35">
      <c r="A250">
        <v>753</v>
      </c>
      <c r="B250" s="15" t="s">
        <v>464</v>
      </c>
      <c r="C250" t="s">
        <v>30</v>
      </c>
      <c r="D250" t="s">
        <v>465</v>
      </c>
      <c r="E250" t="s">
        <v>15</v>
      </c>
      <c r="F250" t="s">
        <v>33</v>
      </c>
      <c r="G250" t="s">
        <v>120</v>
      </c>
      <c r="H250" t="s">
        <v>457</v>
      </c>
      <c r="I250" t="s">
        <v>163</v>
      </c>
      <c r="J250" t="s">
        <v>154</v>
      </c>
      <c r="L250" t="s">
        <v>174</v>
      </c>
    </row>
    <row r="251" spans="1:12" x14ac:dyDescent="0.35">
      <c r="A251">
        <v>753</v>
      </c>
      <c r="B251" s="20" t="s">
        <v>466</v>
      </c>
      <c r="C251" t="s">
        <v>22</v>
      </c>
      <c r="D251" t="s">
        <v>225</v>
      </c>
      <c r="E251" t="s">
        <v>15</v>
      </c>
      <c r="F251" t="s">
        <v>24</v>
      </c>
      <c r="G251" t="s">
        <v>120</v>
      </c>
      <c r="H251" t="s">
        <v>457</v>
      </c>
      <c r="I251" t="s">
        <v>163</v>
      </c>
      <c r="J251" t="s">
        <v>467</v>
      </c>
      <c r="L251" t="s">
        <v>174</v>
      </c>
    </row>
    <row r="252" spans="1:12" x14ac:dyDescent="0.35">
      <c r="A252">
        <v>778</v>
      </c>
      <c r="B252" s="5" t="s">
        <v>468</v>
      </c>
      <c r="C252" t="s">
        <v>33</v>
      </c>
      <c r="D252" t="s">
        <v>469</v>
      </c>
      <c r="E252" t="s">
        <v>15</v>
      </c>
      <c r="F252" t="s">
        <v>33</v>
      </c>
      <c r="G252" t="s">
        <v>120</v>
      </c>
      <c r="H252" t="s">
        <v>470</v>
      </c>
      <c r="I252" t="s">
        <v>471</v>
      </c>
      <c r="J252" t="s">
        <v>472</v>
      </c>
      <c r="K252" t="s">
        <v>473</v>
      </c>
      <c r="L252" t="s">
        <v>133</v>
      </c>
    </row>
    <row r="253" spans="1:12" x14ac:dyDescent="0.35">
      <c r="A253">
        <v>778</v>
      </c>
      <c r="B253" s="23" t="s">
        <v>474</v>
      </c>
      <c r="C253" t="s">
        <v>30</v>
      </c>
      <c r="D253" t="s">
        <v>475</v>
      </c>
      <c r="E253" t="s">
        <v>15</v>
      </c>
      <c r="F253" t="s">
        <v>35</v>
      </c>
      <c r="G253" t="s">
        <v>120</v>
      </c>
      <c r="H253" t="s">
        <v>470</v>
      </c>
      <c r="I253" t="s">
        <v>471</v>
      </c>
      <c r="J253" t="s">
        <v>472</v>
      </c>
      <c r="L253" t="s">
        <v>133</v>
      </c>
    </row>
    <row r="254" spans="1:12" x14ac:dyDescent="0.35">
      <c r="A254">
        <v>778</v>
      </c>
      <c r="B254" s="23" t="s">
        <v>476</v>
      </c>
      <c r="C254" t="s">
        <v>30</v>
      </c>
      <c r="D254" t="s">
        <v>477</v>
      </c>
      <c r="E254" t="s">
        <v>15</v>
      </c>
      <c r="F254" t="s">
        <v>35</v>
      </c>
      <c r="G254" t="s">
        <v>120</v>
      </c>
      <c r="H254" t="s">
        <v>470</v>
      </c>
      <c r="I254" t="s">
        <v>471</v>
      </c>
      <c r="J254" t="s">
        <v>472</v>
      </c>
      <c r="L254" t="s">
        <v>133</v>
      </c>
    </row>
    <row r="255" spans="1:12" x14ac:dyDescent="0.35">
      <c r="A255">
        <v>778</v>
      </c>
      <c r="B255" t="s">
        <v>478</v>
      </c>
      <c r="C255" t="s">
        <v>30</v>
      </c>
      <c r="D255" t="s">
        <v>479</v>
      </c>
      <c r="E255" t="s">
        <v>15</v>
      </c>
      <c r="F255" t="s">
        <v>35</v>
      </c>
      <c r="G255" t="s">
        <v>120</v>
      </c>
      <c r="H255" t="s">
        <v>470</v>
      </c>
      <c r="I255" t="s">
        <v>471</v>
      </c>
      <c r="J255" t="s">
        <v>472</v>
      </c>
      <c r="L255" t="s">
        <v>133</v>
      </c>
    </row>
    <row r="256" spans="1:12" x14ac:dyDescent="0.35">
      <c r="A256">
        <v>778</v>
      </c>
      <c r="B256" t="s">
        <v>480</v>
      </c>
      <c r="C256" t="s">
        <v>30</v>
      </c>
      <c r="D256" t="s">
        <v>481</v>
      </c>
      <c r="E256" t="s">
        <v>15</v>
      </c>
      <c r="F256" t="s">
        <v>33</v>
      </c>
      <c r="G256" t="s">
        <v>120</v>
      </c>
      <c r="H256" t="s">
        <v>470</v>
      </c>
      <c r="I256" t="s">
        <v>471</v>
      </c>
      <c r="J256" t="s">
        <v>472</v>
      </c>
      <c r="L256" t="s">
        <v>133</v>
      </c>
    </row>
    <row r="257" spans="1:12" x14ac:dyDescent="0.35">
      <c r="A257">
        <v>778</v>
      </c>
      <c r="B257" s="5" t="s">
        <v>482</v>
      </c>
      <c r="C257" t="s">
        <v>33</v>
      </c>
      <c r="D257" t="s">
        <v>483</v>
      </c>
      <c r="E257" t="s">
        <v>15</v>
      </c>
      <c r="F257" t="s">
        <v>33</v>
      </c>
      <c r="G257" t="s">
        <v>120</v>
      </c>
      <c r="H257" t="s">
        <v>470</v>
      </c>
      <c r="I257" t="s">
        <v>471</v>
      </c>
      <c r="J257" t="s">
        <v>472</v>
      </c>
      <c r="L257" t="s">
        <v>133</v>
      </c>
    </row>
    <row r="258" spans="1:12" x14ac:dyDescent="0.35">
      <c r="A258">
        <v>778</v>
      </c>
      <c r="B258" s="8" t="s">
        <v>484</v>
      </c>
      <c r="C258" t="s">
        <v>33</v>
      </c>
      <c r="D258" t="s">
        <v>481</v>
      </c>
      <c r="E258" t="s">
        <v>15</v>
      </c>
      <c r="F258" t="s">
        <v>33</v>
      </c>
      <c r="G258" t="s">
        <v>120</v>
      </c>
      <c r="H258" t="s">
        <v>470</v>
      </c>
      <c r="I258" t="s">
        <v>471</v>
      </c>
      <c r="J258" t="s">
        <v>472</v>
      </c>
      <c r="L258" t="s">
        <v>133</v>
      </c>
    </row>
    <row r="259" spans="1:12" x14ac:dyDescent="0.35">
      <c r="A259">
        <v>778</v>
      </c>
      <c r="B259" t="s">
        <v>485</v>
      </c>
      <c r="C259" t="s">
        <v>22</v>
      </c>
      <c r="D259" t="s">
        <v>38</v>
      </c>
      <c r="E259" t="s">
        <v>15</v>
      </c>
      <c r="F259" t="s">
        <v>33</v>
      </c>
      <c r="G259" t="s">
        <v>120</v>
      </c>
      <c r="H259" t="s">
        <v>470</v>
      </c>
      <c r="I259" t="s">
        <v>471</v>
      </c>
      <c r="J259" t="s">
        <v>472</v>
      </c>
      <c r="L259" t="s">
        <v>133</v>
      </c>
    </row>
    <row r="260" spans="1:12" x14ac:dyDescent="0.35">
      <c r="A260">
        <v>778</v>
      </c>
      <c r="B260" t="s">
        <v>486</v>
      </c>
      <c r="C260" t="s">
        <v>22</v>
      </c>
      <c r="D260" t="s">
        <v>205</v>
      </c>
      <c r="E260" t="s">
        <v>15</v>
      </c>
      <c r="F260" t="s">
        <v>33</v>
      </c>
      <c r="G260" t="s">
        <v>120</v>
      </c>
      <c r="H260" t="s">
        <v>470</v>
      </c>
      <c r="I260" t="s">
        <v>471</v>
      </c>
      <c r="J260" t="s">
        <v>472</v>
      </c>
      <c r="L260" t="s">
        <v>133</v>
      </c>
    </row>
    <row r="261" spans="1:12" x14ac:dyDescent="0.35">
      <c r="A261">
        <v>778</v>
      </c>
      <c r="B261" t="s">
        <v>487</v>
      </c>
      <c r="C261" t="s">
        <v>33</v>
      </c>
      <c r="D261" t="s">
        <v>34</v>
      </c>
      <c r="E261" t="s">
        <v>15</v>
      </c>
      <c r="F261" t="s">
        <v>35</v>
      </c>
      <c r="G261" t="s">
        <v>120</v>
      </c>
      <c r="H261" t="s">
        <v>470</v>
      </c>
      <c r="I261" t="s">
        <v>471</v>
      </c>
      <c r="J261" t="s">
        <v>472</v>
      </c>
      <c r="L261" t="s">
        <v>133</v>
      </c>
    </row>
    <row r="262" spans="1:12" x14ac:dyDescent="0.35">
      <c r="A262">
        <v>778</v>
      </c>
      <c r="B262" t="s">
        <v>488</v>
      </c>
      <c r="C262" t="s">
        <v>33</v>
      </c>
      <c r="D262" t="s">
        <v>489</v>
      </c>
      <c r="E262" t="s">
        <v>15</v>
      </c>
      <c r="F262" t="s">
        <v>33</v>
      </c>
      <c r="G262" t="s">
        <v>120</v>
      </c>
      <c r="H262" t="s">
        <v>470</v>
      </c>
      <c r="I262" t="s">
        <v>471</v>
      </c>
      <c r="J262" t="s">
        <v>490</v>
      </c>
      <c r="L262" t="s">
        <v>133</v>
      </c>
    </row>
    <row r="263" spans="1:12" x14ac:dyDescent="0.35">
      <c r="A263">
        <v>778</v>
      </c>
      <c r="B263" t="s">
        <v>491</v>
      </c>
      <c r="C263" t="s">
        <v>33</v>
      </c>
      <c r="D263" t="s">
        <v>492</v>
      </c>
      <c r="E263" t="s">
        <v>15</v>
      </c>
      <c r="F263" t="s">
        <v>33</v>
      </c>
      <c r="G263" t="s">
        <v>120</v>
      </c>
      <c r="H263" t="s">
        <v>470</v>
      </c>
      <c r="I263" t="s">
        <v>471</v>
      </c>
      <c r="J263" t="s">
        <v>490</v>
      </c>
      <c r="L263" t="s">
        <v>133</v>
      </c>
    </row>
    <row r="264" spans="1:12" x14ac:dyDescent="0.35">
      <c r="A264">
        <v>778</v>
      </c>
      <c r="B264" s="23" t="s">
        <v>493</v>
      </c>
      <c r="C264" t="s">
        <v>30</v>
      </c>
      <c r="E264" t="s">
        <v>15</v>
      </c>
      <c r="F264" t="s">
        <v>377</v>
      </c>
      <c r="G264" t="s">
        <v>120</v>
      </c>
      <c r="H264" t="s">
        <v>470</v>
      </c>
      <c r="I264" t="s">
        <v>471</v>
      </c>
      <c r="J264" t="s">
        <v>494</v>
      </c>
      <c r="K264" t="s">
        <v>495</v>
      </c>
      <c r="L264" t="s">
        <v>133</v>
      </c>
    </row>
    <row r="265" spans="1:12" x14ac:dyDescent="0.35">
      <c r="A265">
        <v>778</v>
      </c>
      <c r="B265" t="s">
        <v>496</v>
      </c>
      <c r="C265" t="s">
        <v>13</v>
      </c>
      <c r="D265" t="s">
        <v>497</v>
      </c>
      <c r="E265" t="s">
        <v>15</v>
      </c>
      <c r="F265" t="s">
        <v>377</v>
      </c>
      <c r="G265" t="s">
        <v>16</v>
      </c>
      <c r="H265" t="s">
        <v>498</v>
      </c>
      <c r="I265" t="s">
        <v>163</v>
      </c>
      <c r="J265" t="s">
        <v>499</v>
      </c>
      <c r="K265" t="s">
        <v>495</v>
      </c>
      <c r="L265" t="s">
        <v>133</v>
      </c>
    </row>
    <row r="266" spans="1:12" x14ac:dyDescent="0.35">
      <c r="A266">
        <v>778</v>
      </c>
      <c r="B266" t="s">
        <v>500</v>
      </c>
      <c r="C266" t="s">
        <v>30</v>
      </c>
      <c r="D266" t="s">
        <v>501</v>
      </c>
      <c r="E266" t="s">
        <v>15</v>
      </c>
      <c r="F266" t="s">
        <v>377</v>
      </c>
      <c r="G266" t="s">
        <v>16</v>
      </c>
      <c r="H266" t="s">
        <v>498</v>
      </c>
      <c r="I266" t="s">
        <v>163</v>
      </c>
      <c r="J266" t="s">
        <v>502</v>
      </c>
      <c r="K266" t="s">
        <v>495</v>
      </c>
      <c r="L266" t="s">
        <v>133</v>
      </c>
    </row>
    <row r="267" spans="1:12" x14ac:dyDescent="0.35">
      <c r="A267">
        <v>778</v>
      </c>
      <c r="B267" s="3" t="s">
        <v>320</v>
      </c>
      <c r="C267" t="s">
        <v>33</v>
      </c>
      <c r="D267" t="s">
        <v>34</v>
      </c>
      <c r="E267" t="s">
        <v>15</v>
      </c>
      <c r="F267" t="s">
        <v>33</v>
      </c>
      <c r="G267" t="s">
        <v>120</v>
      </c>
      <c r="H267" t="s">
        <v>470</v>
      </c>
      <c r="I267" t="s">
        <v>471</v>
      </c>
      <c r="J267" t="s">
        <v>499</v>
      </c>
      <c r="L267" t="s">
        <v>133</v>
      </c>
    </row>
    <row r="268" spans="1:12" x14ac:dyDescent="0.35">
      <c r="A268">
        <v>778</v>
      </c>
      <c r="B268" s="2" t="s">
        <v>12</v>
      </c>
      <c r="C268" t="s">
        <v>13</v>
      </c>
      <c r="D268" t="s">
        <v>112</v>
      </c>
      <c r="E268" t="s">
        <v>15</v>
      </c>
      <c r="F268" t="s">
        <v>13</v>
      </c>
      <c r="G268" t="s">
        <v>16</v>
      </c>
      <c r="H268" t="s">
        <v>498</v>
      </c>
      <c r="I268" t="s">
        <v>163</v>
      </c>
      <c r="J268" t="s">
        <v>225</v>
      </c>
      <c r="K268" t="s">
        <v>19</v>
      </c>
      <c r="L268" t="s">
        <v>133</v>
      </c>
    </row>
    <row r="269" spans="1:12" x14ac:dyDescent="0.35">
      <c r="A269">
        <v>788</v>
      </c>
      <c r="B269" s="3" t="s">
        <v>76</v>
      </c>
      <c r="C269" t="s">
        <v>33</v>
      </c>
      <c r="D269" t="s">
        <v>34</v>
      </c>
      <c r="E269" t="s">
        <v>15</v>
      </c>
      <c r="F269" t="s">
        <v>33</v>
      </c>
      <c r="G269" t="s">
        <v>120</v>
      </c>
      <c r="H269" t="s">
        <v>365</v>
      </c>
      <c r="I269" t="s">
        <v>386</v>
      </c>
      <c r="J269" t="s">
        <v>503</v>
      </c>
      <c r="L269" t="s">
        <v>28</v>
      </c>
    </row>
    <row r="270" spans="1:12" x14ac:dyDescent="0.35">
      <c r="A270">
        <v>788</v>
      </c>
      <c r="B270" s="3" t="s">
        <v>76</v>
      </c>
      <c r="C270" t="s">
        <v>33</v>
      </c>
      <c r="D270" t="s">
        <v>34</v>
      </c>
      <c r="E270" t="s">
        <v>15</v>
      </c>
      <c r="F270" t="s">
        <v>33</v>
      </c>
      <c r="G270" t="s">
        <v>16</v>
      </c>
      <c r="H270" t="s">
        <v>365</v>
      </c>
      <c r="J270" t="s">
        <v>504</v>
      </c>
      <c r="L270" t="s">
        <v>28</v>
      </c>
    </row>
    <row r="271" spans="1:12" x14ac:dyDescent="0.35">
      <c r="A271">
        <v>788</v>
      </c>
      <c r="B271" s="42" t="s">
        <v>505</v>
      </c>
      <c r="C271" t="s">
        <v>13</v>
      </c>
      <c r="D271" t="s">
        <v>506</v>
      </c>
      <c r="E271" t="s">
        <v>15</v>
      </c>
      <c r="F271" t="s">
        <v>33</v>
      </c>
      <c r="G271" t="s">
        <v>16</v>
      </c>
      <c r="H271" t="s">
        <v>365</v>
      </c>
      <c r="J271" t="s">
        <v>507</v>
      </c>
      <c r="L271" t="s">
        <v>28</v>
      </c>
    </row>
    <row r="272" spans="1:12" x14ac:dyDescent="0.35">
      <c r="A272">
        <v>803</v>
      </c>
      <c r="B272" s="20" t="s">
        <v>21</v>
      </c>
      <c r="C272" t="s">
        <v>22</v>
      </c>
      <c r="D272" t="s">
        <v>225</v>
      </c>
      <c r="E272" t="s">
        <v>15</v>
      </c>
      <c r="F272" t="s">
        <v>24</v>
      </c>
      <c r="G272" t="s">
        <v>508</v>
      </c>
      <c r="H272" t="s">
        <v>509</v>
      </c>
      <c r="I272" t="s">
        <v>163</v>
      </c>
      <c r="J272" t="s">
        <v>510</v>
      </c>
      <c r="L272" t="s">
        <v>20</v>
      </c>
    </row>
    <row r="273" spans="1:12" x14ac:dyDescent="0.35">
      <c r="A273">
        <v>803</v>
      </c>
      <c r="B273" s="15" t="s">
        <v>511</v>
      </c>
      <c r="C273" t="s">
        <v>49</v>
      </c>
      <c r="D273" t="s">
        <v>34</v>
      </c>
      <c r="E273" t="s">
        <v>15</v>
      </c>
      <c r="F273" t="s">
        <v>24</v>
      </c>
      <c r="G273" t="s">
        <v>508</v>
      </c>
      <c r="H273" t="s">
        <v>509</v>
      </c>
      <c r="I273" t="s">
        <v>163</v>
      </c>
      <c r="J273" t="s">
        <v>512</v>
      </c>
      <c r="L273" t="s">
        <v>20</v>
      </c>
    </row>
    <row r="274" spans="1:12" x14ac:dyDescent="0.35">
      <c r="A274">
        <v>803</v>
      </c>
      <c r="B274" s="42" t="s">
        <v>513</v>
      </c>
      <c r="C274" t="s">
        <v>13</v>
      </c>
      <c r="D274" t="s">
        <v>514</v>
      </c>
      <c r="E274" t="s">
        <v>15</v>
      </c>
      <c r="F274" t="s">
        <v>24</v>
      </c>
      <c r="G274" t="s">
        <v>508</v>
      </c>
      <c r="H274" t="s">
        <v>509</v>
      </c>
      <c r="I274" t="s">
        <v>163</v>
      </c>
      <c r="J274" t="s">
        <v>252</v>
      </c>
      <c r="L274" t="s">
        <v>20</v>
      </c>
    </row>
    <row r="275" spans="1:12" x14ac:dyDescent="0.35">
      <c r="A275">
        <v>803</v>
      </c>
      <c r="B275" s="23" t="s">
        <v>515</v>
      </c>
      <c r="C275" t="s">
        <v>30</v>
      </c>
      <c r="D275" t="s">
        <v>516</v>
      </c>
      <c r="E275" t="s">
        <v>15</v>
      </c>
      <c r="F275" t="s">
        <v>35</v>
      </c>
      <c r="G275" t="s">
        <v>508</v>
      </c>
      <c r="H275" t="s">
        <v>509</v>
      </c>
      <c r="I275" t="s">
        <v>163</v>
      </c>
      <c r="J275" t="s">
        <v>517</v>
      </c>
      <c r="L275" t="s">
        <v>20</v>
      </c>
    </row>
    <row r="276" spans="1:12" x14ac:dyDescent="0.35">
      <c r="A276">
        <v>803</v>
      </c>
      <c r="B276" s="16" t="s">
        <v>91</v>
      </c>
      <c r="C276" t="s">
        <v>22</v>
      </c>
      <c r="D276" t="s">
        <v>23</v>
      </c>
      <c r="E276" t="s">
        <v>15</v>
      </c>
      <c r="F276" t="s">
        <v>24</v>
      </c>
      <c r="G276" t="s">
        <v>508</v>
      </c>
      <c r="H276" t="s">
        <v>509</v>
      </c>
      <c r="I276" t="s">
        <v>163</v>
      </c>
      <c r="J276" t="s">
        <v>401</v>
      </c>
      <c r="L276" t="s">
        <v>20</v>
      </c>
    </row>
    <row r="277" spans="1:12" x14ac:dyDescent="0.35">
      <c r="A277">
        <v>811</v>
      </c>
      <c r="B277" s="23" t="s">
        <v>518</v>
      </c>
      <c r="C277" t="s">
        <v>30</v>
      </c>
      <c r="D277" t="s">
        <v>157</v>
      </c>
      <c r="E277" t="s">
        <v>15</v>
      </c>
      <c r="F277" t="s">
        <v>35</v>
      </c>
      <c r="G277" t="s">
        <v>508</v>
      </c>
      <c r="H277" t="s">
        <v>519</v>
      </c>
      <c r="I277" t="s">
        <v>386</v>
      </c>
      <c r="J277" t="s">
        <v>520</v>
      </c>
      <c r="L277" t="s">
        <v>28</v>
      </c>
    </row>
    <row r="278" spans="1:12" x14ac:dyDescent="0.35">
      <c r="A278">
        <v>811</v>
      </c>
      <c r="B278" s="23" t="s">
        <v>521</v>
      </c>
      <c r="C278" t="s">
        <v>30</v>
      </c>
      <c r="D278" t="s">
        <v>157</v>
      </c>
      <c r="E278" t="s">
        <v>15</v>
      </c>
      <c r="F278" t="s">
        <v>35</v>
      </c>
      <c r="G278" t="s">
        <v>508</v>
      </c>
      <c r="H278" t="s">
        <v>519</v>
      </c>
      <c r="I278" t="s">
        <v>386</v>
      </c>
      <c r="J278" t="s">
        <v>520</v>
      </c>
      <c r="L278" t="s">
        <v>28</v>
      </c>
    </row>
    <row r="279" spans="1:12" x14ac:dyDescent="0.35">
      <c r="A279">
        <v>811</v>
      </c>
      <c r="B279" s="12" t="s">
        <v>522</v>
      </c>
      <c r="C279" t="s">
        <v>33</v>
      </c>
      <c r="D279" t="s">
        <v>157</v>
      </c>
      <c r="E279" t="s">
        <v>15</v>
      </c>
      <c r="F279" t="s">
        <v>35</v>
      </c>
      <c r="G279" t="s">
        <v>508</v>
      </c>
      <c r="H279" t="s">
        <v>519</v>
      </c>
      <c r="I279" t="s">
        <v>386</v>
      </c>
      <c r="J279" t="s">
        <v>520</v>
      </c>
      <c r="L279" t="s">
        <v>28</v>
      </c>
    </row>
    <row r="280" spans="1:12" x14ac:dyDescent="0.35">
      <c r="A280">
        <v>811</v>
      </c>
      <c r="B280" s="23" t="s">
        <v>523</v>
      </c>
      <c r="C280" t="s">
        <v>30</v>
      </c>
      <c r="D280" t="s">
        <v>524</v>
      </c>
      <c r="E280" t="s">
        <v>15</v>
      </c>
      <c r="F280" t="s">
        <v>35</v>
      </c>
      <c r="G280" t="s">
        <v>508</v>
      </c>
      <c r="H280" t="s">
        <v>525</v>
      </c>
      <c r="I280" t="s">
        <v>163</v>
      </c>
      <c r="J280" t="s">
        <v>520</v>
      </c>
      <c r="L280" t="s">
        <v>28</v>
      </c>
    </row>
    <row r="281" spans="1:12" x14ac:dyDescent="0.35">
      <c r="A281">
        <v>811</v>
      </c>
      <c r="B281" s="12" t="s">
        <v>526</v>
      </c>
      <c r="C281" t="s">
        <v>33</v>
      </c>
      <c r="D281" t="s">
        <v>157</v>
      </c>
      <c r="E281" t="s">
        <v>15</v>
      </c>
      <c r="F281" t="s">
        <v>35</v>
      </c>
      <c r="G281" t="s">
        <v>508</v>
      </c>
      <c r="H281" t="s">
        <v>519</v>
      </c>
      <c r="I281" t="s">
        <v>386</v>
      </c>
      <c r="J281" t="s">
        <v>520</v>
      </c>
      <c r="L281" t="s">
        <v>28</v>
      </c>
    </row>
    <row r="282" spans="1:12" x14ac:dyDescent="0.35">
      <c r="A282">
        <v>811</v>
      </c>
      <c r="B282" s="6" t="s">
        <v>527</v>
      </c>
      <c r="C282" t="s">
        <v>33</v>
      </c>
      <c r="D282" t="s">
        <v>196</v>
      </c>
      <c r="E282" t="s">
        <v>15</v>
      </c>
      <c r="F282" t="s">
        <v>35</v>
      </c>
      <c r="G282" t="s">
        <v>508</v>
      </c>
      <c r="H282" t="s">
        <v>519</v>
      </c>
      <c r="I282" t="s">
        <v>386</v>
      </c>
      <c r="J282" t="s">
        <v>520</v>
      </c>
      <c r="L282" t="s">
        <v>28</v>
      </c>
    </row>
    <row r="283" spans="1:12" x14ac:dyDescent="0.35">
      <c r="A283">
        <v>811</v>
      </c>
      <c r="B283" s="6" t="s">
        <v>528</v>
      </c>
      <c r="C283" t="s">
        <v>33</v>
      </c>
      <c r="D283" t="s">
        <v>196</v>
      </c>
      <c r="E283" t="s">
        <v>15</v>
      </c>
      <c r="F283" t="s">
        <v>35</v>
      </c>
      <c r="G283" t="s">
        <v>508</v>
      </c>
      <c r="H283" t="s">
        <v>519</v>
      </c>
      <c r="I283" t="s">
        <v>386</v>
      </c>
      <c r="J283" t="s">
        <v>520</v>
      </c>
      <c r="L283" t="s">
        <v>28</v>
      </c>
    </row>
    <row r="284" spans="1:12" x14ac:dyDescent="0.35">
      <c r="A284">
        <v>811</v>
      </c>
      <c r="B284" s="6" t="s">
        <v>529</v>
      </c>
      <c r="C284" t="s">
        <v>33</v>
      </c>
      <c r="D284" t="s">
        <v>196</v>
      </c>
      <c r="E284" t="s">
        <v>15</v>
      </c>
      <c r="F284" t="s">
        <v>35</v>
      </c>
      <c r="G284" t="s">
        <v>508</v>
      </c>
      <c r="H284" t="s">
        <v>519</v>
      </c>
      <c r="I284" t="s">
        <v>386</v>
      </c>
      <c r="J284" t="s">
        <v>520</v>
      </c>
      <c r="L284" t="s">
        <v>28</v>
      </c>
    </row>
    <row r="285" spans="1:12" x14ac:dyDescent="0.35">
      <c r="A285">
        <v>824</v>
      </c>
      <c r="B285" s="23" t="s">
        <v>530</v>
      </c>
      <c r="C285" t="s">
        <v>30</v>
      </c>
      <c r="D285" t="s">
        <v>34</v>
      </c>
      <c r="E285" t="s">
        <v>15</v>
      </c>
      <c r="F285" t="s">
        <v>35</v>
      </c>
      <c r="G285" t="s">
        <v>120</v>
      </c>
      <c r="H285" t="s">
        <v>531</v>
      </c>
      <c r="I285" t="s">
        <v>163</v>
      </c>
      <c r="J285" t="s">
        <v>532</v>
      </c>
      <c r="L285" t="s">
        <v>28</v>
      </c>
    </row>
    <row r="286" spans="1:12" x14ac:dyDescent="0.35">
      <c r="A286">
        <v>824</v>
      </c>
      <c r="B286" s="4" t="s">
        <v>332</v>
      </c>
      <c r="C286" t="s">
        <v>30</v>
      </c>
      <c r="D286" t="s">
        <v>524</v>
      </c>
      <c r="E286" t="s">
        <v>15</v>
      </c>
      <c r="F286" t="s">
        <v>35</v>
      </c>
      <c r="G286" t="s">
        <v>120</v>
      </c>
      <c r="H286" t="s">
        <v>531</v>
      </c>
      <c r="I286" t="s">
        <v>163</v>
      </c>
      <c r="J286" t="s">
        <v>532</v>
      </c>
      <c r="L286" t="s">
        <v>28</v>
      </c>
    </row>
    <row r="287" spans="1:12" x14ac:dyDescent="0.35">
      <c r="A287">
        <v>824</v>
      </c>
      <c r="B287" s="23" t="s">
        <v>335</v>
      </c>
      <c r="C287" t="s">
        <v>30</v>
      </c>
      <c r="D287" t="s">
        <v>38</v>
      </c>
      <c r="E287" t="s">
        <v>15</v>
      </c>
      <c r="F287" t="s">
        <v>35</v>
      </c>
      <c r="G287" t="s">
        <v>120</v>
      </c>
      <c r="H287" t="s">
        <v>533</v>
      </c>
      <c r="I287" t="s">
        <v>266</v>
      </c>
      <c r="J287" t="s">
        <v>534</v>
      </c>
      <c r="L287" t="s">
        <v>28</v>
      </c>
    </row>
    <row r="288" spans="1:12" x14ac:dyDescent="0.35">
      <c r="A288">
        <v>824</v>
      </c>
      <c r="B288" s="23" t="s">
        <v>535</v>
      </c>
      <c r="C288" t="s">
        <v>30</v>
      </c>
      <c r="D288" t="s">
        <v>38</v>
      </c>
      <c r="E288" t="s">
        <v>15</v>
      </c>
      <c r="F288" t="s">
        <v>35</v>
      </c>
      <c r="G288" t="s">
        <v>120</v>
      </c>
      <c r="H288" t="s">
        <v>533</v>
      </c>
      <c r="I288" t="s">
        <v>266</v>
      </c>
      <c r="J288" t="s">
        <v>534</v>
      </c>
      <c r="L288" t="s">
        <v>28</v>
      </c>
    </row>
    <row r="289" spans="1:12" x14ac:dyDescent="0.35">
      <c r="A289">
        <v>833</v>
      </c>
      <c r="B289" t="s">
        <v>536</v>
      </c>
      <c r="C289" t="s">
        <v>13</v>
      </c>
      <c r="D289" t="s">
        <v>537</v>
      </c>
      <c r="E289" t="s">
        <v>15</v>
      </c>
      <c r="F289" t="s">
        <v>35</v>
      </c>
      <c r="G289" t="s">
        <v>16</v>
      </c>
      <c r="H289" t="s">
        <v>538</v>
      </c>
      <c r="I289" t="s">
        <v>386</v>
      </c>
      <c r="J289" t="s">
        <v>103</v>
      </c>
      <c r="L289" t="s">
        <v>133</v>
      </c>
    </row>
    <row r="290" spans="1:12" x14ac:dyDescent="0.35">
      <c r="A290">
        <v>833</v>
      </c>
      <c r="B290" t="s">
        <v>539</v>
      </c>
      <c r="C290" t="s">
        <v>13</v>
      </c>
      <c r="D290" t="s">
        <v>540</v>
      </c>
      <c r="E290" t="s">
        <v>15</v>
      </c>
      <c r="F290" t="s">
        <v>35</v>
      </c>
      <c r="G290" t="s">
        <v>16</v>
      </c>
      <c r="H290" t="s">
        <v>538</v>
      </c>
      <c r="I290" t="s">
        <v>386</v>
      </c>
      <c r="J290" t="s">
        <v>103</v>
      </c>
      <c r="L290" t="s">
        <v>133</v>
      </c>
    </row>
    <row r="291" spans="1:12" x14ac:dyDescent="0.35">
      <c r="A291">
        <v>833</v>
      </c>
      <c r="B291" t="s">
        <v>541</v>
      </c>
      <c r="C291" t="s">
        <v>13</v>
      </c>
      <c r="D291" t="s">
        <v>542</v>
      </c>
      <c r="E291" t="s">
        <v>15</v>
      </c>
      <c r="F291" t="s">
        <v>35</v>
      </c>
      <c r="G291" t="s">
        <v>16</v>
      </c>
      <c r="H291" t="s">
        <v>538</v>
      </c>
      <c r="I291" t="s">
        <v>386</v>
      </c>
      <c r="J291" t="s">
        <v>543</v>
      </c>
      <c r="L291" t="s">
        <v>133</v>
      </c>
    </row>
    <row r="292" spans="1:12" x14ac:dyDescent="0.35">
      <c r="A292">
        <v>841</v>
      </c>
      <c r="B292" s="25" t="s">
        <v>544</v>
      </c>
      <c r="C292" t="s">
        <v>30</v>
      </c>
      <c r="D292" t="s">
        <v>545</v>
      </c>
      <c r="E292" t="s">
        <v>15</v>
      </c>
      <c r="F292" t="s">
        <v>377</v>
      </c>
      <c r="G292" t="s">
        <v>120</v>
      </c>
      <c r="H292" t="s">
        <v>546</v>
      </c>
      <c r="I292" t="s">
        <v>348</v>
      </c>
      <c r="J292" t="s">
        <v>547</v>
      </c>
      <c r="L292" t="s">
        <v>28</v>
      </c>
    </row>
    <row r="293" spans="1:12" x14ac:dyDescent="0.35">
      <c r="A293">
        <v>841</v>
      </c>
      <c r="B293" s="12" t="s">
        <v>548</v>
      </c>
      <c r="C293" t="s">
        <v>30</v>
      </c>
      <c r="D293" t="s">
        <v>549</v>
      </c>
      <c r="E293" t="s">
        <v>15</v>
      </c>
      <c r="F293" t="s">
        <v>377</v>
      </c>
      <c r="G293" t="s">
        <v>120</v>
      </c>
      <c r="H293" t="s">
        <v>546</v>
      </c>
      <c r="I293" t="s">
        <v>348</v>
      </c>
      <c r="J293" t="s">
        <v>547</v>
      </c>
      <c r="L293" t="s">
        <v>28</v>
      </c>
    </row>
    <row r="294" spans="1:12" x14ac:dyDescent="0.35">
      <c r="A294">
        <v>841</v>
      </c>
      <c r="B294" s="15" t="s">
        <v>550</v>
      </c>
      <c r="C294" t="s">
        <v>30</v>
      </c>
      <c r="D294" t="s">
        <v>551</v>
      </c>
      <c r="E294" t="s">
        <v>15</v>
      </c>
      <c r="F294" t="s">
        <v>377</v>
      </c>
      <c r="G294" t="s">
        <v>120</v>
      </c>
      <c r="H294" t="s">
        <v>546</v>
      </c>
      <c r="I294" t="s">
        <v>348</v>
      </c>
      <c r="J294" t="s">
        <v>547</v>
      </c>
      <c r="L294" t="s">
        <v>28</v>
      </c>
    </row>
    <row r="295" spans="1:12" x14ac:dyDescent="0.35">
      <c r="A295">
        <v>841</v>
      </c>
      <c r="B295" s="23" t="s">
        <v>552</v>
      </c>
      <c r="C295" t="s">
        <v>30</v>
      </c>
      <c r="D295" t="s">
        <v>553</v>
      </c>
      <c r="E295" t="s">
        <v>15</v>
      </c>
      <c r="F295" t="s">
        <v>33</v>
      </c>
      <c r="G295" t="s">
        <v>120</v>
      </c>
      <c r="H295" t="s">
        <v>546</v>
      </c>
      <c r="I295" t="s">
        <v>348</v>
      </c>
      <c r="J295" t="s">
        <v>547</v>
      </c>
      <c r="L295" t="s">
        <v>28</v>
      </c>
    </row>
    <row r="296" spans="1:12" x14ac:dyDescent="0.35">
      <c r="A296">
        <v>841</v>
      </c>
      <c r="B296" s="15" t="s">
        <v>554</v>
      </c>
      <c r="C296" t="s">
        <v>30</v>
      </c>
      <c r="D296" t="s">
        <v>555</v>
      </c>
      <c r="E296" t="s">
        <v>15</v>
      </c>
      <c r="F296" t="s">
        <v>377</v>
      </c>
      <c r="G296" t="s">
        <v>120</v>
      </c>
      <c r="H296" t="s">
        <v>546</v>
      </c>
      <c r="I296" t="s">
        <v>348</v>
      </c>
      <c r="J296" t="s">
        <v>547</v>
      </c>
      <c r="L296" t="s">
        <v>28</v>
      </c>
    </row>
    <row r="297" spans="1:12" x14ac:dyDescent="0.35">
      <c r="A297">
        <v>849</v>
      </c>
      <c r="B297" s="16" t="s">
        <v>91</v>
      </c>
      <c r="C297" t="s">
        <v>22</v>
      </c>
      <c r="D297" t="s">
        <v>23</v>
      </c>
      <c r="E297" t="s">
        <v>15</v>
      </c>
      <c r="F297" t="s">
        <v>24</v>
      </c>
      <c r="G297" t="s">
        <v>120</v>
      </c>
      <c r="H297" t="s">
        <v>556</v>
      </c>
      <c r="I297" t="s">
        <v>348</v>
      </c>
      <c r="J297" t="s">
        <v>557</v>
      </c>
      <c r="K297" t="s">
        <v>558</v>
      </c>
      <c r="L297" t="s">
        <v>133</v>
      </c>
    </row>
    <row r="298" spans="1:12" x14ac:dyDescent="0.35">
      <c r="A298">
        <v>849</v>
      </c>
      <c r="B298" s="2" t="s">
        <v>144</v>
      </c>
      <c r="C298" t="s">
        <v>33</v>
      </c>
      <c r="D298" t="s">
        <v>205</v>
      </c>
      <c r="E298" t="s">
        <v>15</v>
      </c>
      <c r="F298" t="s">
        <v>33</v>
      </c>
      <c r="G298" t="s">
        <v>120</v>
      </c>
      <c r="H298" t="s">
        <v>556</v>
      </c>
      <c r="I298" t="s">
        <v>348</v>
      </c>
      <c r="J298" t="s">
        <v>559</v>
      </c>
      <c r="L298" t="s">
        <v>133</v>
      </c>
    </row>
    <row r="299" spans="1:12" x14ac:dyDescent="0.35">
      <c r="A299">
        <v>849</v>
      </c>
      <c r="B299" s="3" t="s">
        <v>560</v>
      </c>
      <c r="C299" t="s">
        <v>33</v>
      </c>
      <c r="D299" t="s">
        <v>34</v>
      </c>
      <c r="E299" t="s">
        <v>15</v>
      </c>
      <c r="F299" t="s">
        <v>33</v>
      </c>
      <c r="G299" t="s">
        <v>120</v>
      </c>
      <c r="H299" t="s">
        <v>556</v>
      </c>
      <c r="I299" t="s">
        <v>348</v>
      </c>
      <c r="J299" t="s">
        <v>559</v>
      </c>
      <c r="K299" t="s">
        <v>561</v>
      </c>
      <c r="L299" t="s">
        <v>133</v>
      </c>
    </row>
    <row r="300" spans="1:12" x14ac:dyDescent="0.35">
      <c r="A300">
        <v>849</v>
      </c>
      <c r="B300" s="2" t="s">
        <v>562</v>
      </c>
      <c r="C300" t="s">
        <v>33</v>
      </c>
      <c r="D300" t="s">
        <v>205</v>
      </c>
      <c r="E300" t="s">
        <v>15</v>
      </c>
      <c r="F300" t="s">
        <v>33</v>
      </c>
      <c r="G300" t="s">
        <v>120</v>
      </c>
      <c r="H300" t="s">
        <v>556</v>
      </c>
      <c r="I300" t="s">
        <v>348</v>
      </c>
      <c r="J300" t="s">
        <v>559</v>
      </c>
      <c r="L300" t="s">
        <v>133</v>
      </c>
    </row>
    <row r="301" spans="1:12" x14ac:dyDescent="0.35">
      <c r="A301">
        <v>866</v>
      </c>
      <c r="B301" t="s">
        <v>563</v>
      </c>
      <c r="C301" t="s">
        <v>30</v>
      </c>
      <c r="D301" t="s">
        <v>34</v>
      </c>
      <c r="E301" t="s">
        <v>15</v>
      </c>
      <c r="F301" t="s">
        <v>35</v>
      </c>
      <c r="G301" t="s">
        <v>120</v>
      </c>
      <c r="H301" t="s">
        <v>564</v>
      </c>
      <c r="I301" t="s">
        <v>163</v>
      </c>
      <c r="J301" t="s">
        <v>565</v>
      </c>
      <c r="L301" t="s">
        <v>133</v>
      </c>
    </row>
    <row r="302" spans="1:12" x14ac:dyDescent="0.35">
      <c r="A302">
        <v>866</v>
      </c>
      <c r="B302" s="3" t="s">
        <v>566</v>
      </c>
      <c r="C302" t="s">
        <v>33</v>
      </c>
      <c r="D302" t="s">
        <v>34</v>
      </c>
      <c r="E302" t="s">
        <v>15</v>
      </c>
      <c r="F302" t="s">
        <v>35</v>
      </c>
      <c r="G302" t="s">
        <v>120</v>
      </c>
      <c r="H302" t="s">
        <v>564</v>
      </c>
      <c r="I302" t="s">
        <v>163</v>
      </c>
      <c r="J302" t="s">
        <v>565</v>
      </c>
      <c r="L302" t="s">
        <v>133</v>
      </c>
    </row>
    <row r="303" spans="1:12" x14ac:dyDescent="0.35">
      <c r="A303">
        <v>866</v>
      </c>
      <c r="B303" t="s">
        <v>567</v>
      </c>
      <c r="C303" t="s">
        <v>30</v>
      </c>
      <c r="D303" t="s">
        <v>38</v>
      </c>
      <c r="E303" t="s">
        <v>15</v>
      </c>
      <c r="F303" t="s">
        <v>35</v>
      </c>
      <c r="G303" t="s">
        <v>120</v>
      </c>
      <c r="H303" t="s">
        <v>564</v>
      </c>
      <c r="I303" t="s">
        <v>163</v>
      </c>
      <c r="J303" t="s">
        <v>565</v>
      </c>
      <c r="L303" t="s">
        <v>133</v>
      </c>
    </row>
    <row r="304" spans="1:12" x14ac:dyDescent="0.35">
      <c r="A304">
        <v>866</v>
      </c>
      <c r="B304" s="2" t="s">
        <v>568</v>
      </c>
      <c r="C304" t="s">
        <v>33</v>
      </c>
      <c r="D304" t="s">
        <v>38</v>
      </c>
      <c r="E304" t="s">
        <v>15</v>
      </c>
      <c r="F304" t="s">
        <v>35</v>
      </c>
      <c r="G304" t="s">
        <v>120</v>
      </c>
      <c r="H304" t="s">
        <v>564</v>
      </c>
      <c r="I304" t="s">
        <v>163</v>
      </c>
      <c r="J304" t="s">
        <v>565</v>
      </c>
      <c r="L304" t="s">
        <v>133</v>
      </c>
    </row>
    <row r="305" spans="1:12" x14ac:dyDescent="0.35">
      <c r="A305">
        <v>866</v>
      </c>
      <c r="B305" t="s">
        <v>569</v>
      </c>
      <c r="C305" t="s">
        <v>30</v>
      </c>
      <c r="D305" t="s">
        <v>34</v>
      </c>
      <c r="E305" t="s">
        <v>15</v>
      </c>
      <c r="F305" t="s">
        <v>57</v>
      </c>
      <c r="G305" t="s">
        <v>120</v>
      </c>
      <c r="H305" t="s">
        <v>564</v>
      </c>
      <c r="I305" t="s">
        <v>163</v>
      </c>
      <c r="J305" t="s">
        <v>565</v>
      </c>
      <c r="L305" t="s">
        <v>133</v>
      </c>
    </row>
    <row r="306" spans="1:12" x14ac:dyDescent="0.35">
      <c r="A306">
        <v>866</v>
      </c>
      <c r="B306" t="s">
        <v>570</v>
      </c>
      <c r="C306" t="s">
        <v>30</v>
      </c>
      <c r="D306" t="s">
        <v>34</v>
      </c>
      <c r="E306" t="s">
        <v>15</v>
      </c>
      <c r="F306" t="s">
        <v>57</v>
      </c>
      <c r="G306" t="s">
        <v>120</v>
      </c>
      <c r="H306" t="s">
        <v>564</v>
      </c>
      <c r="I306" t="s">
        <v>163</v>
      </c>
      <c r="J306" t="s">
        <v>565</v>
      </c>
      <c r="L306" t="s">
        <v>133</v>
      </c>
    </row>
    <row r="307" spans="1:12" x14ac:dyDescent="0.35">
      <c r="A307">
        <v>866</v>
      </c>
      <c r="B307" t="s">
        <v>571</v>
      </c>
      <c r="C307" t="s">
        <v>30</v>
      </c>
      <c r="D307" t="s">
        <v>34</v>
      </c>
      <c r="E307" t="s">
        <v>15</v>
      </c>
      <c r="F307" t="s">
        <v>57</v>
      </c>
      <c r="G307" t="s">
        <v>120</v>
      </c>
      <c r="H307" t="s">
        <v>564</v>
      </c>
      <c r="I307" t="s">
        <v>163</v>
      </c>
      <c r="J307" t="s">
        <v>565</v>
      </c>
      <c r="L307" t="s">
        <v>133</v>
      </c>
    </row>
    <row r="308" spans="1:12" x14ac:dyDescent="0.35">
      <c r="A308">
        <v>866</v>
      </c>
      <c r="B308" t="s">
        <v>572</v>
      </c>
      <c r="C308" t="s">
        <v>30</v>
      </c>
      <c r="D308" t="s">
        <v>34</v>
      </c>
      <c r="E308" t="s">
        <v>15</v>
      </c>
      <c r="F308" t="s">
        <v>57</v>
      </c>
      <c r="G308" t="s">
        <v>120</v>
      </c>
      <c r="H308" t="s">
        <v>564</v>
      </c>
      <c r="I308" t="s">
        <v>163</v>
      </c>
      <c r="J308" t="s">
        <v>565</v>
      </c>
      <c r="L308" t="s">
        <v>133</v>
      </c>
    </row>
    <row r="309" spans="1:12" x14ac:dyDescent="0.35">
      <c r="A309">
        <v>868</v>
      </c>
      <c r="B309" s="24" t="s">
        <v>573</v>
      </c>
      <c r="C309" t="s">
        <v>13</v>
      </c>
      <c r="D309" t="s">
        <v>574</v>
      </c>
      <c r="E309" t="s">
        <v>15</v>
      </c>
      <c r="F309" t="s">
        <v>13</v>
      </c>
      <c r="G309" t="s">
        <v>16</v>
      </c>
      <c r="H309" t="s">
        <v>575</v>
      </c>
      <c r="I309" t="s">
        <v>348</v>
      </c>
      <c r="J309" t="s">
        <v>27</v>
      </c>
      <c r="K309" t="s">
        <v>19</v>
      </c>
      <c r="L309" t="s">
        <v>28</v>
      </c>
    </row>
    <row r="310" spans="1:12" x14ac:dyDescent="0.35">
      <c r="A310">
        <v>868</v>
      </c>
      <c r="B310" s="2" t="s">
        <v>12</v>
      </c>
      <c r="C310" t="s">
        <v>13</v>
      </c>
      <c r="D310" t="s">
        <v>14</v>
      </c>
      <c r="E310" t="s">
        <v>15</v>
      </c>
      <c r="F310" t="s">
        <v>13</v>
      </c>
      <c r="G310" t="s">
        <v>16</v>
      </c>
      <c r="H310" t="s">
        <v>576</v>
      </c>
      <c r="I310" t="s">
        <v>386</v>
      </c>
      <c r="J310" t="s">
        <v>577</v>
      </c>
      <c r="K310" t="s">
        <v>19</v>
      </c>
      <c r="L310" t="s">
        <v>28</v>
      </c>
    </row>
    <row r="311" spans="1:12" x14ac:dyDescent="0.35">
      <c r="A311">
        <v>875</v>
      </c>
      <c r="B311" s="24" t="s">
        <v>573</v>
      </c>
      <c r="C311" t="s">
        <v>13</v>
      </c>
      <c r="D311" t="s">
        <v>578</v>
      </c>
      <c r="E311" t="s">
        <v>15</v>
      </c>
      <c r="F311" t="s">
        <v>377</v>
      </c>
      <c r="G311" t="s">
        <v>16</v>
      </c>
      <c r="H311" t="s">
        <v>579</v>
      </c>
      <c r="J311" t="s">
        <v>103</v>
      </c>
      <c r="L311" t="s">
        <v>45</v>
      </c>
    </row>
    <row r="312" spans="1:12" x14ac:dyDescent="0.35">
      <c r="A312">
        <v>875</v>
      </c>
      <c r="B312" s="2" t="s">
        <v>12</v>
      </c>
      <c r="C312" t="s">
        <v>13</v>
      </c>
      <c r="D312" t="s">
        <v>14</v>
      </c>
      <c r="E312" t="s">
        <v>15</v>
      </c>
      <c r="F312" t="s">
        <v>377</v>
      </c>
      <c r="G312" t="s">
        <v>16</v>
      </c>
      <c r="H312" t="s">
        <v>579</v>
      </c>
      <c r="J312" t="s">
        <v>103</v>
      </c>
      <c r="L312" t="s">
        <v>45</v>
      </c>
    </row>
    <row r="313" spans="1:12" x14ac:dyDescent="0.35">
      <c r="A313">
        <v>875</v>
      </c>
      <c r="B313" s="42" t="s">
        <v>580</v>
      </c>
      <c r="C313" t="s">
        <v>13</v>
      </c>
      <c r="D313" t="s">
        <v>581</v>
      </c>
      <c r="E313" t="s">
        <v>15</v>
      </c>
      <c r="F313" t="s">
        <v>377</v>
      </c>
      <c r="G313" t="s">
        <v>16</v>
      </c>
      <c r="H313" t="s">
        <v>579</v>
      </c>
      <c r="J313" t="s">
        <v>103</v>
      </c>
      <c r="L313" t="s">
        <v>45</v>
      </c>
    </row>
    <row r="314" spans="1:12" x14ac:dyDescent="0.35">
      <c r="A314">
        <v>875</v>
      </c>
      <c r="B314" s="42" t="s">
        <v>582</v>
      </c>
      <c r="C314" t="s">
        <v>13</v>
      </c>
      <c r="D314" t="s">
        <v>583</v>
      </c>
      <c r="E314" t="s">
        <v>15</v>
      </c>
      <c r="F314" t="s">
        <v>377</v>
      </c>
      <c r="G314" t="s">
        <v>16</v>
      </c>
      <c r="H314" t="s">
        <v>579</v>
      </c>
      <c r="J314" t="s">
        <v>103</v>
      </c>
      <c r="L314" t="s">
        <v>45</v>
      </c>
    </row>
    <row r="315" spans="1:12" x14ac:dyDescent="0.35">
      <c r="A315">
        <v>875</v>
      </c>
      <c r="B315" s="42" t="s">
        <v>584</v>
      </c>
      <c r="C315" t="s">
        <v>13</v>
      </c>
      <c r="D315" t="s">
        <v>585</v>
      </c>
      <c r="E315" t="s">
        <v>15</v>
      </c>
      <c r="F315" t="s">
        <v>377</v>
      </c>
      <c r="G315" t="s">
        <v>16</v>
      </c>
      <c r="H315" t="s">
        <v>579</v>
      </c>
      <c r="J315" t="s">
        <v>103</v>
      </c>
      <c r="L315" t="s">
        <v>45</v>
      </c>
    </row>
    <row r="316" spans="1:12" x14ac:dyDescent="0.35">
      <c r="A316">
        <v>882</v>
      </c>
      <c r="B316" s="2" t="s">
        <v>12</v>
      </c>
      <c r="C316" t="s">
        <v>13</v>
      </c>
      <c r="D316" t="s">
        <v>14</v>
      </c>
      <c r="E316" t="s">
        <v>15</v>
      </c>
      <c r="F316" t="s">
        <v>35</v>
      </c>
      <c r="G316" t="s">
        <v>16</v>
      </c>
      <c r="H316" t="s">
        <v>315</v>
      </c>
      <c r="I316" t="s">
        <v>348</v>
      </c>
      <c r="J316" t="s">
        <v>586</v>
      </c>
      <c r="L316" t="s">
        <v>45</v>
      </c>
    </row>
    <row r="317" spans="1:12" x14ac:dyDescent="0.35">
      <c r="A317">
        <v>885</v>
      </c>
      <c r="B317" s="5" t="s">
        <v>587</v>
      </c>
      <c r="C317" t="s">
        <v>33</v>
      </c>
      <c r="D317" t="s">
        <v>588</v>
      </c>
      <c r="E317" t="s">
        <v>15</v>
      </c>
      <c r="F317" t="s">
        <v>33</v>
      </c>
      <c r="G317" t="s">
        <v>120</v>
      </c>
      <c r="H317" t="s">
        <v>589</v>
      </c>
      <c r="J317" t="s">
        <v>590</v>
      </c>
      <c r="L317" t="s">
        <v>28</v>
      </c>
    </row>
    <row r="318" spans="1:12" x14ac:dyDescent="0.35">
      <c r="A318">
        <v>885</v>
      </c>
      <c r="B318" s="8" t="s">
        <v>591</v>
      </c>
      <c r="C318" t="s">
        <v>33</v>
      </c>
      <c r="D318" t="s">
        <v>481</v>
      </c>
      <c r="E318" t="s">
        <v>15</v>
      </c>
      <c r="F318" t="s">
        <v>33</v>
      </c>
      <c r="G318" t="s">
        <v>120</v>
      </c>
      <c r="H318" t="s">
        <v>589</v>
      </c>
      <c r="J318" t="s">
        <v>590</v>
      </c>
      <c r="L318" t="s">
        <v>28</v>
      </c>
    </row>
    <row r="319" spans="1:12" x14ac:dyDescent="0.35">
      <c r="A319">
        <v>885</v>
      </c>
      <c r="B319" s="3" t="s">
        <v>592</v>
      </c>
      <c r="C319" t="s">
        <v>33</v>
      </c>
      <c r="D319" t="s">
        <v>34</v>
      </c>
      <c r="E319" t="s">
        <v>15</v>
      </c>
      <c r="F319" t="s">
        <v>33</v>
      </c>
      <c r="G319" t="s">
        <v>120</v>
      </c>
      <c r="H319" t="s">
        <v>589</v>
      </c>
      <c r="J319" t="s">
        <v>590</v>
      </c>
      <c r="L319" t="s">
        <v>28</v>
      </c>
    </row>
    <row r="320" spans="1:12" x14ac:dyDescent="0.35">
      <c r="A320">
        <v>885</v>
      </c>
      <c r="B320" s="2" t="s">
        <v>12</v>
      </c>
      <c r="C320" t="s">
        <v>13</v>
      </c>
      <c r="D320" t="s">
        <v>593</v>
      </c>
      <c r="E320" t="s">
        <v>15</v>
      </c>
      <c r="F320" t="s">
        <v>594</v>
      </c>
      <c r="G320" t="s">
        <v>16</v>
      </c>
      <c r="H320" t="s">
        <v>595</v>
      </c>
      <c r="I320" t="s">
        <v>386</v>
      </c>
      <c r="J320" t="s">
        <v>590</v>
      </c>
      <c r="K320" t="s">
        <v>596</v>
      </c>
      <c r="L320" t="s">
        <v>28</v>
      </c>
    </row>
    <row r="321" spans="1:12" x14ac:dyDescent="0.35">
      <c r="A321">
        <v>885</v>
      </c>
      <c r="B321" s="3" t="s">
        <v>597</v>
      </c>
      <c r="C321" t="s">
        <v>33</v>
      </c>
      <c r="D321" t="s">
        <v>593</v>
      </c>
      <c r="E321" t="s">
        <v>15</v>
      </c>
      <c r="F321" t="s">
        <v>33</v>
      </c>
      <c r="G321" t="s">
        <v>16</v>
      </c>
      <c r="H321" t="s">
        <v>595</v>
      </c>
      <c r="I321" t="s">
        <v>386</v>
      </c>
      <c r="J321" t="s">
        <v>590</v>
      </c>
      <c r="L321" t="s">
        <v>28</v>
      </c>
    </row>
    <row r="322" spans="1:12" x14ac:dyDescent="0.35">
      <c r="A322">
        <v>892</v>
      </c>
      <c r="B322" s="23" t="s">
        <v>598</v>
      </c>
      <c r="C322" t="s">
        <v>30</v>
      </c>
      <c r="D322" t="s">
        <v>599</v>
      </c>
      <c r="E322" t="s">
        <v>15</v>
      </c>
      <c r="F322" t="s">
        <v>35</v>
      </c>
      <c r="G322" t="s">
        <v>600</v>
      </c>
      <c r="H322" t="s">
        <v>564</v>
      </c>
      <c r="J322" t="s">
        <v>601</v>
      </c>
      <c r="L322" t="s">
        <v>133</v>
      </c>
    </row>
    <row r="323" spans="1:12" x14ac:dyDescent="0.35">
      <c r="A323">
        <v>892</v>
      </c>
      <c r="B323" s="23" t="s">
        <v>602</v>
      </c>
      <c r="C323" t="s">
        <v>30</v>
      </c>
      <c r="D323" t="s">
        <v>225</v>
      </c>
      <c r="E323" t="s">
        <v>15</v>
      </c>
      <c r="F323" t="s">
        <v>35</v>
      </c>
      <c r="G323" t="s">
        <v>600</v>
      </c>
      <c r="H323" t="s">
        <v>564</v>
      </c>
      <c r="J323" t="s">
        <v>601</v>
      </c>
      <c r="L323" t="s">
        <v>133</v>
      </c>
    </row>
    <row r="324" spans="1:12" x14ac:dyDescent="0.35">
      <c r="A324">
        <v>892</v>
      </c>
      <c r="B324" s="23" t="s">
        <v>603</v>
      </c>
      <c r="C324" t="s">
        <v>30</v>
      </c>
      <c r="D324" t="s">
        <v>38</v>
      </c>
      <c r="E324" t="s">
        <v>15</v>
      </c>
      <c r="F324" t="s">
        <v>35</v>
      </c>
      <c r="G324" t="s">
        <v>600</v>
      </c>
      <c r="H324" t="s">
        <v>564</v>
      </c>
      <c r="J324" t="s">
        <v>604</v>
      </c>
      <c r="L324" t="s">
        <v>133</v>
      </c>
    </row>
    <row r="325" spans="1:12" x14ac:dyDescent="0.35">
      <c r="A325">
        <v>892</v>
      </c>
      <c r="B325" s="23" t="s">
        <v>605</v>
      </c>
      <c r="C325" t="s">
        <v>30</v>
      </c>
      <c r="D325" t="s">
        <v>157</v>
      </c>
      <c r="E325" t="s">
        <v>15</v>
      </c>
      <c r="F325" t="s">
        <v>35</v>
      </c>
      <c r="G325" t="s">
        <v>600</v>
      </c>
      <c r="H325" t="s">
        <v>564</v>
      </c>
      <c r="J325" t="s">
        <v>604</v>
      </c>
      <c r="L325" t="s">
        <v>133</v>
      </c>
    </row>
    <row r="326" spans="1:12" x14ac:dyDescent="0.35">
      <c r="A326">
        <v>892</v>
      </c>
      <c r="B326" s="4" t="s">
        <v>606</v>
      </c>
      <c r="C326" t="s">
        <v>33</v>
      </c>
      <c r="D326" t="s">
        <v>38</v>
      </c>
      <c r="E326" t="s">
        <v>15</v>
      </c>
      <c r="F326" t="s">
        <v>33</v>
      </c>
      <c r="G326" t="s">
        <v>600</v>
      </c>
      <c r="H326" t="s">
        <v>564</v>
      </c>
      <c r="J326" t="s">
        <v>601</v>
      </c>
      <c r="L326" t="s">
        <v>133</v>
      </c>
    </row>
    <row r="327" spans="1:12" x14ac:dyDescent="0.35">
      <c r="A327">
        <v>892</v>
      </c>
      <c r="B327" s="2" t="s">
        <v>607</v>
      </c>
      <c r="C327" t="s">
        <v>33</v>
      </c>
      <c r="D327" t="s">
        <v>205</v>
      </c>
      <c r="E327" t="s">
        <v>15</v>
      </c>
      <c r="F327" t="s">
        <v>33</v>
      </c>
      <c r="G327" t="s">
        <v>600</v>
      </c>
      <c r="H327" t="s">
        <v>564</v>
      </c>
      <c r="J327" t="s">
        <v>601</v>
      </c>
      <c r="L327" t="s">
        <v>133</v>
      </c>
    </row>
    <row r="328" spans="1:12" x14ac:dyDescent="0.35">
      <c r="A328">
        <v>904</v>
      </c>
      <c r="B328" t="s">
        <v>608</v>
      </c>
      <c r="C328" t="s">
        <v>30</v>
      </c>
      <c r="D328" t="s">
        <v>184</v>
      </c>
      <c r="E328" t="s">
        <v>15</v>
      </c>
      <c r="F328" t="s">
        <v>35</v>
      </c>
      <c r="G328" t="s">
        <v>120</v>
      </c>
      <c r="H328" t="s">
        <v>153</v>
      </c>
      <c r="I328" t="s">
        <v>386</v>
      </c>
      <c r="J328" t="s">
        <v>601</v>
      </c>
      <c r="L328" t="s">
        <v>133</v>
      </c>
    </row>
    <row r="329" spans="1:12" x14ac:dyDescent="0.35">
      <c r="A329">
        <v>904</v>
      </c>
      <c r="B329" t="s">
        <v>480</v>
      </c>
      <c r="C329" t="s">
        <v>30</v>
      </c>
      <c r="D329" t="s">
        <v>481</v>
      </c>
      <c r="E329" t="s">
        <v>15</v>
      </c>
      <c r="F329" t="s">
        <v>33</v>
      </c>
      <c r="G329" t="s">
        <v>120</v>
      </c>
      <c r="H329" t="s">
        <v>153</v>
      </c>
      <c r="I329" t="s">
        <v>386</v>
      </c>
      <c r="J329" t="s">
        <v>601</v>
      </c>
      <c r="L329" t="s">
        <v>133</v>
      </c>
    </row>
    <row r="330" spans="1:12" x14ac:dyDescent="0.35">
      <c r="A330">
        <v>904</v>
      </c>
      <c r="B330" s="5" t="s">
        <v>609</v>
      </c>
      <c r="C330" t="s">
        <v>33</v>
      </c>
      <c r="D330" t="s">
        <v>184</v>
      </c>
      <c r="E330" t="s">
        <v>15</v>
      </c>
      <c r="F330" t="s">
        <v>35</v>
      </c>
      <c r="G330" t="s">
        <v>120</v>
      </c>
      <c r="H330" t="s">
        <v>153</v>
      </c>
      <c r="I330" t="s">
        <v>386</v>
      </c>
      <c r="J330" t="s">
        <v>601</v>
      </c>
      <c r="L330" t="s">
        <v>133</v>
      </c>
    </row>
    <row r="331" spans="1:12" x14ac:dyDescent="0.35">
      <c r="A331">
        <v>904</v>
      </c>
      <c r="B331" s="8" t="s">
        <v>610</v>
      </c>
      <c r="C331" t="s">
        <v>33</v>
      </c>
      <c r="D331" t="s">
        <v>481</v>
      </c>
      <c r="E331" t="s">
        <v>15</v>
      </c>
      <c r="F331" t="s">
        <v>33</v>
      </c>
      <c r="G331" t="s">
        <v>120</v>
      </c>
      <c r="H331" t="s">
        <v>153</v>
      </c>
      <c r="I331" t="s">
        <v>386</v>
      </c>
      <c r="J331" t="s">
        <v>601</v>
      </c>
      <c r="L331" t="s">
        <v>133</v>
      </c>
    </row>
    <row r="332" spans="1:12" x14ac:dyDescent="0.35">
      <c r="A332">
        <v>904</v>
      </c>
      <c r="B332" s="23" t="s">
        <v>611</v>
      </c>
      <c r="C332" t="s">
        <v>30</v>
      </c>
      <c r="D332" t="s">
        <v>612</v>
      </c>
      <c r="E332" t="s">
        <v>15</v>
      </c>
      <c r="F332" t="s">
        <v>35</v>
      </c>
      <c r="G332" t="s">
        <v>120</v>
      </c>
      <c r="H332" t="s">
        <v>153</v>
      </c>
      <c r="I332" t="s">
        <v>386</v>
      </c>
      <c r="J332" t="s">
        <v>601</v>
      </c>
      <c r="L332" t="s">
        <v>133</v>
      </c>
    </row>
    <row r="333" spans="1:12" x14ac:dyDescent="0.35">
      <c r="A333">
        <v>904</v>
      </c>
      <c r="B333" s="16" t="s">
        <v>613</v>
      </c>
      <c r="C333" t="s">
        <v>22</v>
      </c>
      <c r="D333" t="s">
        <v>614</v>
      </c>
      <c r="E333" t="s">
        <v>15</v>
      </c>
      <c r="F333" t="s">
        <v>35</v>
      </c>
      <c r="G333" t="s">
        <v>120</v>
      </c>
      <c r="H333" t="s">
        <v>153</v>
      </c>
      <c r="I333" t="s">
        <v>386</v>
      </c>
      <c r="J333" t="s">
        <v>601</v>
      </c>
      <c r="L333" t="s">
        <v>133</v>
      </c>
    </row>
    <row r="334" spans="1:12" x14ac:dyDescent="0.35">
      <c r="A334">
        <v>904</v>
      </c>
      <c r="B334" t="s">
        <v>615</v>
      </c>
      <c r="C334" t="s">
        <v>30</v>
      </c>
      <c r="D334" t="s">
        <v>616</v>
      </c>
      <c r="E334" t="s">
        <v>15</v>
      </c>
      <c r="F334" t="s">
        <v>35</v>
      </c>
      <c r="G334" t="s">
        <v>120</v>
      </c>
      <c r="H334" t="s">
        <v>153</v>
      </c>
      <c r="I334" t="s">
        <v>386</v>
      </c>
      <c r="J334" t="s">
        <v>601</v>
      </c>
      <c r="L334" t="s">
        <v>133</v>
      </c>
    </row>
    <row r="335" spans="1:12" x14ac:dyDescent="0.35">
      <c r="A335">
        <v>904</v>
      </c>
      <c r="B335" s="16" t="s">
        <v>91</v>
      </c>
      <c r="C335" t="s">
        <v>22</v>
      </c>
      <c r="D335" t="s">
        <v>23</v>
      </c>
      <c r="E335" t="s">
        <v>15</v>
      </c>
      <c r="F335" t="s">
        <v>22</v>
      </c>
      <c r="G335" t="s">
        <v>120</v>
      </c>
      <c r="H335" t="s">
        <v>153</v>
      </c>
      <c r="I335" t="s">
        <v>386</v>
      </c>
      <c r="J335" t="s">
        <v>601</v>
      </c>
      <c r="L335" t="s">
        <v>133</v>
      </c>
    </row>
    <row r="336" spans="1:12" x14ac:dyDescent="0.35">
      <c r="A336">
        <v>904</v>
      </c>
      <c r="B336" s="17" t="s">
        <v>617</v>
      </c>
      <c r="C336" t="s">
        <v>22</v>
      </c>
      <c r="D336" t="s">
        <v>618</v>
      </c>
      <c r="E336" t="s">
        <v>15</v>
      </c>
      <c r="F336" t="s">
        <v>22</v>
      </c>
      <c r="G336" t="s">
        <v>120</v>
      </c>
      <c r="H336" t="s">
        <v>153</v>
      </c>
      <c r="I336" t="s">
        <v>386</v>
      </c>
      <c r="J336" t="s">
        <v>601</v>
      </c>
      <c r="L336" t="s">
        <v>133</v>
      </c>
    </row>
    <row r="337" spans="1:12" x14ac:dyDescent="0.35">
      <c r="A337">
        <v>904</v>
      </c>
      <c r="B337" s="18" t="s">
        <v>619</v>
      </c>
      <c r="C337" t="s">
        <v>22</v>
      </c>
      <c r="D337" t="s">
        <v>112</v>
      </c>
      <c r="E337" t="s">
        <v>15</v>
      </c>
      <c r="F337" t="s">
        <v>22</v>
      </c>
      <c r="G337" t="s">
        <v>120</v>
      </c>
      <c r="H337" t="s">
        <v>153</v>
      </c>
      <c r="I337" t="s">
        <v>386</v>
      </c>
      <c r="J337" t="s">
        <v>601</v>
      </c>
      <c r="L337" t="s">
        <v>133</v>
      </c>
    </row>
    <row r="338" spans="1:12" x14ac:dyDescent="0.35">
      <c r="A338">
        <v>904</v>
      </c>
      <c r="B338" s="2" t="s">
        <v>620</v>
      </c>
      <c r="C338" t="s">
        <v>33</v>
      </c>
      <c r="D338" t="s">
        <v>621</v>
      </c>
      <c r="E338" t="s">
        <v>15</v>
      </c>
      <c r="F338" t="s">
        <v>33</v>
      </c>
      <c r="G338" t="s">
        <v>120</v>
      </c>
      <c r="H338" t="s">
        <v>153</v>
      </c>
      <c r="I338" t="s">
        <v>386</v>
      </c>
      <c r="J338" t="s">
        <v>601</v>
      </c>
      <c r="K338" t="s">
        <v>622</v>
      </c>
      <c r="L338" t="s">
        <v>133</v>
      </c>
    </row>
    <row r="339" spans="1:12" x14ac:dyDescent="0.35">
      <c r="A339">
        <v>904</v>
      </c>
      <c r="B339" s="2" t="s">
        <v>623</v>
      </c>
      <c r="C339" t="s">
        <v>33</v>
      </c>
      <c r="D339" t="s">
        <v>621</v>
      </c>
      <c r="E339" t="s">
        <v>15</v>
      </c>
      <c r="F339" t="s">
        <v>33</v>
      </c>
      <c r="G339" t="s">
        <v>120</v>
      </c>
      <c r="H339" t="s">
        <v>153</v>
      </c>
      <c r="I339" t="s">
        <v>386</v>
      </c>
      <c r="J339" t="s">
        <v>601</v>
      </c>
      <c r="K339" t="s">
        <v>622</v>
      </c>
      <c r="L339" t="s">
        <v>133</v>
      </c>
    </row>
    <row r="340" spans="1:12" x14ac:dyDescent="0.35">
      <c r="A340">
        <v>904</v>
      </c>
      <c r="B340" s="4" t="s">
        <v>624</v>
      </c>
      <c r="C340" t="s">
        <v>33</v>
      </c>
      <c r="D340" t="s">
        <v>621</v>
      </c>
      <c r="E340" t="s">
        <v>15</v>
      </c>
      <c r="F340" t="s">
        <v>33</v>
      </c>
      <c r="G340" t="s">
        <v>120</v>
      </c>
      <c r="H340" t="s">
        <v>153</v>
      </c>
      <c r="I340" t="s">
        <v>386</v>
      </c>
      <c r="J340" t="s">
        <v>601</v>
      </c>
      <c r="K340" t="s">
        <v>622</v>
      </c>
      <c r="L340" t="s">
        <v>133</v>
      </c>
    </row>
    <row r="341" spans="1:12" x14ac:dyDescent="0.35">
      <c r="A341">
        <v>904</v>
      </c>
      <c r="B341" s="4" t="s">
        <v>625</v>
      </c>
      <c r="C341" t="s">
        <v>33</v>
      </c>
      <c r="D341" t="s">
        <v>621</v>
      </c>
      <c r="E341" t="s">
        <v>15</v>
      </c>
      <c r="F341" t="s">
        <v>33</v>
      </c>
      <c r="G341" t="s">
        <v>120</v>
      </c>
      <c r="H341" t="s">
        <v>153</v>
      </c>
      <c r="I341" t="s">
        <v>386</v>
      </c>
      <c r="J341" t="s">
        <v>601</v>
      </c>
      <c r="K341" t="s">
        <v>622</v>
      </c>
      <c r="L341" t="s">
        <v>133</v>
      </c>
    </row>
    <row r="342" spans="1:12" x14ac:dyDescent="0.35">
      <c r="A342">
        <v>904</v>
      </c>
      <c r="B342" s="18" t="s">
        <v>626</v>
      </c>
      <c r="C342" t="s">
        <v>22</v>
      </c>
      <c r="D342" t="s">
        <v>112</v>
      </c>
      <c r="E342" t="s">
        <v>15</v>
      </c>
      <c r="F342" t="s">
        <v>33</v>
      </c>
      <c r="G342" t="s">
        <v>120</v>
      </c>
      <c r="H342" t="s">
        <v>153</v>
      </c>
      <c r="I342" t="s">
        <v>386</v>
      </c>
      <c r="J342" t="s">
        <v>601</v>
      </c>
      <c r="K342" t="s">
        <v>622</v>
      </c>
      <c r="L342" t="s">
        <v>133</v>
      </c>
    </row>
    <row r="343" spans="1:12" x14ac:dyDescent="0.35">
      <c r="A343">
        <v>911</v>
      </c>
      <c r="B343" s="16" t="s">
        <v>91</v>
      </c>
      <c r="C343" t="s">
        <v>22</v>
      </c>
      <c r="D343" t="s">
        <v>23</v>
      </c>
      <c r="E343" t="s">
        <v>15</v>
      </c>
      <c r="F343" t="s">
        <v>22</v>
      </c>
      <c r="G343" t="s">
        <v>120</v>
      </c>
      <c r="H343" t="s">
        <v>627</v>
      </c>
      <c r="I343" t="s">
        <v>163</v>
      </c>
      <c r="J343" t="s">
        <v>628</v>
      </c>
      <c r="L343" t="s">
        <v>79</v>
      </c>
    </row>
    <row r="344" spans="1:12" x14ac:dyDescent="0.35">
      <c r="A344">
        <v>911</v>
      </c>
      <c r="B344" s="16" t="s">
        <v>629</v>
      </c>
      <c r="C344" t="s">
        <v>22</v>
      </c>
      <c r="D344" t="s">
        <v>23</v>
      </c>
      <c r="E344" t="s">
        <v>15</v>
      </c>
      <c r="F344" t="s">
        <v>22</v>
      </c>
      <c r="G344" t="s">
        <v>120</v>
      </c>
      <c r="H344" t="s">
        <v>627</v>
      </c>
      <c r="I344" t="s">
        <v>163</v>
      </c>
      <c r="J344" t="s">
        <v>630</v>
      </c>
      <c r="L344" t="s">
        <v>79</v>
      </c>
    </row>
    <row r="345" spans="1:12" x14ac:dyDescent="0.35">
      <c r="A345">
        <v>911</v>
      </c>
      <c r="B345" s="16" t="s">
        <v>631</v>
      </c>
      <c r="C345" t="s">
        <v>22</v>
      </c>
      <c r="D345" t="s">
        <v>23</v>
      </c>
      <c r="E345" t="s">
        <v>15</v>
      </c>
      <c r="F345" t="s">
        <v>22</v>
      </c>
      <c r="G345" t="s">
        <v>120</v>
      </c>
      <c r="H345" t="s">
        <v>627</v>
      </c>
      <c r="I345" t="s">
        <v>163</v>
      </c>
      <c r="J345" t="s">
        <v>630</v>
      </c>
      <c r="K345" t="s">
        <v>632</v>
      </c>
      <c r="L345" t="s">
        <v>79</v>
      </c>
    </row>
    <row r="346" spans="1:12" x14ac:dyDescent="0.35">
      <c r="A346">
        <v>911</v>
      </c>
      <c r="B346" s="17" t="s">
        <v>62</v>
      </c>
      <c r="C346" t="s">
        <v>22</v>
      </c>
      <c r="D346" t="s">
        <v>633</v>
      </c>
      <c r="E346" t="s">
        <v>15</v>
      </c>
      <c r="F346" t="s">
        <v>22</v>
      </c>
      <c r="G346" t="s">
        <v>120</v>
      </c>
      <c r="H346" t="s">
        <v>627</v>
      </c>
      <c r="I346" t="s">
        <v>163</v>
      </c>
      <c r="J346" t="s">
        <v>630</v>
      </c>
      <c r="L346" t="s">
        <v>79</v>
      </c>
    </row>
    <row r="347" spans="1:12" x14ac:dyDescent="0.35">
      <c r="A347">
        <v>911</v>
      </c>
      <c r="B347" s="3" t="s">
        <v>76</v>
      </c>
      <c r="C347" t="s">
        <v>33</v>
      </c>
      <c r="D347" t="s">
        <v>34</v>
      </c>
      <c r="E347" t="s">
        <v>15</v>
      </c>
      <c r="F347" t="s">
        <v>33</v>
      </c>
      <c r="G347" t="s">
        <v>120</v>
      </c>
      <c r="H347" t="s">
        <v>627</v>
      </c>
      <c r="I347" t="s">
        <v>163</v>
      </c>
      <c r="J347" t="s">
        <v>630</v>
      </c>
      <c r="L347" t="s">
        <v>79</v>
      </c>
    </row>
    <row r="348" spans="1:12" x14ac:dyDescent="0.35">
      <c r="A348">
        <v>911</v>
      </c>
      <c r="B348" s="23" t="s">
        <v>634</v>
      </c>
      <c r="C348" t="s">
        <v>30</v>
      </c>
      <c r="D348" t="s">
        <v>599</v>
      </c>
      <c r="E348" t="s">
        <v>15</v>
      </c>
      <c r="F348" t="s">
        <v>35</v>
      </c>
      <c r="G348" t="s">
        <v>120</v>
      </c>
      <c r="H348" t="s">
        <v>635</v>
      </c>
      <c r="I348" t="s">
        <v>348</v>
      </c>
      <c r="J348" t="s">
        <v>630</v>
      </c>
      <c r="L348" t="s">
        <v>79</v>
      </c>
    </row>
    <row r="349" spans="1:12" x14ac:dyDescent="0.35">
      <c r="A349">
        <v>913</v>
      </c>
      <c r="B349" s="16" t="s">
        <v>91</v>
      </c>
      <c r="C349" t="s">
        <v>22</v>
      </c>
      <c r="D349" t="s">
        <v>23</v>
      </c>
      <c r="E349" t="s">
        <v>15</v>
      </c>
      <c r="F349" t="s">
        <v>22</v>
      </c>
      <c r="G349" t="s">
        <v>120</v>
      </c>
      <c r="H349" t="s">
        <v>636</v>
      </c>
      <c r="I349" t="s">
        <v>348</v>
      </c>
      <c r="J349" t="s">
        <v>637</v>
      </c>
      <c r="L349" t="s">
        <v>79</v>
      </c>
    </row>
    <row r="350" spans="1:12" x14ac:dyDescent="0.35">
      <c r="A350">
        <v>913</v>
      </c>
      <c r="B350" s="16" t="s">
        <v>631</v>
      </c>
      <c r="C350" t="s">
        <v>22</v>
      </c>
      <c r="D350" t="s">
        <v>23</v>
      </c>
      <c r="E350" t="s">
        <v>15</v>
      </c>
      <c r="F350" t="s">
        <v>22</v>
      </c>
      <c r="G350" t="s">
        <v>120</v>
      </c>
      <c r="H350" t="s">
        <v>636</v>
      </c>
      <c r="I350" t="s">
        <v>348</v>
      </c>
      <c r="J350" t="s">
        <v>637</v>
      </c>
      <c r="L350" t="s">
        <v>79</v>
      </c>
    </row>
    <row r="351" spans="1:12" x14ac:dyDescent="0.35">
      <c r="A351">
        <v>913</v>
      </c>
      <c r="B351" s="3" t="s">
        <v>638</v>
      </c>
      <c r="C351" t="s">
        <v>33</v>
      </c>
      <c r="D351" t="s">
        <v>34</v>
      </c>
      <c r="E351" t="s">
        <v>15</v>
      </c>
      <c r="F351" t="s">
        <v>33</v>
      </c>
      <c r="G351" t="s">
        <v>120</v>
      </c>
      <c r="H351" t="s">
        <v>636</v>
      </c>
      <c r="I351" t="s">
        <v>348</v>
      </c>
      <c r="J351" t="s">
        <v>637</v>
      </c>
      <c r="L351" t="s">
        <v>79</v>
      </c>
    </row>
    <row r="352" spans="1:12" x14ac:dyDescent="0.35">
      <c r="A352">
        <v>913</v>
      </c>
      <c r="B352" s="2" t="s">
        <v>155</v>
      </c>
      <c r="C352" t="s">
        <v>33</v>
      </c>
      <c r="D352" t="s">
        <v>38</v>
      </c>
      <c r="E352" t="s">
        <v>15</v>
      </c>
      <c r="F352" t="s">
        <v>33</v>
      </c>
      <c r="G352" t="s">
        <v>120</v>
      </c>
      <c r="H352" t="s">
        <v>636</v>
      </c>
      <c r="I352" t="s">
        <v>348</v>
      </c>
      <c r="J352" t="s">
        <v>637</v>
      </c>
      <c r="L352" t="s">
        <v>79</v>
      </c>
    </row>
    <row r="353" spans="1:12" x14ac:dyDescent="0.35">
      <c r="A353">
        <v>914</v>
      </c>
      <c r="B353" s="23" t="s">
        <v>639</v>
      </c>
      <c r="C353" t="s">
        <v>30</v>
      </c>
      <c r="D353" t="s">
        <v>640</v>
      </c>
      <c r="E353" t="s">
        <v>15</v>
      </c>
      <c r="F353" t="s">
        <v>35</v>
      </c>
      <c r="G353" t="s">
        <v>130</v>
      </c>
      <c r="H353" t="s">
        <v>27</v>
      </c>
      <c r="J353" t="s">
        <v>641</v>
      </c>
      <c r="K353" t="s">
        <v>642</v>
      </c>
      <c r="L353" t="s">
        <v>174</v>
      </c>
    </row>
    <row r="354" spans="1:12" x14ac:dyDescent="0.35">
      <c r="A354">
        <v>934</v>
      </c>
      <c r="B354" s="23" t="s">
        <v>107</v>
      </c>
      <c r="C354" t="s">
        <v>30</v>
      </c>
      <c r="D354" t="s">
        <v>643</v>
      </c>
      <c r="E354" t="s">
        <v>15</v>
      </c>
      <c r="F354" t="s">
        <v>35</v>
      </c>
      <c r="G354" t="s">
        <v>120</v>
      </c>
      <c r="H354" t="s">
        <v>644</v>
      </c>
      <c r="I354" t="s">
        <v>163</v>
      </c>
      <c r="J354" t="s">
        <v>27</v>
      </c>
      <c r="L354" t="s">
        <v>79</v>
      </c>
    </row>
    <row r="355" spans="1:12" x14ac:dyDescent="0.35">
      <c r="A355">
        <v>934</v>
      </c>
      <c r="B355" s="4" t="s">
        <v>645</v>
      </c>
      <c r="C355" t="s">
        <v>33</v>
      </c>
      <c r="D355" t="s">
        <v>157</v>
      </c>
      <c r="E355" t="s">
        <v>15</v>
      </c>
      <c r="F355" t="s">
        <v>35</v>
      </c>
      <c r="G355" t="s">
        <v>120</v>
      </c>
      <c r="H355" t="s">
        <v>644</v>
      </c>
      <c r="I355" t="s">
        <v>163</v>
      </c>
      <c r="J355" t="s">
        <v>27</v>
      </c>
      <c r="L355" t="s">
        <v>79</v>
      </c>
    </row>
    <row r="356" spans="1:12" x14ac:dyDescent="0.35">
      <c r="A356">
        <v>934</v>
      </c>
      <c r="B356" s="2" t="s">
        <v>144</v>
      </c>
      <c r="C356" t="s">
        <v>33</v>
      </c>
      <c r="D356" t="s">
        <v>38</v>
      </c>
      <c r="E356" t="s">
        <v>15</v>
      </c>
      <c r="F356" t="s">
        <v>35</v>
      </c>
      <c r="G356" t="s">
        <v>120</v>
      </c>
      <c r="H356" t="s">
        <v>644</v>
      </c>
      <c r="I356" t="s">
        <v>163</v>
      </c>
      <c r="J356" t="s">
        <v>27</v>
      </c>
      <c r="L356" t="s">
        <v>79</v>
      </c>
    </row>
    <row r="357" spans="1:12" x14ac:dyDescent="0.35">
      <c r="A357">
        <v>934</v>
      </c>
      <c r="B357" s="2" t="s">
        <v>646</v>
      </c>
      <c r="C357" t="s">
        <v>33</v>
      </c>
      <c r="D357" t="s">
        <v>647</v>
      </c>
      <c r="E357" t="s">
        <v>15</v>
      </c>
      <c r="F357" t="s">
        <v>35</v>
      </c>
      <c r="G357" t="s">
        <v>120</v>
      </c>
      <c r="H357" t="s">
        <v>644</v>
      </c>
      <c r="I357" t="s">
        <v>163</v>
      </c>
      <c r="J357" t="s">
        <v>27</v>
      </c>
      <c r="L357" t="s">
        <v>79</v>
      </c>
    </row>
    <row r="358" spans="1:12" x14ac:dyDescent="0.35">
      <c r="A358">
        <v>934</v>
      </c>
      <c r="B358" s="13" t="s">
        <v>648</v>
      </c>
      <c r="C358" t="s">
        <v>33</v>
      </c>
      <c r="D358" t="s">
        <v>38</v>
      </c>
      <c r="E358" t="s">
        <v>15</v>
      </c>
      <c r="F358" t="s">
        <v>35</v>
      </c>
      <c r="G358" t="s">
        <v>120</v>
      </c>
      <c r="H358" t="s">
        <v>644</v>
      </c>
      <c r="I358" t="s">
        <v>163</v>
      </c>
      <c r="J358" t="s">
        <v>27</v>
      </c>
      <c r="L358" t="s">
        <v>79</v>
      </c>
    </row>
    <row r="359" spans="1:12" x14ac:dyDescent="0.35">
      <c r="A359">
        <v>934</v>
      </c>
      <c r="B359" s="7" t="s">
        <v>649</v>
      </c>
      <c r="C359" t="s">
        <v>33</v>
      </c>
      <c r="D359" t="s">
        <v>196</v>
      </c>
      <c r="E359" t="s">
        <v>15</v>
      </c>
      <c r="F359" t="s">
        <v>35</v>
      </c>
      <c r="G359" t="s">
        <v>120</v>
      </c>
      <c r="H359" t="s">
        <v>644</v>
      </c>
      <c r="I359" t="s">
        <v>163</v>
      </c>
      <c r="J359" t="s">
        <v>27</v>
      </c>
      <c r="L359" t="s">
        <v>79</v>
      </c>
    </row>
    <row r="360" spans="1:12" x14ac:dyDescent="0.35">
      <c r="A360">
        <v>934</v>
      </c>
      <c r="B360" s="7" t="s">
        <v>650</v>
      </c>
      <c r="C360" t="s">
        <v>33</v>
      </c>
      <c r="D360" t="s">
        <v>196</v>
      </c>
      <c r="E360" t="s">
        <v>15</v>
      </c>
      <c r="F360" t="s">
        <v>35</v>
      </c>
      <c r="G360" t="s">
        <v>120</v>
      </c>
      <c r="H360" t="s">
        <v>644</v>
      </c>
      <c r="I360" t="s">
        <v>163</v>
      </c>
      <c r="J360" t="s">
        <v>27</v>
      </c>
      <c r="L360" t="s">
        <v>79</v>
      </c>
    </row>
    <row r="361" spans="1:12" x14ac:dyDescent="0.35">
      <c r="A361">
        <v>934</v>
      </c>
      <c r="B361" s="7" t="s">
        <v>651</v>
      </c>
      <c r="C361" t="s">
        <v>33</v>
      </c>
      <c r="D361" t="s">
        <v>196</v>
      </c>
      <c r="E361" t="s">
        <v>15</v>
      </c>
      <c r="F361" t="s">
        <v>35</v>
      </c>
      <c r="G361" t="s">
        <v>120</v>
      </c>
      <c r="H361" t="s">
        <v>644</v>
      </c>
      <c r="I361" t="s">
        <v>163</v>
      </c>
      <c r="J361" t="s">
        <v>27</v>
      </c>
      <c r="L361" t="s">
        <v>79</v>
      </c>
    </row>
    <row r="362" spans="1:12" x14ac:dyDescent="0.35">
      <c r="A362">
        <v>934</v>
      </c>
      <c r="B362" s="7" t="s">
        <v>652</v>
      </c>
      <c r="C362" t="s">
        <v>33</v>
      </c>
      <c r="D362" t="s">
        <v>196</v>
      </c>
      <c r="E362" t="s">
        <v>15</v>
      </c>
      <c r="F362" t="s">
        <v>35</v>
      </c>
      <c r="G362" t="s">
        <v>120</v>
      </c>
      <c r="H362" t="s">
        <v>644</v>
      </c>
      <c r="I362" t="s">
        <v>163</v>
      </c>
      <c r="J362" t="s">
        <v>27</v>
      </c>
      <c r="L362" t="s">
        <v>79</v>
      </c>
    </row>
    <row r="363" spans="1:12" x14ac:dyDescent="0.35">
      <c r="A363">
        <v>939</v>
      </c>
      <c r="B363" s="23" t="s">
        <v>653</v>
      </c>
      <c r="C363" t="s">
        <v>30</v>
      </c>
      <c r="D363" t="s">
        <v>34</v>
      </c>
      <c r="E363" t="s">
        <v>15</v>
      </c>
      <c r="F363" t="s">
        <v>35</v>
      </c>
      <c r="G363" t="s">
        <v>654</v>
      </c>
      <c r="H363" t="s">
        <v>655</v>
      </c>
      <c r="I363" t="s">
        <v>266</v>
      </c>
      <c r="J363" t="s">
        <v>656</v>
      </c>
      <c r="L363" t="s">
        <v>90</v>
      </c>
    </row>
    <row r="364" spans="1:12" x14ac:dyDescent="0.35">
      <c r="A364">
        <v>939</v>
      </c>
      <c r="B364" t="s">
        <v>657</v>
      </c>
      <c r="C364" t="s">
        <v>33</v>
      </c>
      <c r="D364" t="s">
        <v>34</v>
      </c>
      <c r="E364" t="s">
        <v>15</v>
      </c>
      <c r="F364" t="s">
        <v>35</v>
      </c>
      <c r="G364" t="s">
        <v>654</v>
      </c>
      <c r="H364" t="s">
        <v>655</v>
      </c>
      <c r="I364" t="s">
        <v>266</v>
      </c>
      <c r="J364" t="s">
        <v>658</v>
      </c>
      <c r="L364" t="s">
        <v>90</v>
      </c>
    </row>
    <row r="365" spans="1:12" x14ac:dyDescent="0.35">
      <c r="A365">
        <v>939</v>
      </c>
      <c r="B365" t="s">
        <v>659</v>
      </c>
      <c r="C365" t="s">
        <v>30</v>
      </c>
      <c r="D365" t="s">
        <v>660</v>
      </c>
      <c r="E365" t="s">
        <v>15</v>
      </c>
      <c r="F365" t="s">
        <v>57</v>
      </c>
      <c r="G365" t="s">
        <v>654</v>
      </c>
      <c r="H365" t="s">
        <v>655</v>
      </c>
      <c r="I365" t="s">
        <v>266</v>
      </c>
      <c r="J365" t="s">
        <v>401</v>
      </c>
      <c r="L365" t="s">
        <v>90</v>
      </c>
    </row>
    <row r="366" spans="1:12" x14ac:dyDescent="0.35">
      <c r="A366">
        <v>939</v>
      </c>
      <c r="B366" t="s">
        <v>661</v>
      </c>
      <c r="C366" t="s">
        <v>33</v>
      </c>
      <c r="D366" t="s">
        <v>662</v>
      </c>
      <c r="E366" t="s">
        <v>15</v>
      </c>
      <c r="F366" t="s">
        <v>35</v>
      </c>
      <c r="G366" t="s">
        <v>654</v>
      </c>
      <c r="H366" t="s">
        <v>655</v>
      </c>
      <c r="I366" t="s">
        <v>266</v>
      </c>
      <c r="J366" t="s">
        <v>401</v>
      </c>
      <c r="L366" t="s">
        <v>90</v>
      </c>
    </row>
    <row r="367" spans="1:12" x14ac:dyDescent="0.35">
      <c r="A367">
        <v>992</v>
      </c>
      <c r="B367" s="3" t="s">
        <v>663</v>
      </c>
      <c r="C367" t="s">
        <v>33</v>
      </c>
      <c r="D367" t="s">
        <v>34</v>
      </c>
      <c r="E367" t="s">
        <v>15</v>
      </c>
      <c r="F367" t="s">
        <v>33</v>
      </c>
      <c r="G367" t="s">
        <v>120</v>
      </c>
      <c r="H367" t="s">
        <v>636</v>
      </c>
      <c r="I367" t="s">
        <v>348</v>
      </c>
      <c r="J367" t="s">
        <v>637</v>
      </c>
      <c r="L367" t="s">
        <v>79</v>
      </c>
    </row>
    <row r="368" spans="1:12" x14ac:dyDescent="0.35">
      <c r="A368">
        <v>992</v>
      </c>
      <c r="B368" s="5" t="s">
        <v>664</v>
      </c>
      <c r="C368" t="s">
        <v>33</v>
      </c>
      <c r="D368" t="s">
        <v>108</v>
      </c>
      <c r="E368" t="s">
        <v>15</v>
      </c>
      <c r="F368" t="s">
        <v>35</v>
      </c>
      <c r="G368" t="s">
        <v>120</v>
      </c>
      <c r="H368" t="s">
        <v>636</v>
      </c>
      <c r="I368" t="s">
        <v>348</v>
      </c>
      <c r="J368" t="s">
        <v>637</v>
      </c>
      <c r="L368" t="s">
        <v>79</v>
      </c>
    </row>
    <row r="369" spans="1:12" x14ac:dyDescent="0.35">
      <c r="A369">
        <v>992</v>
      </c>
      <c r="B369" s="23" t="s">
        <v>665</v>
      </c>
      <c r="C369" t="s">
        <v>30</v>
      </c>
      <c r="D369" t="s">
        <v>666</v>
      </c>
      <c r="E369" t="s">
        <v>15</v>
      </c>
      <c r="F369" t="s">
        <v>35</v>
      </c>
      <c r="G369" t="s">
        <v>120</v>
      </c>
      <c r="H369" t="s">
        <v>667</v>
      </c>
      <c r="I369" t="s">
        <v>163</v>
      </c>
      <c r="J369" t="s">
        <v>668</v>
      </c>
      <c r="L369" t="s">
        <v>79</v>
      </c>
    </row>
    <row r="370" spans="1:12" x14ac:dyDescent="0.35">
      <c r="A370">
        <v>1008</v>
      </c>
      <c r="B370" s="20" t="s">
        <v>669</v>
      </c>
      <c r="C370" t="s">
        <v>22</v>
      </c>
      <c r="D370" t="s">
        <v>225</v>
      </c>
      <c r="E370" t="s">
        <v>15</v>
      </c>
      <c r="F370" t="s">
        <v>24</v>
      </c>
      <c r="G370" t="s">
        <v>120</v>
      </c>
      <c r="H370" t="s">
        <v>670</v>
      </c>
      <c r="I370" t="s">
        <v>348</v>
      </c>
      <c r="J370" t="s">
        <v>671</v>
      </c>
      <c r="L370" t="s">
        <v>45</v>
      </c>
    </row>
    <row r="371" spans="1:12" x14ac:dyDescent="0.35">
      <c r="A371">
        <v>1008</v>
      </c>
      <c r="B371" s="3" t="s">
        <v>672</v>
      </c>
      <c r="C371" t="s">
        <v>33</v>
      </c>
      <c r="D371" t="s">
        <v>34</v>
      </c>
      <c r="E371" t="s">
        <v>15</v>
      </c>
      <c r="F371" t="s">
        <v>33</v>
      </c>
      <c r="G371" t="s">
        <v>120</v>
      </c>
      <c r="H371" t="s">
        <v>670</v>
      </c>
      <c r="I371" t="s">
        <v>348</v>
      </c>
      <c r="J371" t="s">
        <v>671</v>
      </c>
      <c r="L371" t="s">
        <v>45</v>
      </c>
    </row>
    <row r="372" spans="1:12" x14ac:dyDescent="0.35">
      <c r="A372">
        <v>1008</v>
      </c>
      <c r="B372" s="2" t="s">
        <v>673</v>
      </c>
      <c r="C372" t="s">
        <v>33</v>
      </c>
      <c r="D372" t="s">
        <v>38</v>
      </c>
      <c r="E372" t="s">
        <v>15</v>
      </c>
      <c r="F372" t="s">
        <v>35</v>
      </c>
      <c r="G372" t="s">
        <v>120</v>
      </c>
      <c r="H372" t="s">
        <v>670</v>
      </c>
      <c r="I372" t="s">
        <v>348</v>
      </c>
      <c r="J372" t="s">
        <v>671</v>
      </c>
      <c r="L372" t="s">
        <v>45</v>
      </c>
    </row>
    <row r="373" spans="1:12" x14ac:dyDescent="0.35">
      <c r="A373">
        <v>1008</v>
      </c>
      <c r="B373" s="3" t="s">
        <v>674</v>
      </c>
      <c r="C373" t="s">
        <v>33</v>
      </c>
      <c r="D373" t="s">
        <v>353</v>
      </c>
      <c r="E373" t="s">
        <v>15</v>
      </c>
      <c r="F373" t="s">
        <v>35</v>
      </c>
      <c r="G373" t="s">
        <v>120</v>
      </c>
      <c r="H373" t="s">
        <v>670</v>
      </c>
      <c r="I373" t="s">
        <v>348</v>
      </c>
      <c r="J373" t="s">
        <v>671</v>
      </c>
      <c r="L373" t="s">
        <v>45</v>
      </c>
    </row>
    <row r="374" spans="1:12" x14ac:dyDescent="0.35">
      <c r="A374">
        <v>1008</v>
      </c>
      <c r="B374" s="5" t="s">
        <v>675</v>
      </c>
      <c r="C374" t="s">
        <v>33</v>
      </c>
      <c r="D374" t="s">
        <v>676</v>
      </c>
      <c r="E374" t="s">
        <v>15</v>
      </c>
      <c r="F374" t="s">
        <v>35</v>
      </c>
      <c r="G374" t="s">
        <v>120</v>
      </c>
      <c r="H374" t="s">
        <v>670</v>
      </c>
      <c r="I374" t="s">
        <v>348</v>
      </c>
      <c r="J374" t="s">
        <v>671</v>
      </c>
      <c r="L374" t="s">
        <v>45</v>
      </c>
    </row>
    <row r="375" spans="1:12" x14ac:dyDescent="0.35">
      <c r="A375">
        <v>1008</v>
      </c>
      <c r="B375" s="4" t="s">
        <v>677</v>
      </c>
      <c r="C375" t="s">
        <v>30</v>
      </c>
      <c r="D375" t="s">
        <v>34</v>
      </c>
      <c r="E375" t="s">
        <v>15</v>
      </c>
      <c r="F375" t="s">
        <v>35</v>
      </c>
      <c r="G375" t="s">
        <v>120</v>
      </c>
      <c r="H375" t="s">
        <v>670</v>
      </c>
      <c r="I375" t="s">
        <v>348</v>
      </c>
      <c r="J375" t="s">
        <v>103</v>
      </c>
      <c r="L375" t="s">
        <v>45</v>
      </c>
    </row>
    <row r="376" spans="1:12" x14ac:dyDescent="0.35">
      <c r="A376">
        <v>98</v>
      </c>
      <c r="B376" s="5" t="s">
        <v>678</v>
      </c>
      <c r="C376" t="s">
        <v>33</v>
      </c>
      <c r="D376" t="s">
        <v>679</v>
      </c>
      <c r="E376" t="s">
        <v>15</v>
      </c>
      <c r="F376" t="s">
        <v>35</v>
      </c>
      <c r="G376" t="s">
        <v>120</v>
      </c>
      <c r="H376" t="s">
        <v>318</v>
      </c>
      <c r="J376" t="s">
        <v>680</v>
      </c>
      <c r="L376" t="s">
        <v>28</v>
      </c>
    </row>
    <row r="377" spans="1:12" x14ac:dyDescent="0.35">
      <c r="A377">
        <v>98</v>
      </c>
      <c r="B377" s="4" t="s">
        <v>681</v>
      </c>
      <c r="C377" t="s">
        <v>33</v>
      </c>
      <c r="D377" t="s">
        <v>38</v>
      </c>
      <c r="E377" t="s">
        <v>15</v>
      </c>
      <c r="F377" t="s">
        <v>35</v>
      </c>
      <c r="G377" t="s">
        <v>120</v>
      </c>
      <c r="H377" t="s">
        <v>318</v>
      </c>
      <c r="J377" t="s">
        <v>680</v>
      </c>
      <c r="L377" t="s">
        <v>28</v>
      </c>
    </row>
    <row r="378" spans="1:12" x14ac:dyDescent="0.35">
      <c r="A378">
        <v>98</v>
      </c>
      <c r="B378" s="2" t="s">
        <v>220</v>
      </c>
      <c r="C378" t="s">
        <v>33</v>
      </c>
      <c r="D378" t="s">
        <v>38</v>
      </c>
      <c r="E378" t="s">
        <v>15</v>
      </c>
      <c r="F378" t="s">
        <v>35</v>
      </c>
      <c r="G378" t="s">
        <v>120</v>
      </c>
      <c r="H378" t="s">
        <v>318</v>
      </c>
      <c r="J378" t="s">
        <v>680</v>
      </c>
      <c r="L378" t="s">
        <v>28</v>
      </c>
    </row>
    <row r="379" spans="1:12" x14ac:dyDescent="0.35">
      <c r="A379">
        <v>98</v>
      </c>
      <c r="B379" t="s">
        <v>682</v>
      </c>
      <c r="C379" t="s">
        <v>22</v>
      </c>
      <c r="D379" t="s">
        <v>38</v>
      </c>
      <c r="E379" t="s">
        <v>15</v>
      </c>
      <c r="F379" t="s">
        <v>35</v>
      </c>
      <c r="G379" t="s">
        <v>120</v>
      </c>
      <c r="H379" t="s">
        <v>318</v>
      </c>
      <c r="J379" t="s">
        <v>680</v>
      </c>
      <c r="L379" t="s">
        <v>28</v>
      </c>
    </row>
    <row r="380" spans="1:12" x14ac:dyDescent="0.35">
      <c r="A380">
        <v>98</v>
      </c>
      <c r="B380" s="12" t="s">
        <v>683</v>
      </c>
      <c r="C380" t="s">
        <v>30</v>
      </c>
      <c r="D380" t="s">
        <v>684</v>
      </c>
      <c r="E380" t="s">
        <v>15</v>
      </c>
      <c r="F380" t="s">
        <v>685</v>
      </c>
      <c r="G380" t="s">
        <v>120</v>
      </c>
      <c r="H380" t="s">
        <v>318</v>
      </c>
      <c r="J380" t="s">
        <v>680</v>
      </c>
      <c r="K380" t="s">
        <v>686</v>
      </c>
      <c r="L380" t="s">
        <v>28</v>
      </c>
    </row>
    <row r="381" spans="1:12" x14ac:dyDescent="0.35">
      <c r="A381">
        <v>98</v>
      </c>
      <c r="B381" s="7" t="s">
        <v>687</v>
      </c>
      <c r="C381" t="s">
        <v>33</v>
      </c>
      <c r="D381" t="s">
        <v>688</v>
      </c>
      <c r="E381" t="s">
        <v>15</v>
      </c>
      <c r="F381" t="s">
        <v>685</v>
      </c>
      <c r="G381" t="s">
        <v>120</v>
      </c>
      <c r="H381" t="s">
        <v>318</v>
      </c>
      <c r="J381" t="s">
        <v>680</v>
      </c>
      <c r="K381" t="s">
        <v>686</v>
      </c>
      <c r="L381" t="s">
        <v>28</v>
      </c>
    </row>
    <row r="382" spans="1:12" x14ac:dyDescent="0.35">
      <c r="A382">
        <v>98</v>
      </c>
      <c r="B382" s="7" t="s">
        <v>689</v>
      </c>
      <c r="C382" t="s">
        <v>33</v>
      </c>
      <c r="D382" t="s">
        <v>688</v>
      </c>
      <c r="E382" t="s">
        <v>15</v>
      </c>
      <c r="F382" t="s">
        <v>685</v>
      </c>
      <c r="G382" t="s">
        <v>120</v>
      </c>
      <c r="H382" t="s">
        <v>318</v>
      </c>
      <c r="J382" t="s">
        <v>680</v>
      </c>
      <c r="K382" t="s">
        <v>686</v>
      </c>
      <c r="L382" t="s">
        <v>28</v>
      </c>
    </row>
    <row r="383" spans="1:12" x14ac:dyDescent="0.35">
      <c r="A383">
        <v>98</v>
      </c>
      <c r="B383" s="7" t="s">
        <v>690</v>
      </c>
      <c r="C383" t="s">
        <v>33</v>
      </c>
      <c r="D383" t="s">
        <v>647</v>
      </c>
      <c r="E383" t="s">
        <v>15</v>
      </c>
      <c r="F383" t="s">
        <v>685</v>
      </c>
      <c r="G383" t="s">
        <v>120</v>
      </c>
      <c r="H383" t="s">
        <v>318</v>
      </c>
      <c r="J383" t="s">
        <v>680</v>
      </c>
      <c r="K383" t="s">
        <v>686</v>
      </c>
      <c r="L383" t="s">
        <v>28</v>
      </c>
    </row>
    <row r="384" spans="1:12" x14ac:dyDescent="0.35">
      <c r="A384">
        <v>98</v>
      </c>
      <c r="B384" s="7" t="s">
        <v>691</v>
      </c>
      <c r="C384" t="s">
        <v>33</v>
      </c>
      <c r="D384" t="s">
        <v>688</v>
      </c>
      <c r="E384" t="s">
        <v>15</v>
      </c>
      <c r="F384" t="s">
        <v>685</v>
      </c>
      <c r="G384" t="s">
        <v>120</v>
      </c>
      <c r="H384" t="s">
        <v>318</v>
      </c>
      <c r="J384" t="s">
        <v>680</v>
      </c>
      <c r="K384" t="s">
        <v>686</v>
      </c>
      <c r="L384" t="s">
        <v>28</v>
      </c>
    </row>
    <row r="385" spans="1:12" x14ac:dyDescent="0.35">
      <c r="A385">
        <v>98</v>
      </c>
      <c r="B385" s="25" t="s">
        <v>692</v>
      </c>
      <c r="C385" t="s">
        <v>30</v>
      </c>
      <c r="D385" t="s">
        <v>647</v>
      </c>
      <c r="E385" t="s">
        <v>15</v>
      </c>
      <c r="F385" t="s">
        <v>685</v>
      </c>
      <c r="G385" t="s">
        <v>120</v>
      </c>
      <c r="H385" t="s">
        <v>318</v>
      </c>
      <c r="J385" t="s">
        <v>693</v>
      </c>
      <c r="K385" t="s">
        <v>686</v>
      </c>
      <c r="L385" t="s">
        <v>28</v>
      </c>
    </row>
    <row r="386" spans="1:12" x14ac:dyDescent="0.35">
      <c r="A386">
        <v>98</v>
      </c>
      <c r="B386" s="7" t="s">
        <v>694</v>
      </c>
      <c r="C386" t="s">
        <v>33</v>
      </c>
      <c r="D386" t="s">
        <v>688</v>
      </c>
      <c r="E386" t="s">
        <v>15</v>
      </c>
      <c r="F386" t="s">
        <v>685</v>
      </c>
      <c r="G386" t="s">
        <v>120</v>
      </c>
      <c r="H386" t="s">
        <v>318</v>
      </c>
      <c r="J386" t="s">
        <v>693</v>
      </c>
      <c r="K386" t="s">
        <v>686</v>
      </c>
      <c r="L386" t="s">
        <v>28</v>
      </c>
    </row>
    <row r="387" spans="1:12" x14ac:dyDescent="0.35">
      <c r="A387">
        <v>98</v>
      </c>
      <c r="B387" s="25" t="s">
        <v>695</v>
      </c>
      <c r="C387" t="s">
        <v>30</v>
      </c>
      <c r="D387" t="s">
        <v>647</v>
      </c>
      <c r="E387" t="s">
        <v>15</v>
      </c>
      <c r="F387" t="s">
        <v>685</v>
      </c>
      <c r="G387" t="s">
        <v>120</v>
      </c>
      <c r="H387" t="s">
        <v>318</v>
      </c>
      <c r="J387" t="s">
        <v>693</v>
      </c>
      <c r="K387" t="s">
        <v>686</v>
      </c>
      <c r="L387" t="s">
        <v>28</v>
      </c>
    </row>
    <row r="388" spans="1:12" x14ac:dyDescent="0.35">
      <c r="A388">
        <v>273</v>
      </c>
      <c r="B388" s="16" t="s">
        <v>91</v>
      </c>
      <c r="C388" t="s">
        <v>22</v>
      </c>
      <c r="D388" t="s">
        <v>23</v>
      </c>
      <c r="E388" t="s">
        <v>15</v>
      </c>
      <c r="F388" t="s">
        <v>22</v>
      </c>
      <c r="G388" t="s">
        <v>654</v>
      </c>
      <c r="H388" t="s">
        <v>696</v>
      </c>
      <c r="I388" t="s">
        <v>348</v>
      </c>
      <c r="J388" t="s">
        <v>697</v>
      </c>
      <c r="L388" t="s">
        <v>174</v>
      </c>
    </row>
    <row r="389" spans="1:12" x14ac:dyDescent="0.35">
      <c r="A389">
        <v>273</v>
      </c>
      <c r="B389" s="17" t="s">
        <v>698</v>
      </c>
      <c r="C389" t="s">
        <v>22</v>
      </c>
      <c r="D389" t="s">
        <v>699</v>
      </c>
      <c r="E389" t="s">
        <v>15</v>
      </c>
      <c r="F389" t="s">
        <v>22</v>
      </c>
      <c r="G389" t="s">
        <v>654</v>
      </c>
      <c r="H389" t="s">
        <v>696</v>
      </c>
      <c r="I389" t="s">
        <v>348</v>
      </c>
      <c r="J389" t="s">
        <v>697</v>
      </c>
      <c r="L389" t="s">
        <v>174</v>
      </c>
    </row>
    <row r="390" spans="1:12" x14ac:dyDescent="0.35">
      <c r="A390">
        <v>273</v>
      </c>
      <c r="B390" t="s">
        <v>700</v>
      </c>
      <c r="C390" t="s">
        <v>22</v>
      </c>
      <c r="D390" t="s">
        <v>112</v>
      </c>
      <c r="E390" t="s">
        <v>15</v>
      </c>
      <c r="F390" t="s">
        <v>22</v>
      </c>
      <c r="G390" t="s">
        <v>654</v>
      </c>
      <c r="H390" t="s">
        <v>696</v>
      </c>
      <c r="I390" t="s">
        <v>348</v>
      </c>
      <c r="J390" t="s">
        <v>697</v>
      </c>
      <c r="L390" t="s">
        <v>174</v>
      </c>
    </row>
    <row r="391" spans="1:12" x14ac:dyDescent="0.35">
      <c r="A391">
        <v>273</v>
      </c>
      <c r="B391" s="20" t="s">
        <v>388</v>
      </c>
      <c r="C391" t="s">
        <v>22</v>
      </c>
      <c r="D391" t="s">
        <v>225</v>
      </c>
      <c r="E391" t="s">
        <v>15</v>
      </c>
      <c r="F391" t="s">
        <v>24</v>
      </c>
      <c r="G391" t="s">
        <v>654</v>
      </c>
      <c r="H391" t="s">
        <v>696</v>
      </c>
      <c r="I391" t="s">
        <v>348</v>
      </c>
      <c r="J391" t="s">
        <v>701</v>
      </c>
      <c r="L391" t="s">
        <v>174</v>
      </c>
    </row>
    <row r="392" spans="1:12" x14ac:dyDescent="0.35">
      <c r="A392">
        <v>273</v>
      </c>
      <c r="B392" s="17" t="s">
        <v>702</v>
      </c>
      <c r="C392" t="s">
        <v>22</v>
      </c>
      <c r="D392" t="s">
        <v>703</v>
      </c>
      <c r="E392" t="s">
        <v>15</v>
      </c>
      <c r="F392" t="s">
        <v>22</v>
      </c>
      <c r="G392" t="s">
        <v>654</v>
      </c>
      <c r="H392" t="s">
        <v>696</v>
      </c>
      <c r="I392" t="s">
        <v>348</v>
      </c>
      <c r="J392" t="s">
        <v>704</v>
      </c>
      <c r="L392" t="s">
        <v>174</v>
      </c>
    </row>
    <row r="393" spans="1:12" x14ac:dyDescent="0.35">
      <c r="A393">
        <v>273</v>
      </c>
      <c r="B393" s="5" t="s">
        <v>705</v>
      </c>
      <c r="C393" t="s">
        <v>33</v>
      </c>
      <c r="D393" t="s">
        <v>706</v>
      </c>
      <c r="E393" t="s">
        <v>15</v>
      </c>
      <c r="F393" t="s">
        <v>33</v>
      </c>
      <c r="G393" t="s">
        <v>654</v>
      </c>
      <c r="H393" t="s">
        <v>696</v>
      </c>
      <c r="I393" t="s">
        <v>348</v>
      </c>
      <c r="J393" t="s">
        <v>704</v>
      </c>
      <c r="L393" t="s">
        <v>174</v>
      </c>
    </row>
    <row r="394" spans="1:12" x14ac:dyDescent="0.35">
      <c r="A394">
        <v>273</v>
      </c>
      <c r="B394" s="15" t="s">
        <v>707</v>
      </c>
      <c r="C394" t="s">
        <v>49</v>
      </c>
      <c r="D394" t="s">
        <v>34</v>
      </c>
      <c r="E394" t="s">
        <v>15</v>
      </c>
      <c r="F394" t="s">
        <v>33</v>
      </c>
      <c r="G394" t="s">
        <v>654</v>
      </c>
      <c r="H394" t="s">
        <v>696</v>
      </c>
      <c r="I394" t="s">
        <v>348</v>
      </c>
      <c r="J394" t="s">
        <v>704</v>
      </c>
      <c r="L394" t="s">
        <v>174</v>
      </c>
    </row>
    <row r="395" spans="1:12" x14ac:dyDescent="0.35">
      <c r="A395">
        <v>273</v>
      </c>
      <c r="B395" s="15" t="s">
        <v>708</v>
      </c>
      <c r="C395" t="s">
        <v>49</v>
      </c>
      <c r="D395" t="s">
        <v>709</v>
      </c>
      <c r="E395" t="s">
        <v>15</v>
      </c>
      <c r="F395" t="s">
        <v>33</v>
      </c>
      <c r="G395" t="s">
        <v>382</v>
      </c>
      <c r="H395" t="s">
        <v>696</v>
      </c>
      <c r="I395" t="s">
        <v>348</v>
      </c>
      <c r="J395" t="s">
        <v>704</v>
      </c>
      <c r="L395" t="s">
        <v>174</v>
      </c>
    </row>
    <row r="396" spans="1:12" x14ac:dyDescent="0.35">
      <c r="A396">
        <v>273</v>
      </c>
      <c r="B396" s="8" t="s">
        <v>710</v>
      </c>
      <c r="C396" t="s">
        <v>33</v>
      </c>
      <c r="D396" t="s">
        <v>481</v>
      </c>
      <c r="E396" t="s">
        <v>15</v>
      </c>
      <c r="F396" t="s">
        <v>33</v>
      </c>
      <c r="G396" t="s">
        <v>382</v>
      </c>
      <c r="H396" t="s">
        <v>696</v>
      </c>
      <c r="I396" t="s">
        <v>348</v>
      </c>
      <c r="J396" t="s">
        <v>711</v>
      </c>
      <c r="K396" t="s">
        <v>712</v>
      </c>
      <c r="L396" t="s">
        <v>174</v>
      </c>
    </row>
    <row r="397" spans="1:12" x14ac:dyDescent="0.35">
      <c r="A397">
        <v>275</v>
      </c>
      <c r="B397" s="23" t="s">
        <v>713</v>
      </c>
      <c r="C397" t="s">
        <v>30</v>
      </c>
      <c r="D397" t="s">
        <v>714</v>
      </c>
      <c r="E397" t="s">
        <v>15</v>
      </c>
      <c r="F397" t="s">
        <v>35</v>
      </c>
      <c r="G397" t="s">
        <v>120</v>
      </c>
      <c r="H397" t="s">
        <v>390</v>
      </c>
      <c r="I397" t="s">
        <v>163</v>
      </c>
      <c r="J397" t="s">
        <v>715</v>
      </c>
      <c r="L397" t="s">
        <v>28</v>
      </c>
    </row>
    <row r="398" spans="1:12" x14ac:dyDescent="0.35">
      <c r="A398">
        <v>275</v>
      </c>
      <c r="B398" s="23" t="s">
        <v>716</v>
      </c>
      <c r="C398" t="s">
        <v>30</v>
      </c>
      <c r="D398" t="s">
        <v>34</v>
      </c>
      <c r="E398" t="s">
        <v>15</v>
      </c>
      <c r="F398" t="s">
        <v>35</v>
      </c>
      <c r="G398" t="s">
        <v>120</v>
      </c>
      <c r="H398" t="s">
        <v>390</v>
      </c>
      <c r="I398" t="s">
        <v>163</v>
      </c>
      <c r="J398" t="s">
        <v>715</v>
      </c>
      <c r="L398" t="s">
        <v>28</v>
      </c>
    </row>
    <row r="399" spans="1:12" x14ac:dyDescent="0.35">
      <c r="A399">
        <v>275</v>
      </c>
      <c r="B399" s="23" t="s">
        <v>717</v>
      </c>
      <c r="C399" t="s">
        <v>30</v>
      </c>
      <c r="D399" t="s">
        <v>34</v>
      </c>
      <c r="E399" t="s">
        <v>15</v>
      </c>
      <c r="F399" t="s">
        <v>35</v>
      </c>
      <c r="G399" t="s">
        <v>120</v>
      </c>
      <c r="H399" t="s">
        <v>390</v>
      </c>
      <c r="I399" t="s">
        <v>163</v>
      </c>
      <c r="J399" t="s">
        <v>715</v>
      </c>
      <c r="L399" t="s">
        <v>28</v>
      </c>
    </row>
    <row r="400" spans="1:12" x14ac:dyDescent="0.35">
      <c r="A400">
        <v>275</v>
      </c>
      <c r="B400" s="23" t="s">
        <v>718</v>
      </c>
      <c r="C400" t="s">
        <v>30</v>
      </c>
      <c r="D400" t="s">
        <v>34</v>
      </c>
      <c r="E400" t="s">
        <v>15</v>
      </c>
      <c r="F400" t="s">
        <v>35</v>
      </c>
      <c r="G400" t="s">
        <v>120</v>
      </c>
      <c r="H400" t="s">
        <v>390</v>
      </c>
      <c r="I400" t="s">
        <v>163</v>
      </c>
      <c r="J400" t="s">
        <v>715</v>
      </c>
      <c r="L400" t="s">
        <v>28</v>
      </c>
    </row>
    <row r="401" spans="1:12" x14ac:dyDescent="0.35">
      <c r="A401">
        <v>275</v>
      </c>
      <c r="B401" s="2" t="s">
        <v>719</v>
      </c>
      <c r="C401" t="s">
        <v>33</v>
      </c>
      <c r="D401" t="s">
        <v>38</v>
      </c>
      <c r="E401" t="s">
        <v>15</v>
      </c>
      <c r="F401" t="s">
        <v>33</v>
      </c>
      <c r="G401" t="s">
        <v>120</v>
      </c>
      <c r="H401" t="s">
        <v>390</v>
      </c>
      <c r="I401" t="s">
        <v>266</v>
      </c>
      <c r="J401" t="s">
        <v>720</v>
      </c>
      <c r="L401" t="s">
        <v>28</v>
      </c>
    </row>
    <row r="402" spans="1:12" x14ac:dyDescent="0.35">
      <c r="A402">
        <v>275</v>
      </c>
      <c r="B402" s="4" t="s">
        <v>721</v>
      </c>
      <c r="C402" t="s">
        <v>33</v>
      </c>
      <c r="D402" t="s">
        <v>157</v>
      </c>
      <c r="E402" t="s">
        <v>15</v>
      </c>
      <c r="F402" t="s">
        <v>33</v>
      </c>
      <c r="G402" t="s">
        <v>120</v>
      </c>
      <c r="H402" t="s">
        <v>390</v>
      </c>
      <c r="I402" t="s">
        <v>266</v>
      </c>
      <c r="J402" t="s">
        <v>720</v>
      </c>
      <c r="L402" t="s">
        <v>28</v>
      </c>
    </row>
    <row r="403" spans="1:12" x14ac:dyDescent="0.35">
      <c r="A403">
        <v>275</v>
      </c>
      <c r="B403" s="4" t="s">
        <v>722</v>
      </c>
      <c r="C403" t="s">
        <v>33</v>
      </c>
      <c r="D403" t="s">
        <v>157</v>
      </c>
      <c r="E403" t="s">
        <v>15</v>
      </c>
      <c r="F403" t="s">
        <v>33</v>
      </c>
      <c r="G403" t="s">
        <v>120</v>
      </c>
      <c r="H403" t="s">
        <v>390</v>
      </c>
      <c r="I403" t="s">
        <v>266</v>
      </c>
      <c r="J403" t="s">
        <v>693</v>
      </c>
      <c r="L403" t="s">
        <v>28</v>
      </c>
    </row>
    <row r="404" spans="1:12" x14ac:dyDescent="0.35">
      <c r="A404">
        <v>275</v>
      </c>
      <c r="B404" s="7" t="s">
        <v>198</v>
      </c>
      <c r="C404" t="s">
        <v>30</v>
      </c>
      <c r="D404" t="s">
        <v>723</v>
      </c>
      <c r="E404" t="s">
        <v>15</v>
      </c>
      <c r="F404" t="s">
        <v>35</v>
      </c>
      <c r="G404" t="s">
        <v>120</v>
      </c>
      <c r="H404" t="s">
        <v>390</v>
      </c>
      <c r="I404" t="s">
        <v>163</v>
      </c>
      <c r="J404" t="s">
        <v>693</v>
      </c>
      <c r="L404" t="s">
        <v>28</v>
      </c>
    </row>
    <row r="405" spans="1:12" x14ac:dyDescent="0.35">
      <c r="A405">
        <v>275</v>
      </c>
      <c r="B405" s="7" t="s">
        <v>724</v>
      </c>
      <c r="C405" t="s">
        <v>30</v>
      </c>
      <c r="D405" t="s">
        <v>725</v>
      </c>
      <c r="E405" t="s">
        <v>15</v>
      </c>
      <c r="F405" t="s">
        <v>35</v>
      </c>
      <c r="G405" t="s">
        <v>120</v>
      </c>
      <c r="H405" t="s">
        <v>390</v>
      </c>
      <c r="I405" t="s">
        <v>163</v>
      </c>
      <c r="J405" t="s">
        <v>726</v>
      </c>
      <c r="L405" t="s">
        <v>28</v>
      </c>
    </row>
    <row r="406" spans="1:12" x14ac:dyDescent="0.35">
      <c r="A406">
        <v>275</v>
      </c>
      <c r="B406" s="7" t="s">
        <v>727</v>
      </c>
      <c r="C406" t="s">
        <v>30</v>
      </c>
      <c r="D406" t="s">
        <v>725</v>
      </c>
      <c r="E406" t="s">
        <v>15</v>
      </c>
      <c r="F406" t="s">
        <v>35</v>
      </c>
      <c r="G406" t="s">
        <v>120</v>
      </c>
      <c r="H406" t="s">
        <v>457</v>
      </c>
      <c r="I406" t="s">
        <v>386</v>
      </c>
      <c r="J406" t="s">
        <v>728</v>
      </c>
      <c r="L406" t="s">
        <v>28</v>
      </c>
    </row>
    <row r="407" spans="1:12" x14ac:dyDescent="0.35">
      <c r="A407">
        <v>275</v>
      </c>
      <c r="B407" s="23" t="s">
        <v>729</v>
      </c>
      <c r="C407" t="s">
        <v>30</v>
      </c>
      <c r="D407" t="s">
        <v>34</v>
      </c>
      <c r="E407" t="s">
        <v>15</v>
      </c>
      <c r="F407" t="s">
        <v>35</v>
      </c>
      <c r="G407" t="s">
        <v>120</v>
      </c>
      <c r="H407" t="s">
        <v>390</v>
      </c>
      <c r="I407" t="s">
        <v>163</v>
      </c>
      <c r="J407" t="s">
        <v>693</v>
      </c>
      <c r="L407" t="s">
        <v>28</v>
      </c>
    </row>
    <row r="408" spans="1:12" x14ac:dyDescent="0.35">
      <c r="A408">
        <v>275</v>
      </c>
      <c r="B408" s="23" t="s">
        <v>730</v>
      </c>
      <c r="C408" t="s">
        <v>30</v>
      </c>
      <c r="D408" t="s">
        <v>660</v>
      </c>
      <c r="E408" t="s">
        <v>15</v>
      </c>
      <c r="F408" t="s">
        <v>35</v>
      </c>
      <c r="G408" t="s">
        <v>120</v>
      </c>
      <c r="H408" t="s">
        <v>390</v>
      </c>
      <c r="I408" t="s">
        <v>163</v>
      </c>
      <c r="J408" t="s">
        <v>693</v>
      </c>
      <c r="L408" t="s">
        <v>28</v>
      </c>
    </row>
    <row r="409" spans="1:12" x14ac:dyDescent="0.35">
      <c r="A409">
        <v>218</v>
      </c>
      <c r="B409" s="16" t="s">
        <v>731</v>
      </c>
      <c r="C409" t="s">
        <v>22</v>
      </c>
      <c r="D409" t="s">
        <v>732</v>
      </c>
      <c r="E409" t="s">
        <v>15</v>
      </c>
      <c r="F409" t="s">
        <v>22</v>
      </c>
      <c r="G409" t="s">
        <v>362</v>
      </c>
      <c r="H409" t="s">
        <v>667</v>
      </c>
      <c r="J409" t="s">
        <v>733</v>
      </c>
      <c r="L409" t="s">
        <v>45</v>
      </c>
    </row>
    <row r="410" spans="1:12" x14ac:dyDescent="0.35">
      <c r="A410">
        <v>218</v>
      </c>
      <c r="B410" s="15" t="s">
        <v>734</v>
      </c>
      <c r="C410" t="s">
        <v>49</v>
      </c>
      <c r="D410" t="s">
        <v>735</v>
      </c>
      <c r="E410" t="s">
        <v>15</v>
      </c>
      <c r="F410" t="s">
        <v>33</v>
      </c>
      <c r="G410" t="s">
        <v>362</v>
      </c>
      <c r="H410" t="s">
        <v>667</v>
      </c>
      <c r="J410" t="s">
        <v>733</v>
      </c>
      <c r="L410" t="s">
        <v>45</v>
      </c>
    </row>
    <row r="411" spans="1:12" x14ac:dyDescent="0.35">
      <c r="A411">
        <v>218</v>
      </c>
      <c r="B411" s="15" t="s">
        <v>736</v>
      </c>
      <c r="C411" t="s">
        <v>30</v>
      </c>
      <c r="D411" t="s">
        <v>737</v>
      </c>
      <c r="E411" t="s">
        <v>15</v>
      </c>
      <c r="F411" t="s">
        <v>738</v>
      </c>
      <c r="G411" t="s">
        <v>362</v>
      </c>
      <c r="H411" t="s">
        <v>667</v>
      </c>
      <c r="J411" t="s">
        <v>733</v>
      </c>
      <c r="K411" t="s">
        <v>739</v>
      </c>
      <c r="L411" t="s">
        <v>45</v>
      </c>
    </row>
    <row r="412" spans="1:12" x14ac:dyDescent="0.35">
      <c r="A412">
        <v>218</v>
      </c>
      <c r="B412" s="15" t="s">
        <v>740</v>
      </c>
      <c r="C412" t="s">
        <v>30</v>
      </c>
      <c r="D412" t="s">
        <v>741</v>
      </c>
      <c r="E412" t="s">
        <v>15</v>
      </c>
      <c r="F412" t="s">
        <v>738</v>
      </c>
      <c r="G412" t="s">
        <v>742</v>
      </c>
      <c r="H412" t="s">
        <v>667</v>
      </c>
      <c r="J412" t="s">
        <v>733</v>
      </c>
      <c r="K412" t="s">
        <v>739</v>
      </c>
      <c r="L412" t="s">
        <v>45</v>
      </c>
    </row>
    <row r="413" spans="1:12" x14ac:dyDescent="0.35">
      <c r="A413">
        <v>218</v>
      </c>
      <c r="B413" s="15" t="s">
        <v>743</v>
      </c>
      <c r="C413" t="s">
        <v>30</v>
      </c>
      <c r="D413" t="s">
        <v>744</v>
      </c>
      <c r="E413" t="s">
        <v>15</v>
      </c>
      <c r="F413" t="s">
        <v>738</v>
      </c>
      <c r="G413" t="s">
        <v>742</v>
      </c>
      <c r="H413" t="s">
        <v>667</v>
      </c>
      <c r="J413" t="s">
        <v>733</v>
      </c>
      <c r="K413" t="s">
        <v>739</v>
      </c>
      <c r="L413" t="s">
        <v>45</v>
      </c>
    </row>
    <row r="414" spans="1:12" x14ac:dyDescent="0.35">
      <c r="A414">
        <v>218</v>
      </c>
      <c r="B414" s="15" t="s">
        <v>745</v>
      </c>
      <c r="C414" t="s">
        <v>30</v>
      </c>
      <c r="D414" t="s">
        <v>746</v>
      </c>
      <c r="E414" t="s">
        <v>15</v>
      </c>
      <c r="F414" t="s">
        <v>738</v>
      </c>
      <c r="G414" t="s">
        <v>742</v>
      </c>
      <c r="H414" t="s">
        <v>667</v>
      </c>
      <c r="J414" t="s">
        <v>733</v>
      </c>
      <c r="K414" t="s">
        <v>739</v>
      </c>
      <c r="L414" t="s">
        <v>45</v>
      </c>
    </row>
    <row r="415" spans="1:12" x14ac:dyDescent="0.35">
      <c r="A415">
        <v>218</v>
      </c>
      <c r="B415" s="17" t="s">
        <v>747</v>
      </c>
      <c r="C415" t="s">
        <v>22</v>
      </c>
      <c r="D415" t="s">
        <v>748</v>
      </c>
      <c r="E415" t="s">
        <v>15</v>
      </c>
      <c r="F415" t="s">
        <v>738</v>
      </c>
      <c r="G415" t="s">
        <v>742</v>
      </c>
      <c r="H415" t="s">
        <v>667</v>
      </c>
      <c r="J415" t="s">
        <v>733</v>
      </c>
      <c r="K415" t="s">
        <v>739</v>
      </c>
      <c r="L415" t="s">
        <v>45</v>
      </c>
    </row>
    <row r="416" spans="1:12" x14ac:dyDescent="0.35">
      <c r="A416">
        <v>218</v>
      </c>
      <c r="B416" s="15" t="s">
        <v>749</v>
      </c>
      <c r="C416" t="s">
        <v>30</v>
      </c>
      <c r="D416" t="s">
        <v>750</v>
      </c>
      <c r="E416" t="s">
        <v>15</v>
      </c>
      <c r="F416" t="s">
        <v>685</v>
      </c>
      <c r="G416" t="s">
        <v>751</v>
      </c>
      <c r="H416" t="s">
        <v>667</v>
      </c>
      <c r="J416" t="s">
        <v>733</v>
      </c>
      <c r="K416" t="s">
        <v>739</v>
      </c>
      <c r="L416" t="s">
        <v>45</v>
      </c>
    </row>
    <row r="417" spans="1:12" x14ac:dyDescent="0.35">
      <c r="A417">
        <v>220</v>
      </c>
      <c r="B417" s="3" t="s">
        <v>752</v>
      </c>
      <c r="C417" t="s">
        <v>33</v>
      </c>
      <c r="E417" t="s">
        <v>15</v>
      </c>
      <c r="F417" t="s">
        <v>33</v>
      </c>
      <c r="G417" t="s">
        <v>16</v>
      </c>
      <c r="H417" t="s">
        <v>457</v>
      </c>
      <c r="J417" t="s">
        <v>753</v>
      </c>
      <c r="L417" t="s">
        <v>174</v>
      </c>
    </row>
    <row r="418" spans="1:12" x14ac:dyDescent="0.35">
      <c r="A418">
        <v>314</v>
      </c>
      <c r="B418" s="2" t="s">
        <v>290</v>
      </c>
      <c r="C418" t="s">
        <v>33</v>
      </c>
      <c r="D418" t="s">
        <v>205</v>
      </c>
      <c r="E418" t="s">
        <v>15</v>
      </c>
      <c r="F418" t="s">
        <v>33</v>
      </c>
      <c r="G418" t="s">
        <v>120</v>
      </c>
      <c r="H418" t="s">
        <v>754</v>
      </c>
      <c r="J418" t="s">
        <v>225</v>
      </c>
      <c r="K418" t="s">
        <v>755</v>
      </c>
      <c r="L418" t="s">
        <v>28</v>
      </c>
    </row>
    <row r="419" spans="1:12" x14ac:dyDescent="0.35">
      <c r="A419">
        <v>314</v>
      </c>
      <c r="B419" s="3" t="s">
        <v>76</v>
      </c>
      <c r="C419" t="s">
        <v>33</v>
      </c>
      <c r="D419" t="s">
        <v>34</v>
      </c>
      <c r="E419" t="s">
        <v>15</v>
      </c>
      <c r="F419" t="s">
        <v>33</v>
      </c>
      <c r="G419" t="s">
        <v>120</v>
      </c>
      <c r="H419" t="s">
        <v>754</v>
      </c>
      <c r="J419" t="s">
        <v>225</v>
      </c>
      <c r="K419" t="s">
        <v>756</v>
      </c>
      <c r="L419" t="s">
        <v>28</v>
      </c>
    </row>
    <row r="420" spans="1:12" x14ac:dyDescent="0.35">
      <c r="A420">
        <v>752</v>
      </c>
      <c r="B420" s="15" t="s">
        <v>757</v>
      </c>
      <c r="C420" t="s">
        <v>30</v>
      </c>
      <c r="D420" t="s">
        <v>34</v>
      </c>
      <c r="E420" t="s">
        <v>15</v>
      </c>
      <c r="F420" t="s">
        <v>35</v>
      </c>
      <c r="G420" t="s">
        <v>63</v>
      </c>
      <c r="H420" t="s">
        <v>153</v>
      </c>
      <c r="J420" t="s">
        <v>758</v>
      </c>
      <c r="L420" t="s">
        <v>28</v>
      </c>
    </row>
    <row r="421" spans="1:12" x14ac:dyDescent="0.35">
      <c r="A421">
        <v>752</v>
      </c>
      <c r="B421" s="5" t="s">
        <v>759</v>
      </c>
      <c r="C421" t="s">
        <v>33</v>
      </c>
      <c r="D421" t="s">
        <v>760</v>
      </c>
      <c r="E421" t="s">
        <v>15</v>
      </c>
      <c r="F421" t="s">
        <v>35</v>
      </c>
      <c r="G421" t="s">
        <v>63</v>
      </c>
      <c r="H421" t="s">
        <v>153</v>
      </c>
      <c r="J421" t="s">
        <v>761</v>
      </c>
      <c r="L421" t="s">
        <v>28</v>
      </c>
    </row>
    <row r="422" spans="1:12" x14ac:dyDescent="0.35">
      <c r="A422">
        <v>752</v>
      </c>
      <c r="B422" s="23" t="s">
        <v>762</v>
      </c>
      <c r="C422" t="s">
        <v>30</v>
      </c>
      <c r="D422" t="s">
        <v>34</v>
      </c>
      <c r="E422" t="s">
        <v>15</v>
      </c>
      <c r="F422" t="s">
        <v>35</v>
      </c>
      <c r="G422" t="s">
        <v>63</v>
      </c>
      <c r="H422" t="s">
        <v>153</v>
      </c>
      <c r="J422" t="s">
        <v>763</v>
      </c>
      <c r="L422" t="s">
        <v>28</v>
      </c>
    </row>
    <row r="423" spans="1:12" x14ac:dyDescent="0.35">
      <c r="A423">
        <v>74</v>
      </c>
      <c r="B423" s="7" t="s">
        <v>764</v>
      </c>
      <c r="C423" t="s">
        <v>33</v>
      </c>
      <c r="D423" t="s">
        <v>765</v>
      </c>
      <c r="E423" t="s">
        <v>15</v>
      </c>
      <c r="F423" t="s">
        <v>766</v>
      </c>
      <c r="G423" t="s">
        <v>767</v>
      </c>
      <c r="H423" t="s">
        <v>768</v>
      </c>
      <c r="J423" t="s">
        <v>769</v>
      </c>
      <c r="K423" t="s">
        <v>770</v>
      </c>
      <c r="L423" t="s">
        <v>28</v>
      </c>
    </row>
    <row r="424" spans="1:12" x14ac:dyDescent="0.35">
      <c r="A424">
        <v>74</v>
      </c>
      <c r="B424" s="7" t="s">
        <v>771</v>
      </c>
      <c r="C424" t="s">
        <v>33</v>
      </c>
      <c r="D424" t="s">
        <v>765</v>
      </c>
      <c r="E424" t="s">
        <v>15</v>
      </c>
      <c r="F424" t="s">
        <v>766</v>
      </c>
      <c r="G424" t="s">
        <v>767</v>
      </c>
      <c r="H424" t="s">
        <v>768</v>
      </c>
      <c r="J424" t="s">
        <v>769</v>
      </c>
      <c r="K424" t="s">
        <v>770</v>
      </c>
      <c r="L424" t="s">
        <v>28</v>
      </c>
    </row>
    <row r="425" spans="1:12" x14ac:dyDescent="0.35">
      <c r="A425">
        <v>74</v>
      </c>
      <c r="B425" s="7" t="s">
        <v>772</v>
      </c>
      <c r="C425" t="s">
        <v>33</v>
      </c>
      <c r="D425" t="s">
        <v>765</v>
      </c>
      <c r="E425" t="s">
        <v>15</v>
      </c>
      <c r="F425" t="s">
        <v>766</v>
      </c>
      <c r="G425" t="s">
        <v>767</v>
      </c>
      <c r="H425" t="s">
        <v>768</v>
      </c>
      <c r="J425" t="s">
        <v>769</v>
      </c>
      <c r="K425" t="s">
        <v>770</v>
      </c>
      <c r="L425" t="s">
        <v>28</v>
      </c>
    </row>
    <row r="426" spans="1:12" x14ac:dyDescent="0.35">
      <c r="A426">
        <v>74</v>
      </c>
      <c r="B426" s="7" t="s">
        <v>773</v>
      </c>
      <c r="C426" t="s">
        <v>33</v>
      </c>
      <c r="D426" t="s">
        <v>765</v>
      </c>
      <c r="E426" t="s">
        <v>15</v>
      </c>
      <c r="F426" t="s">
        <v>766</v>
      </c>
      <c r="G426" t="s">
        <v>767</v>
      </c>
      <c r="H426" t="s">
        <v>768</v>
      </c>
      <c r="J426" t="s">
        <v>769</v>
      </c>
      <c r="K426" t="s">
        <v>770</v>
      </c>
      <c r="L426" t="s">
        <v>28</v>
      </c>
    </row>
    <row r="427" spans="1:12" x14ac:dyDescent="0.35">
      <c r="A427">
        <v>74</v>
      </c>
      <c r="B427" s="7" t="s">
        <v>774</v>
      </c>
      <c r="C427" t="s">
        <v>33</v>
      </c>
      <c r="D427" t="s">
        <v>765</v>
      </c>
      <c r="E427" t="s">
        <v>15</v>
      </c>
      <c r="F427" t="s">
        <v>766</v>
      </c>
      <c r="G427" t="s">
        <v>767</v>
      </c>
      <c r="H427" t="s">
        <v>768</v>
      </c>
      <c r="J427" t="s">
        <v>769</v>
      </c>
      <c r="K427" t="s">
        <v>770</v>
      </c>
      <c r="L427" t="s">
        <v>28</v>
      </c>
    </row>
    <row r="428" spans="1:12" x14ac:dyDescent="0.35">
      <c r="A428">
        <v>74</v>
      </c>
      <c r="B428" s="7" t="s">
        <v>775</v>
      </c>
      <c r="C428" t="s">
        <v>33</v>
      </c>
      <c r="D428" t="s">
        <v>765</v>
      </c>
      <c r="E428" t="s">
        <v>15</v>
      </c>
      <c r="F428" t="s">
        <v>766</v>
      </c>
      <c r="G428" t="s">
        <v>767</v>
      </c>
      <c r="H428" t="s">
        <v>768</v>
      </c>
      <c r="J428" t="s">
        <v>769</v>
      </c>
      <c r="K428" t="s">
        <v>770</v>
      </c>
      <c r="L428" t="s">
        <v>28</v>
      </c>
    </row>
    <row r="429" spans="1:12" x14ac:dyDescent="0.35">
      <c r="A429">
        <v>74</v>
      </c>
      <c r="B429" s="7" t="s">
        <v>776</v>
      </c>
      <c r="C429" t="s">
        <v>33</v>
      </c>
      <c r="D429" t="s">
        <v>765</v>
      </c>
      <c r="E429" t="s">
        <v>15</v>
      </c>
      <c r="F429" t="s">
        <v>766</v>
      </c>
      <c r="G429" t="s">
        <v>767</v>
      </c>
      <c r="H429" t="s">
        <v>768</v>
      </c>
      <c r="J429" t="s">
        <v>769</v>
      </c>
      <c r="K429" t="s">
        <v>770</v>
      </c>
      <c r="L429" t="s">
        <v>28</v>
      </c>
    </row>
    <row r="430" spans="1:12" x14ac:dyDescent="0.35">
      <c r="A430">
        <v>74</v>
      </c>
      <c r="B430" s="7" t="s">
        <v>777</v>
      </c>
      <c r="C430" t="s">
        <v>33</v>
      </c>
      <c r="D430" t="s">
        <v>196</v>
      </c>
      <c r="E430" t="s">
        <v>15</v>
      </c>
      <c r="F430" t="s">
        <v>57</v>
      </c>
      <c r="G430" t="s">
        <v>767</v>
      </c>
      <c r="H430" t="s">
        <v>778</v>
      </c>
      <c r="J430" t="s">
        <v>503</v>
      </c>
      <c r="K430" t="s">
        <v>779</v>
      </c>
      <c r="L430" t="s">
        <v>28</v>
      </c>
    </row>
    <row r="431" spans="1:12" x14ac:dyDescent="0.35">
      <c r="A431">
        <v>74</v>
      </c>
      <c r="B431" s="7" t="s">
        <v>780</v>
      </c>
      <c r="C431" t="s">
        <v>33</v>
      </c>
      <c r="D431" t="s">
        <v>781</v>
      </c>
      <c r="E431" t="s">
        <v>15</v>
      </c>
      <c r="F431" t="s">
        <v>57</v>
      </c>
      <c r="G431" t="s">
        <v>767</v>
      </c>
      <c r="H431" t="s">
        <v>782</v>
      </c>
      <c r="J431" t="s">
        <v>503</v>
      </c>
      <c r="K431" t="s">
        <v>779</v>
      </c>
      <c r="L431" t="s">
        <v>28</v>
      </c>
    </row>
    <row r="432" spans="1:12" x14ac:dyDescent="0.35">
      <c r="A432">
        <v>74</v>
      </c>
      <c r="B432" s="7" t="s">
        <v>783</v>
      </c>
      <c r="C432" t="s">
        <v>33</v>
      </c>
      <c r="D432" t="s">
        <v>781</v>
      </c>
      <c r="E432" t="s">
        <v>15</v>
      </c>
      <c r="F432" t="s">
        <v>57</v>
      </c>
      <c r="G432" t="s">
        <v>767</v>
      </c>
      <c r="H432" t="s">
        <v>784</v>
      </c>
      <c r="J432" t="s">
        <v>503</v>
      </c>
      <c r="K432" t="s">
        <v>779</v>
      </c>
      <c r="L432" t="s">
        <v>28</v>
      </c>
    </row>
    <row r="433" spans="1:12" x14ac:dyDescent="0.35">
      <c r="A433">
        <v>69</v>
      </c>
      <c r="B433" s="2" t="s">
        <v>785</v>
      </c>
      <c r="C433" t="s">
        <v>33</v>
      </c>
      <c r="D433" t="s">
        <v>205</v>
      </c>
      <c r="E433" t="s">
        <v>15</v>
      </c>
      <c r="F433" t="s">
        <v>33</v>
      </c>
      <c r="G433" t="s">
        <v>63</v>
      </c>
      <c r="H433" t="s">
        <v>786</v>
      </c>
      <c r="J433" t="s">
        <v>357</v>
      </c>
      <c r="L433" t="s">
        <v>174</v>
      </c>
    </row>
    <row r="434" spans="1:12" x14ac:dyDescent="0.35">
      <c r="A434">
        <v>69</v>
      </c>
      <c r="B434" s="3" t="s">
        <v>76</v>
      </c>
      <c r="C434" t="s">
        <v>33</v>
      </c>
      <c r="D434" t="s">
        <v>34</v>
      </c>
      <c r="E434" t="s">
        <v>15</v>
      </c>
      <c r="F434" t="s">
        <v>33</v>
      </c>
      <c r="G434" t="s">
        <v>63</v>
      </c>
      <c r="H434" t="s">
        <v>786</v>
      </c>
      <c r="J434" t="s">
        <v>357</v>
      </c>
      <c r="L434" t="s">
        <v>174</v>
      </c>
    </row>
    <row r="435" spans="1:12" x14ac:dyDescent="0.35">
      <c r="A435">
        <v>69</v>
      </c>
      <c r="B435" s="23" t="s">
        <v>787</v>
      </c>
      <c r="C435" t="s">
        <v>30</v>
      </c>
      <c r="D435" t="s">
        <v>288</v>
      </c>
      <c r="E435" t="s">
        <v>15</v>
      </c>
      <c r="F435" t="s">
        <v>35</v>
      </c>
      <c r="G435" t="s">
        <v>63</v>
      </c>
      <c r="H435" t="s">
        <v>786</v>
      </c>
      <c r="J435" t="s">
        <v>27</v>
      </c>
      <c r="L435" t="s">
        <v>174</v>
      </c>
    </row>
    <row r="436" spans="1:12" x14ac:dyDescent="0.35">
      <c r="A436">
        <v>555</v>
      </c>
      <c r="B436" s="2" t="s">
        <v>12</v>
      </c>
      <c r="C436" t="s">
        <v>13</v>
      </c>
      <c r="D436" t="s">
        <v>788</v>
      </c>
      <c r="E436" t="s">
        <v>15</v>
      </c>
      <c r="F436" t="s">
        <v>35</v>
      </c>
      <c r="G436" t="s">
        <v>16</v>
      </c>
      <c r="H436" t="s">
        <v>789</v>
      </c>
      <c r="J436" t="s">
        <v>27</v>
      </c>
      <c r="L436" t="s">
        <v>45</v>
      </c>
    </row>
    <row r="437" spans="1:12" x14ac:dyDescent="0.35">
      <c r="A437">
        <v>905</v>
      </c>
      <c r="B437" s="16" t="s">
        <v>790</v>
      </c>
      <c r="C437" t="s">
        <v>13</v>
      </c>
      <c r="D437" t="s">
        <v>791</v>
      </c>
      <c r="E437" t="s">
        <v>15</v>
      </c>
      <c r="F437" t="s">
        <v>244</v>
      </c>
      <c r="G437" t="s">
        <v>16</v>
      </c>
      <c r="H437" t="s">
        <v>378</v>
      </c>
      <c r="J437" t="s">
        <v>792</v>
      </c>
      <c r="L437" t="s">
        <v>20</v>
      </c>
    </row>
    <row r="438" spans="1:12" x14ac:dyDescent="0.35">
      <c r="A438">
        <v>309</v>
      </c>
      <c r="B438" s="23" t="s">
        <v>793</v>
      </c>
      <c r="C438" t="s">
        <v>30</v>
      </c>
      <c r="D438" t="s">
        <v>794</v>
      </c>
      <c r="E438" t="s">
        <v>15</v>
      </c>
      <c r="F438" t="s">
        <v>35</v>
      </c>
      <c r="G438" t="s">
        <v>213</v>
      </c>
      <c r="H438" t="s">
        <v>795</v>
      </c>
      <c r="J438" t="s">
        <v>796</v>
      </c>
      <c r="L438" t="s">
        <v>28</v>
      </c>
    </row>
    <row r="439" spans="1:12" x14ac:dyDescent="0.35">
      <c r="A439">
        <v>972</v>
      </c>
      <c r="B439" s="23" t="s">
        <v>797</v>
      </c>
      <c r="C439" t="s">
        <v>30</v>
      </c>
      <c r="D439" t="s">
        <v>798</v>
      </c>
      <c r="E439" t="s">
        <v>15</v>
      </c>
      <c r="F439" t="s">
        <v>35</v>
      </c>
      <c r="G439" t="s">
        <v>799</v>
      </c>
      <c r="H439" t="s">
        <v>696</v>
      </c>
      <c r="J439" t="s">
        <v>800</v>
      </c>
      <c r="L439" t="s">
        <v>90</v>
      </c>
    </row>
    <row r="440" spans="1:12" x14ac:dyDescent="0.35">
      <c r="A440">
        <v>972</v>
      </c>
      <c r="B440" s="7" t="s">
        <v>801</v>
      </c>
      <c r="C440" t="s">
        <v>33</v>
      </c>
      <c r="D440" t="s">
        <v>34</v>
      </c>
      <c r="E440" t="s">
        <v>15</v>
      </c>
      <c r="F440" t="s">
        <v>33</v>
      </c>
      <c r="G440" t="s">
        <v>802</v>
      </c>
      <c r="H440" t="s">
        <v>803</v>
      </c>
      <c r="J440" t="s">
        <v>800</v>
      </c>
      <c r="L440" t="s">
        <v>90</v>
      </c>
    </row>
    <row r="441" spans="1:12" x14ac:dyDescent="0.35">
      <c r="A441">
        <v>972</v>
      </c>
      <c r="B441" s="16" t="s">
        <v>804</v>
      </c>
      <c r="C441" t="s">
        <v>22</v>
      </c>
      <c r="D441" t="s">
        <v>23</v>
      </c>
      <c r="E441" t="s">
        <v>15</v>
      </c>
      <c r="F441" t="s">
        <v>22</v>
      </c>
      <c r="G441" t="s">
        <v>63</v>
      </c>
      <c r="H441" t="s">
        <v>696</v>
      </c>
      <c r="J441" t="s">
        <v>800</v>
      </c>
      <c r="K441" t="s">
        <v>805</v>
      </c>
      <c r="L441" t="s">
        <v>90</v>
      </c>
    </row>
    <row r="442" spans="1:12" x14ac:dyDescent="0.35">
      <c r="A442">
        <v>212</v>
      </c>
      <c r="B442" s="41" t="s">
        <v>806</v>
      </c>
      <c r="C442" t="s">
        <v>13</v>
      </c>
      <c r="D442" t="s">
        <v>807</v>
      </c>
      <c r="E442" t="s">
        <v>15</v>
      </c>
      <c r="F442" t="s">
        <v>13</v>
      </c>
      <c r="G442" t="s">
        <v>16</v>
      </c>
      <c r="H442" t="s">
        <v>153</v>
      </c>
      <c r="J442" t="s">
        <v>808</v>
      </c>
      <c r="L442" t="s">
        <v>133</v>
      </c>
    </row>
    <row r="443" spans="1:12" x14ac:dyDescent="0.35">
      <c r="A443">
        <v>212</v>
      </c>
      <c r="B443" s="42" t="s">
        <v>809</v>
      </c>
      <c r="C443" t="s">
        <v>13</v>
      </c>
      <c r="D443" t="s">
        <v>807</v>
      </c>
      <c r="E443" t="s">
        <v>15</v>
      </c>
      <c r="F443" t="s">
        <v>13</v>
      </c>
      <c r="G443" t="s">
        <v>16</v>
      </c>
      <c r="H443" t="s">
        <v>390</v>
      </c>
      <c r="J443" t="s">
        <v>810</v>
      </c>
      <c r="K443" t="s">
        <v>811</v>
      </c>
      <c r="L443" t="s">
        <v>133</v>
      </c>
    </row>
    <row r="444" spans="1:12" x14ac:dyDescent="0.35">
      <c r="A444">
        <v>785</v>
      </c>
      <c r="B444" s="41" t="s">
        <v>812</v>
      </c>
      <c r="C444" t="s">
        <v>13</v>
      </c>
      <c r="D444" t="s">
        <v>813</v>
      </c>
      <c r="E444" t="s">
        <v>15</v>
      </c>
      <c r="F444" t="s">
        <v>13</v>
      </c>
      <c r="G444" t="s">
        <v>16</v>
      </c>
      <c r="H444" t="s">
        <v>26</v>
      </c>
      <c r="J444" t="s">
        <v>814</v>
      </c>
      <c r="K444" t="s">
        <v>815</v>
      </c>
      <c r="L444" t="s">
        <v>28</v>
      </c>
    </row>
    <row r="445" spans="1:12" x14ac:dyDescent="0.35">
      <c r="A445">
        <v>814</v>
      </c>
      <c r="B445" s="2" t="s">
        <v>12</v>
      </c>
      <c r="C445" t="s">
        <v>13</v>
      </c>
      <c r="D445" t="s">
        <v>816</v>
      </c>
      <c r="E445" t="s">
        <v>15</v>
      </c>
      <c r="F445" t="s">
        <v>13</v>
      </c>
      <c r="G445" t="s">
        <v>16</v>
      </c>
      <c r="H445" t="s">
        <v>390</v>
      </c>
      <c r="J445" t="s">
        <v>637</v>
      </c>
      <c r="L445" t="s">
        <v>28</v>
      </c>
    </row>
    <row r="446" spans="1:12" x14ac:dyDescent="0.35">
      <c r="A446">
        <v>465</v>
      </c>
      <c r="B446" s="7" t="s">
        <v>817</v>
      </c>
      <c r="C446" t="s">
        <v>33</v>
      </c>
      <c r="D446" t="s">
        <v>818</v>
      </c>
      <c r="E446" t="s">
        <v>15</v>
      </c>
      <c r="F446" t="s">
        <v>594</v>
      </c>
      <c r="G446" t="s">
        <v>819</v>
      </c>
      <c r="H446" t="s">
        <v>820</v>
      </c>
      <c r="J446" t="s">
        <v>401</v>
      </c>
      <c r="K446" t="s">
        <v>821</v>
      </c>
      <c r="L446" t="s">
        <v>20</v>
      </c>
    </row>
    <row r="447" spans="1:12" x14ac:dyDescent="0.35">
      <c r="A447">
        <v>465</v>
      </c>
      <c r="B447" s="7" t="s">
        <v>822</v>
      </c>
      <c r="C447" t="s">
        <v>33</v>
      </c>
      <c r="D447" t="s">
        <v>34</v>
      </c>
      <c r="E447" t="s">
        <v>15</v>
      </c>
      <c r="F447" t="s">
        <v>594</v>
      </c>
      <c r="G447" t="s">
        <v>819</v>
      </c>
      <c r="H447" t="s">
        <v>820</v>
      </c>
      <c r="J447" t="s">
        <v>823</v>
      </c>
      <c r="K447" t="s">
        <v>821</v>
      </c>
      <c r="L447" t="s">
        <v>20</v>
      </c>
    </row>
    <row r="448" spans="1:12" x14ac:dyDescent="0.35">
      <c r="A448">
        <v>465</v>
      </c>
      <c r="B448" s="2" t="s">
        <v>824</v>
      </c>
      <c r="C448" t="s">
        <v>33</v>
      </c>
      <c r="D448" t="s">
        <v>205</v>
      </c>
      <c r="E448" t="s">
        <v>15</v>
      </c>
      <c r="F448" t="s">
        <v>594</v>
      </c>
      <c r="G448" t="s">
        <v>819</v>
      </c>
      <c r="H448" t="s">
        <v>820</v>
      </c>
      <c r="J448" t="s">
        <v>401</v>
      </c>
      <c r="K448" t="s">
        <v>821</v>
      </c>
      <c r="L448" t="s">
        <v>20</v>
      </c>
    </row>
    <row r="449" spans="1:12" x14ac:dyDescent="0.35">
      <c r="A449">
        <v>620</v>
      </c>
      <c r="B449" s="23" t="s">
        <v>825</v>
      </c>
      <c r="C449" t="s">
        <v>30</v>
      </c>
      <c r="D449" t="s">
        <v>826</v>
      </c>
      <c r="E449" t="s">
        <v>15</v>
      </c>
      <c r="F449" t="s">
        <v>35</v>
      </c>
      <c r="G449" t="s">
        <v>827</v>
      </c>
      <c r="H449" t="s">
        <v>457</v>
      </c>
      <c r="J449" t="s">
        <v>828</v>
      </c>
      <c r="L449" t="s">
        <v>28</v>
      </c>
    </row>
    <row r="450" spans="1:12" x14ac:dyDescent="0.35">
      <c r="A450">
        <v>630</v>
      </c>
      <c r="B450" s="4" t="s">
        <v>829</v>
      </c>
      <c r="C450" t="s">
        <v>30</v>
      </c>
      <c r="D450" t="s">
        <v>34</v>
      </c>
      <c r="E450" t="s">
        <v>15</v>
      </c>
      <c r="F450" t="s">
        <v>35</v>
      </c>
      <c r="G450" t="s">
        <v>42</v>
      </c>
      <c r="H450" t="s">
        <v>830</v>
      </c>
      <c r="J450" t="s">
        <v>831</v>
      </c>
      <c r="L450" t="s">
        <v>28</v>
      </c>
    </row>
    <row r="451" spans="1:12" x14ac:dyDescent="0.35">
      <c r="A451">
        <v>630</v>
      </c>
      <c r="B451" s="2" t="s">
        <v>832</v>
      </c>
      <c r="C451" t="s">
        <v>33</v>
      </c>
      <c r="D451" t="s">
        <v>38</v>
      </c>
      <c r="E451" t="s">
        <v>15</v>
      </c>
      <c r="F451" t="s">
        <v>35</v>
      </c>
      <c r="G451" t="s">
        <v>42</v>
      </c>
      <c r="H451" t="s">
        <v>833</v>
      </c>
      <c r="J451" t="s">
        <v>831</v>
      </c>
      <c r="L451" t="s">
        <v>28</v>
      </c>
    </row>
    <row r="452" spans="1:12" x14ac:dyDescent="0.35">
      <c r="A452">
        <v>630</v>
      </c>
      <c r="B452" s="4" t="s">
        <v>834</v>
      </c>
      <c r="C452" t="s">
        <v>33</v>
      </c>
      <c r="D452" t="s">
        <v>157</v>
      </c>
      <c r="E452" t="s">
        <v>15</v>
      </c>
      <c r="F452" t="s">
        <v>35</v>
      </c>
      <c r="G452" t="s">
        <v>42</v>
      </c>
      <c r="H452" t="s">
        <v>833</v>
      </c>
      <c r="J452" t="s">
        <v>831</v>
      </c>
      <c r="L452" t="s">
        <v>28</v>
      </c>
    </row>
    <row r="453" spans="1:12" x14ac:dyDescent="0.35">
      <c r="A453">
        <v>630</v>
      </c>
      <c r="B453" s="25" t="s">
        <v>835</v>
      </c>
      <c r="C453" t="s">
        <v>30</v>
      </c>
      <c r="D453" t="s">
        <v>836</v>
      </c>
      <c r="E453" t="s">
        <v>15</v>
      </c>
      <c r="F453" t="s">
        <v>35</v>
      </c>
      <c r="G453" t="s">
        <v>42</v>
      </c>
      <c r="H453" t="s">
        <v>833</v>
      </c>
      <c r="J453" t="s">
        <v>831</v>
      </c>
      <c r="L453" t="s">
        <v>28</v>
      </c>
    </row>
    <row r="454" spans="1:12" x14ac:dyDescent="0.35">
      <c r="A454">
        <v>630</v>
      </c>
      <c r="B454" s="23" t="s">
        <v>837</v>
      </c>
      <c r="C454" t="s">
        <v>30</v>
      </c>
      <c r="D454" t="s">
        <v>838</v>
      </c>
      <c r="E454" t="s">
        <v>15</v>
      </c>
      <c r="F454" t="s">
        <v>35</v>
      </c>
      <c r="G454" t="s">
        <v>42</v>
      </c>
      <c r="H454" t="s">
        <v>833</v>
      </c>
      <c r="J454" t="s">
        <v>831</v>
      </c>
      <c r="L454" t="s">
        <v>28</v>
      </c>
    </row>
    <row r="455" spans="1:12" x14ac:dyDescent="0.35">
      <c r="A455">
        <v>700</v>
      </c>
      <c r="B455" s="16" t="s">
        <v>839</v>
      </c>
      <c r="C455" t="s">
        <v>22</v>
      </c>
      <c r="D455" t="s">
        <v>840</v>
      </c>
      <c r="E455" t="s">
        <v>15</v>
      </c>
      <c r="F455" t="s">
        <v>22</v>
      </c>
      <c r="G455" t="s">
        <v>841</v>
      </c>
      <c r="H455" t="s">
        <v>830</v>
      </c>
      <c r="J455" t="s">
        <v>842</v>
      </c>
      <c r="L455" t="s">
        <v>28</v>
      </c>
    </row>
    <row r="456" spans="1:12" x14ac:dyDescent="0.35">
      <c r="A456">
        <v>700</v>
      </c>
      <c r="B456" s="3" t="s">
        <v>843</v>
      </c>
      <c r="C456" t="s">
        <v>33</v>
      </c>
      <c r="D456" t="s">
        <v>34</v>
      </c>
      <c r="E456" t="s">
        <v>15</v>
      </c>
      <c r="F456" t="s">
        <v>33</v>
      </c>
      <c r="G456" t="s">
        <v>841</v>
      </c>
      <c r="H456" t="s">
        <v>844</v>
      </c>
      <c r="J456" t="s">
        <v>842</v>
      </c>
      <c r="L456" t="s">
        <v>28</v>
      </c>
    </row>
    <row r="457" spans="1:12" x14ac:dyDescent="0.35">
      <c r="A457">
        <v>706</v>
      </c>
      <c r="B457" s="3" t="s">
        <v>845</v>
      </c>
      <c r="C457" t="s">
        <v>33</v>
      </c>
      <c r="D457" t="s">
        <v>846</v>
      </c>
      <c r="E457" t="s">
        <v>15</v>
      </c>
      <c r="F457" t="s">
        <v>22</v>
      </c>
      <c r="G457" t="s">
        <v>847</v>
      </c>
      <c r="H457" t="s">
        <v>265</v>
      </c>
      <c r="J457" t="s">
        <v>848</v>
      </c>
      <c r="L457" t="s">
        <v>28</v>
      </c>
    </row>
    <row r="458" spans="1:12" x14ac:dyDescent="0.35">
      <c r="A458">
        <v>706</v>
      </c>
      <c r="B458" s="16" t="s">
        <v>849</v>
      </c>
      <c r="C458" t="s">
        <v>22</v>
      </c>
      <c r="D458" t="s">
        <v>836</v>
      </c>
      <c r="E458" t="s">
        <v>15</v>
      </c>
      <c r="F458" t="s">
        <v>22</v>
      </c>
      <c r="G458" t="s">
        <v>847</v>
      </c>
      <c r="H458" t="s">
        <v>265</v>
      </c>
      <c r="J458" t="s">
        <v>848</v>
      </c>
      <c r="L458" t="s">
        <v>28</v>
      </c>
    </row>
    <row r="459" spans="1:12" x14ac:dyDescent="0.35">
      <c r="A459">
        <v>706</v>
      </c>
      <c r="B459" t="s">
        <v>850</v>
      </c>
      <c r="C459" t="s">
        <v>22</v>
      </c>
      <c r="D459" t="s">
        <v>836</v>
      </c>
      <c r="E459" t="s">
        <v>15</v>
      </c>
      <c r="F459" t="s">
        <v>22</v>
      </c>
      <c r="G459" t="s">
        <v>847</v>
      </c>
      <c r="H459" t="s">
        <v>265</v>
      </c>
      <c r="J459" t="s">
        <v>848</v>
      </c>
      <c r="L459" t="s">
        <v>28</v>
      </c>
    </row>
    <row r="460" spans="1:12" x14ac:dyDescent="0.35">
      <c r="A460">
        <v>706</v>
      </c>
      <c r="B460" s="17" t="s">
        <v>851</v>
      </c>
      <c r="C460" t="s">
        <v>22</v>
      </c>
      <c r="D460" t="s">
        <v>852</v>
      </c>
      <c r="E460" t="s">
        <v>15</v>
      </c>
      <c r="F460" t="s">
        <v>22</v>
      </c>
      <c r="G460" t="s">
        <v>847</v>
      </c>
      <c r="H460" t="s">
        <v>265</v>
      </c>
      <c r="J460" t="s">
        <v>848</v>
      </c>
      <c r="L460" t="s">
        <v>28</v>
      </c>
    </row>
    <row r="461" spans="1:12" x14ac:dyDescent="0.35">
      <c r="A461">
        <v>706</v>
      </c>
      <c r="B461" t="s">
        <v>853</v>
      </c>
      <c r="C461" t="s">
        <v>22</v>
      </c>
      <c r="D461" t="s">
        <v>854</v>
      </c>
      <c r="E461" t="s">
        <v>15</v>
      </c>
      <c r="F461" t="s">
        <v>22</v>
      </c>
      <c r="G461" t="s">
        <v>847</v>
      </c>
      <c r="H461" t="s">
        <v>265</v>
      </c>
      <c r="J461" t="s">
        <v>848</v>
      </c>
      <c r="L461" t="s">
        <v>28</v>
      </c>
    </row>
    <row r="462" spans="1:12" x14ac:dyDescent="0.35">
      <c r="A462">
        <v>720</v>
      </c>
      <c r="B462" s="16" t="s">
        <v>855</v>
      </c>
      <c r="C462" t="s">
        <v>13</v>
      </c>
      <c r="D462" t="s">
        <v>856</v>
      </c>
      <c r="E462" t="s">
        <v>15</v>
      </c>
      <c r="F462" t="s">
        <v>24</v>
      </c>
      <c r="G462" t="s">
        <v>857</v>
      </c>
      <c r="H462" t="s">
        <v>820</v>
      </c>
      <c r="J462" t="s">
        <v>858</v>
      </c>
      <c r="L462" t="s">
        <v>28</v>
      </c>
    </row>
    <row r="463" spans="1:12" x14ac:dyDescent="0.35">
      <c r="A463">
        <v>720</v>
      </c>
      <c r="B463" s="15" t="s">
        <v>859</v>
      </c>
      <c r="C463" t="s">
        <v>30</v>
      </c>
      <c r="D463" t="s">
        <v>27</v>
      </c>
      <c r="E463" t="s">
        <v>15</v>
      </c>
      <c r="F463" t="s">
        <v>377</v>
      </c>
      <c r="G463" t="s">
        <v>857</v>
      </c>
      <c r="H463" t="s">
        <v>820</v>
      </c>
      <c r="J463" t="s">
        <v>860</v>
      </c>
      <c r="L463" t="s">
        <v>28</v>
      </c>
    </row>
    <row r="464" spans="1:12" x14ac:dyDescent="0.35">
      <c r="A464">
        <v>720</v>
      </c>
      <c r="B464" s="2" t="s">
        <v>861</v>
      </c>
      <c r="C464" t="s">
        <v>13</v>
      </c>
      <c r="D464" t="s">
        <v>862</v>
      </c>
      <c r="E464" t="s">
        <v>15</v>
      </c>
      <c r="F464" t="s">
        <v>24</v>
      </c>
      <c r="G464" t="s">
        <v>857</v>
      </c>
      <c r="H464" t="s">
        <v>820</v>
      </c>
      <c r="J464" t="s">
        <v>863</v>
      </c>
      <c r="L464" t="s">
        <v>28</v>
      </c>
    </row>
    <row r="465" spans="1:12" x14ac:dyDescent="0.35">
      <c r="A465">
        <v>756</v>
      </c>
      <c r="B465" s="5" t="s">
        <v>864</v>
      </c>
      <c r="C465" t="s">
        <v>33</v>
      </c>
      <c r="D465" t="s">
        <v>865</v>
      </c>
      <c r="E465" t="s">
        <v>15</v>
      </c>
      <c r="F465" t="s">
        <v>35</v>
      </c>
      <c r="G465" t="s">
        <v>63</v>
      </c>
      <c r="H465" t="s">
        <v>378</v>
      </c>
      <c r="J465" t="s">
        <v>866</v>
      </c>
      <c r="L465" t="s">
        <v>28</v>
      </c>
    </row>
    <row r="466" spans="1:12" x14ac:dyDescent="0.35">
      <c r="A466">
        <v>756</v>
      </c>
      <c r="B466" s="3" t="s">
        <v>867</v>
      </c>
      <c r="C466" t="s">
        <v>33</v>
      </c>
      <c r="D466" t="s">
        <v>34</v>
      </c>
      <c r="E466" t="s">
        <v>15</v>
      </c>
      <c r="F466" t="s">
        <v>35</v>
      </c>
      <c r="G466" t="s">
        <v>63</v>
      </c>
      <c r="H466" t="s">
        <v>378</v>
      </c>
      <c r="J466" t="s">
        <v>866</v>
      </c>
      <c r="L466" t="s">
        <v>28</v>
      </c>
    </row>
    <row r="467" spans="1:12" x14ac:dyDescent="0.35">
      <c r="A467">
        <v>767</v>
      </c>
      <c r="B467" s="15" t="s">
        <v>868</v>
      </c>
      <c r="C467" t="s">
        <v>30</v>
      </c>
      <c r="D467" t="s">
        <v>38</v>
      </c>
      <c r="E467" t="s">
        <v>15</v>
      </c>
      <c r="F467" t="s">
        <v>35</v>
      </c>
      <c r="G467" t="s">
        <v>869</v>
      </c>
      <c r="H467" t="s">
        <v>870</v>
      </c>
      <c r="J467" t="s">
        <v>871</v>
      </c>
      <c r="L467" t="s">
        <v>90</v>
      </c>
    </row>
    <row r="468" spans="1:12" x14ac:dyDescent="0.35">
      <c r="A468">
        <v>798</v>
      </c>
      <c r="B468" s="3" t="s">
        <v>843</v>
      </c>
      <c r="C468" t="s">
        <v>33</v>
      </c>
      <c r="D468" t="s">
        <v>34</v>
      </c>
      <c r="E468" t="s">
        <v>15</v>
      </c>
      <c r="F468" t="s">
        <v>33</v>
      </c>
      <c r="G468" t="s">
        <v>63</v>
      </c>
      <c r="H468" t="s">
        <v>872</v>
      </c>
      <c r="J468" t="s">
        <v>873</v>
      </c>
      <c r="L468" t="s">
        <v>133</v>
      </c>
    </row>
    <row r="469" spans="1:12" x14ac:dyDescent="0.35">
      <c r="A469">
        <v>798</v>
      </c>
      <c r="B469" s="16" t="s">
        <v>874</v>
      </c>
      <c r="C469" t="s">
        <v>22</v>
      </c>
      <c r="D469" t="s">
        <v>836</v>
      </c>
      <c r="E469" t="s">
        <v>15</v>
      </c>
      <c r="F469" t="s">
        <v>22</v>
      </c>
      <c r="G469" t="s">
        <v>63</v>
      </c>
      <c r="H469" t="s">
        <v>872</v>
      </c>
      <c r="J469" t="s">
        <v>875</v>
      </c>
      <c r="L469" t="s">
        <v>133</v>
      </c>
    </row>
    <row r="470" spans="1:12" x14ac:dyDescent="0.35">
      <c r="A470">
        <v>798</v>
      </c>
      <c r="B470" s="16" t="s">
        <v>876</v>
      </c>
      <c r="C470" t="s">
        <v>22</v>
      </c>
      <c r="D470" t="s">
        <v>836</v>
      </c>
      <c r="E470" t="s">
        <v>15</v>
      </c>
      <c r="F470" t="s">
        <v>22</v>
      </c>
      <c r="G470" t="s">
        <v>63</v>
      </c>
      <c r="H470" t="s">
        <v>872</v>
      </c>
      <c r="J470" t="s">
        <v>875</v>
      </c>
      <c r="L470" t="s">
        <v>133</v>
      </c>
    </row>
    <row r="471" spans="1:12" x14ac:dyDescent="0.35">
      <c r="A471">
        <v>798</v>
      </c>
      <c r="B471" t="s">
        <v>877</v>
      </c>
      <c r="C471" t="s">
        <v>22</v>
      </c>
      <c r="D471" t="s">
        <v>34</v>
      </c>
      <c r="E471" t="s">
        <v>15</v>
      </c>
      <c r="F471" t="s">
        <v>22</v>
      </c>
      <c r="G471" t="s">
        <v>63</v>
      </c>
      <c r="H471" t="s">
        <v>872</v>
      </c>
      <c r="J471" t="s">
        <v>875</v>
      </c>
      <c r="L471" t="s">
        <v>133</v>
      </c>
    </row>
    <row r="472" spans="1:12" x14ac:dyDescent="0.35">
      <c r="A472">
        <v>798</v>
      </c>
      <c r="B472" t="s">
        <v>878</v>
      </c>
      <c r="C472" t="s">
        <v>22</v>
      </c>
      <c r="D472" t="s">
        <v>34</v>
      </c>
      <c r="E472" t="s">
        <v>15</v>
      </c>
      <c r="F472" t="s">
        <v>22</v>
      </c>
      <c r="G472" t="s">
        <v>63</v>
      </c>
      <c r="H472" t="s">
        <v>872</v>
      </c>
      <c r="J472" t="s">
        <v>875</v>
      </c>
      <c r="L472" t="s">
        <v>133</v>
      </c>
    </row>
    <row r="473" spans="1:12" x14ac:dyDescent="0.35">
      <c r="A473">
        <v>798</v>
      </c>
      <c r="B473" s="17" t="s">
        <v>879</v>
      </c>
      <c r="C473" t="s">
        <v>22</v>
      </c>
      <c r="D473" t="s">
        <v>854</v>
      </c>
      <c r="E473" t="s">
        <v>15</v>
      </c>
      <c r="F473" t="s">
        <v>22</v>
      </c>
      <c r="G473" t="s">
        <v>63</v>
      </c>
      <c r="H473" t="s">
        <v>872</v>
      </c>
      <c r="J473" t="s">
        <v>875</v>
      </c>
      <c r="L473" t="s">
        <v>133</v>
      </c>
    </row>
    <row r="474" spans="1:12" x14ac:dyDescent="0.35">
      <c r="A474">
        <v>800</v>
      </c>
      <c r="B474" s="16" t="s">
        <v>438</v>
      </c>
      <c r="C474" t="s">
        <v>22</v>
      </c>
      <c r="D474" t="s">
        <v>836</v>
      </c>
      <c r="E474" t="s">
        <v>15</v>
      </c>
      <c r="F474" t="s">
        <v>22</v>
      </c>
      <c r="G474" t="s">
        <v>847</v>
      </c>
      <c r="H474" t="s">
        <v>206</v>
      </c>
      <c r="I474" t="s">
        <v>163</v>
      </c>
      <c r="J474" t="s">
        <v>880</v>
      </c>
      <c r="L474" t="s">
        <v>28</v>
      </c>
    </row>
    <row r="475" spans="1:12" x14ac:dyDescent="0.35">
      <c r="A475">
        <v>800</v>
      </c>
      <c r="B475" s="15" t="s">
        <v>881</v>
      </c>
      <c r="C475" t="s">
        <v>49</v>
      </c>
      <c r="D475" t="s">
        <v>854</v>
      </c>
      <c r="E475" t="s">
        <v>15</v>
      </c>
      <c r="F475" t="s">
        <v>22</v>
      </c>
      <c r="G475" t="s">
        <v>847</v>
      </c>
      <c r="H475" t="s">
        <v>400</v>
      </c>
      <c r="I475" t="s">
        <v>163</v>
      </c>
      <c r="J475" t="s">
        <v>880</v>
      </c>
      <c r="L475" t="s">
        <v>28</v>
      </c>
    </row>
    <row r="476" spans="1:12" x14ac:dyDescent="0.35">
      <c r="A476">
        <v>800</v>
      </c>
      <c r="B476" t="s">
        <v>882</v>
      </c>
      <c r="C476" t="s">
        <v>22</v>
      </c>
      <c r="D476" t="s">
        <v>854</v>
      </c>
      <c r="E476" t="s">
        <v>15</v>
      </c>
      <c r="F476" t="s">
        <v>22</v>
      </c>
      <c r="G476" t="s">
        <v>847</v>
      </c>
      <c r="H476" t="s">
        <v>872</v>
      </c>
      <c r="I476" t="s">
        <v>163</v>
      </c>
      <c r="J476" t="s">
        <v>880</v>
      </c>
      <c r="L476" t="s">
        <v>28</v>
      </c>
    </row>
    <row r="477" spans="1:12" x14ac:dyDescent="0.35">
      <c r="A477">
        <v>800</v>
      </c>
      <c r="B477" s="3" t="s">
        <v>883</v>
      </c>
      <c r="C477" t="s">
        <v>33</v>
      </c>
      <c r="D477" t="s">
        <v>34</v>
      </c>
      <c r="E477" t="s">
        <v>15</v>
      </c>
      <c r="F477" t="s">
        <v>33</v>
      </c>
      <c r="G477" t="s">
        <v>847</v>
      </c>
      <c r="H477" t="s">
        <v>820</v>
      </c>
      <c r="I477" t="s">
        <v>163</v>
      </c>
      <c r="J477" t="s">
        <v>880</v>
      </c>
      <c r="L477" t="s">
        <v>28</v>
      </c>
    </row>
    <row r="478" spans="1:12" x14ac:dyDescent="0.35">
      <c r="A478">
        <v>800</v>
      </c>
      <c r="B478" t="s">
        <v>884</v>
      </c>
      <c r="C478" t="s">
        <v>33</v>
      </c>
      <c r="D478" t="s">
        <v>34</v>
      </c>
      <c r="E478" t="s">
        <v>15</v>
      </c>
      <c r="F478" t="s">
        <v>33</v>
      </c>
      <c r="G478" t="s">
        <v>847</v>
      </c>
      <c r="H478" t="s">
        <v>470</v>
      </c>
      <c r="I478" t="s">
        <v>163</v>
      </c>
      <c r="J478" t="s">
        <v>880</v>
      </c>
      <c r="L478" t="s">
        <v>28</v>
      </c>
    </row>
    <row r="479" spans="1:12" x14ac:dyDescent="0.35">
      <c r="A479">
        <v>800</v>
      </c>
      <c r="B479" s="5" t="s">
        <v>885</v>
      </c>
      <c r="C479" t="s">
        <v>33</v>
      </c>
      <c r="D479" t="s">
        <v>886</v>
      </c>
      <c r="E479" t="s">
        <v>15</v>
      </c>
      <c r="F479" t="s">
        <v>35</v>
      </c>
      <c r="G479" t="s">
        <v>847</v>
      </c>
      <c r="H479" t="s">
        <v>564</v>
      </c>
      <c r="I479" t="s">
        <v>163</v>
      </c>
      <c r="J479" t="s">
        <v>880</v>
      </c>
      <c r="L479" t="s">
        <v>28</v>
      </c>
    </row>
    <row r="480" spans="1:12" x14ac:dyDescent="0.35">
      <c r="A480">
        <v>800</v>
      </c>
      <c r="B480" s="2" t="s">
        <v>887</v>
      </c>
      <c r="C480" t="s">
        <v>33</v>
      </c>
      <c r="D480" t="s">
        <v>38</v>
      </c>
      <c r="E480" t="s">
        <v>15</v>
      </c>
      <c r="F480" t="s">
        <v>35</v>
      </c>
      <c r="G480" t="s">
        <v>847</v>
      </c>
      <c r="H480" t="s">
        <v>888</v>
      </c>
      <c r="I480" t="s">
        <v>163</v>
      </c>
      <c r="J480" t="s">
        <v>880</v>
      </c>
      <c r="L480" t="s">
        <v>28</v>
      </c>
    </row>
    <row r="481" spans="1:12" x14ac:dyDescent="0.35">
      <c r="A481">
        <v>800</v>
      </c>
      <c r="B481" s="2" t="s">
        <v>889</v>
      </c>
      <c r="C481" t="s">
        <v>33</v>
      </c>
      <c r="D481" t="s">
        <v>38</v>
      </c>
      <c r="E481" t="s">
        <v>15</v>
      </c>
      <c r="F481" t="s">
        <v>35</v>
      </c>
      <c r="G481" t="s">
        <v>847</v>
      </c>
      <c r="H481" t="s">
        <v>890</v>
      </c>
      <c r="I481" t="s">
        <v>163</v>
      </c>
      <c r="J481" t="s">
        <v>880</v>
      </c>
      <c r="L481" t="s">
        <v>28</v>
      </c>
    </row>
    <row r="482" spans="1:12" x14ac:dyDescent="0.35">
      <c r="A482">
        <v>817</v>
      </c>
      <c r="B482" s="24" t="s">
        <v>891</v>
      </c>
      <c r="C482" t="s">
        <v>13</v>
      </c>
      <c r="D482" t="s">
        <v>854</v>
      </c>
      <c r="E482" t="s">
        <v>15</v>
      </c>
      <c r="F482" t="s">
        <v>13</v>
      </c>
      <c r="G482" t="s">
        <v>857</v>
      </c>
      <c r="H482" t="s">
        <v>470</v>
      </c>
      <c r="J482" t="s">
        <v>892</v>
      </c>
      <c r="L482" t="s">
        <v>133</v>
      </c>
    </row>
    <row r="483" spans="1:12" x14ac:dyDescent="0.35">
      <c r="A483">
        <v>817</v>
      </c>
      <c r="B483" s="2" t="s">
        <v>893</v>
      </c>
      <c r="C483" t="s">
        <v>33</v>
      </c>
      <c r="D483" t="s">
        <v>205</v>
      </c>
      <c r="E483" t="s">
        <v>15</v>
      </c>
      <c r="F483" t="s">
        <v>33</v>
      </c>
      <c r="G483" t="s">
        <v>120</v>
      </c>
      <c r="H483" t="s">
        <v>470</v>
      </c>
      <c r="J483" t="s">
        <v>894</v>
      </c>
      <c r="L483" t="s">
        <v>133</v>
      </c>
    </row>
    <row r="484" spans="1:12" x14ac:dyDescent="0.35">
      <c r="A484">
        <v>817</v>
      </c>
      <c r="B484" s="4" t="s">
        <v>895</v>
      </c>
      <c r="C484" t="s">
        <v>33</v>
      </c>
      <c r="D484" t="s">
        <v>38</v>
      </c>
      <c r="E484" t="s">
        <v>15</v>
      </c>
      <c r="F484" t="s">
        <v>33</v>
      </c>
      <c r="G484" t="s">
        <v>120</v>
      </c>
      <c r="H484" t="s">
        <v>470</v>
      </c>
      <c r="J484" t="s">
        <v>894</v>
      </c>
      <c r="L484" t="s">
        <v>133</v>
      </c>
    </row>
    <row r="485" spans="1:12" x14ac:dyDescent="0.35">
      <c r="A485">
        <v>817</v>
      </c>
      <c r="B485" s="24" t="s">
        <v>896</v>
      </c>
      <c r="C485" t="s">
        <v>30</v>
      </c>
      <c r="D485" t="s">
        <v>34</v>
      </c>
      <c r="E485" t="s">
        <v>15</v>
      </c>
      <c r="F485" t="s">
        <v>594</v>
      </c>
      <c r="G485" t="s">
        <v>120</v>
      </c>
      <c r="H485" t="s">
        <v>470</v>
      </c>
      <c r="J485" t="s">
        <v>894</v>
      </c>
      <c r="L485" t="s">
        <v>133</v>
      </c>
    </row>
    <row r="486" spans="1:12" x14ac:dyDescent="0.35">
      <c r="A486">
        <v>817</v>
      </c>
      <c r="B486" t="s">
        <v>897</v>
      </c>
      <c r="C486" t="s">
        <v>30</v>
      </c>
      <c r="D486" t="s">
        <v>34</v>
      </c>
      <c r="E486" t="s">
        <v>15</v>
      </c>
      <c r="F486" t="s">
        <v>594</v>
      </c>
      <c r="G486" t="s">
        <v>120</v>
      </c>
      <c r="H486" t="s">
        <v>470</v>
      </c>
      <c r="J486" t="s">
        <v>894</v>
      </c>
      <c r="L486" t="s">
        <v>133</v>
      </c>
    </row>
    <row r="487" spans="1:12" x14ac:dyDescent="0.35">
      <c r="A487">
        <v>817</v>
      </c>
      <c r="B487" s="8" t="s">
        <v>898</v>
      </c>
      <c r="C487" t="s">
        <v>33</v>
      </c>
      <c r="D487" t="s">
        <v>899</v>
      </c>
      <c r="E487" t="s">
        <v>15</v>
      </c>
      <c r="F487" t="s">
        <v>137</v>
      </c>
      <c r="G487" t="s">
        <v>120</v>
      </c>
      <c r="H487" t="s">
        <v>470</v>
      </c>
      <c r="J487" t="s">
        <v>900</v>
      </c>
      <c r="L487" t="s">
        <v>133</v>
      </c>
    </row>
    <row r="488" spans="1:12" x14ac:dyDescent="0.35">
      <c r="A488">
        <v>817</v>
      </c>
      <c r="B488" s="15" t="s">
        <v>901</v>
      </c>
      <c r="C488" t="s">
        <v>30</v>
      </c>
      <c r="D488" t="s">
        <v>902</v>
      </c>
      <c r="E488" t="s">
        <v>15</v>
      </c>
      <c r="F488" t="s">
        <v>377</v>
      </c>
      <c r="G488" t="s">
        <v>120</v>
      </c>
      <c r="H488" t="s">
        <v>470</v>
      </c>
      <c r="J488" t="s">
        <v>903</v>
      </c>
      <c r="L488" t="s">
        <v>133</v>
      </c>
    </row>
    <row r="489" spans="1:12" x14ac:dyDescent="0.35">
      <c r="A489">
        <v>817</v>
      </c>
      <c r="B489" s="12" t="s">
        <v>904</v>
      </c>
      <c r="C489" t="s">
        <v>30</v>
      </c>
      <c r="D489" t="s">
        <v>905</v>
      </c>
      <c r="E489" t="s">
        <v>15</v>
      </c>
      <c r="F489" t="s">
        <v>685</v>
      </c>
      <c r="G489" t="s">
        <v>120</v>
      </c>
      <c r="H489" t="s">
        <v>470</v>
      </c>
      <c r="J489" t="s">
        <v>906</v>
      </c>
      <c r="L489" t="s">
        <v>133</v>
      </c>
    </row>
    <row r="490" spans="1:12" x14ac:dyDescent="0.35">
      <c r="A490">
        <v>817</v>
      </c>
      <c r="B490" s="2" t="s">
        <v>12</v>
      </c>
      <c r="C490" t="s">
        <v>13</v>
      </c>
      <c r="D490" t="s">
        <v>854</v>
      </c>
      <c r="E490" t="s">
        <v>15</v>
      </c>
      <c r="F490" t="s">
        <v>13</v>
      </c>
      <c r="G490" t="s">
        <v>857</v>
      </c>
      <c r="H490" t="s">
        <v>470</v>
      </c>
      <c r="J490" t="s">
        <v>906</v>
      </c>
      <c r="L490" t="s">
        <v>133</v>
      </c>
    </row>
    <row r="491" spans="1:12" x14ac:dyDescent="0.35">
      <c r="A491">
        <v>819</v>
      </c>
      <c r="B491" s="15" t="s">
        <v>907</v>
      </c>
      <c r="C491" t="s">
        <v>49</v>
      </c>
      <c r="E491" t="s">
        <v>15</v>
      </c>
      <c r="F491" t="s">
        <v>24</v>
      </c>
      <c r="G491" t="s">
        <v>63</v>
      </c>
      <c r="H491" t="s">
        <v>589</v>
      </c>
      <c r="J491" t="s">
        <v>908</v>
      </c>
      <c r="L491" t="s">
        <v>90</v>
      </c>
    </row>
    <row r="492" spans="1:12" x14ac:dyDescent="0.35">
      <c r="A492">
        <v>819</v>
      </c>
      <c r="B492" s="16" t="s">
        <v>874</v>
      </c>
      <c r="C492" t="s">
        <v>22</v>
      </c>
      <c r="D492" t="s">
        <v>836</v>
      </c>
      <c r="E492" t="s">
        <v>15</v>
      </c>
      <c r="F492" t="s">
        <v>35</v>
      </c>
      <c r="G492" t="s">
        <v>857</v>
      </c>
      <c r="H492" t="s">
        <v>589</v>
      </c>
      <c r="J492" t="s">
        <v>909</v>
      </c>
      <c r="L492" t="s">
        <v>90</v>
      </c>
    </row>
    <row r="493" spans="1:12" x14ac:dyDescent="0.35">
      <c r="A493">
        <v>819</v>
      </c>
      <c r="B493" s="41" t="s">
        <v>910</v>
      </c>
      <c r="C493" t="s">
        <v>13</v>
      </c>
      <c r="D493" t="s">
        <v>911</v>
      </c>
      <c r="E493" t="s">
        <v>15</v>
      </c>
      <c r="F493" t="s">
        <v>35</v>
      </c>
      <c r="G493" t="s">
        <v>857</v>
      </c>
      <c r="H493" t="s">
        <v>589</v>
      </c>
      <c r="J493" t="s">
        <v>912</v>
      </c>
      <c r="L493" t="s">
        <v>90</v>
      </c>
    </row>
    <row r="494" spans="1:12" x14ac:dyDescent="0.35">
      <c r="A494">
        <v>819</v>
      </c>
      <c r="B494" s="42" t="s">
        <v>913</v>
      </c>
      <c r="C494" t="s">
        <v>13</v>
      </c>
      <c r="D494" t="s">
        <v>34</v>
      </c>
      <c r="E494" t="s">
        <v>15</v>
      </c>
      <c r="F494" t="s">
        <v>35</v>
      </c>
      <c r="G494" t="s">
        <v>857</v>
      </c>
      <c r="H494" t="s">
        <v>589</v>
      </c>
      <c r="J494" t="s">
        <v>914</v>
      </c>
      <c r="L494" t="s">
        <v>90</v>
      </c>
    </row>
    <row r="495" spans="1:12" x14ac:dyDescent="0.35">
      <c r="A495">
        <v>441</v>
      </c>
      <c r="B495" t="s">
        <v>915</v>
      </c>
      <c r="C495" t="s">
        <v>33</v>
      </c>
      <c r="D495" t="s">
        <v>34</v>
      </c>
      <c r="E495" t="s">
        <v>15</v>
      </c>
      <c r="F495" t="s">
        <v>766</v>
      </c>
      <c r="G495" t="s">
        <v>916</v>
      </c>
      <c r="H495" t="s">
        <v>917</v>
      </c>
      <c r="J495" t="s">
        <v>918</v>
      </c>
      <c r="L495" t="s">
        <v>28</v>
      </c>
    </row>
    <row r="496" spans="1:12" x14ac:dyDescent="0.35">
      <c r="A496">
        <v>441</v>
      </c>
      <c r="B496" t="s">
        <v>919</v>
      </c>
      <c r="C496" t="s">
        <v>33</v>
      </c>
      <c r="D496" t="s">
        <v>34</v>
      </c>
      <c r="E496" t="s">
        <v>15</v>
      </c>
      <c r="F496" t="s">
        <v>766</v>
      </c>
      <c r="G496" t="s">
        <v>916</v>
      </c>
      <c r="H496" t="s">
        <v>917</v>
      </c>
      <c r="J496" t="s">
        <v>918</v>
      </c>
      <c r="L496" t="s">
        <v>28</v>
      </c>
    </row>
    <row r="497" spans="1:12" x14ac:dyDescent="0.35">
      <c r="A497">
        <v>68</v>
      </c>
      <c r="B497" s="23" t="s">
        <v>920</v>
      </c>
      <c r="C497" t="s">
        <v>30</v>
      </c>
      <c r="D497" t="s">
        <v>862</v>
      </c>
      <c r="E497" t="s">
        <v>15</v>
      </c>
      <c r="F497" t="s">
        <v>24</v>
      </c>
      <c r="G497" t="s">
        <v>63</v>
      </c>
      <c r="H497" t="s">
        <v>921</v>
      </c>
      <c r="J497" t="s">
        <v>922</v>
      </c>
      <c r="K497" t="s">
        <v>923</v>
      </c>
      <c r="L497" t="s">
        <v>28</v>
      </c>
    </row>
    <row r="498" spans="1:12" x14ac:dyDescent="0.35">
      <c r="A498">
        <v>68</v>
      </c>
      <c r="B498" t="s">
        <v>924</v>
      </c>
      <c r="C498" t="s">
        <v>33</v>
      </c>
      <c r="D498" t="s">
        <v>862</v>
      </c>
      <c r="E498" t="s">
        <v>15</v>
      </c>
      <c r="F498" t="s">
        <v>24</v>
      </c>
      <c r="G498" t="s">
        <v>63</v>
      </c>
      <c r="H498" t="s">
        <v>921</v>
      </c>
      <c r="J498" t="s">
        <v>922</v>
      </c>
      <c r="K498" t="s">
        <v>923</v>
      </c>
      <c r="L498" t="s">
        <v>28</v>
      </c>
    </row>
    <row r="499" spans="1:12" x14ac:dyDescent="0.35">
      <c r="A499">
        <v>68</v>
      </c>
      <c r="B499" t="s">
        <v>925</v>
      </c>
      <c r="C499" t="s">
        <v>33</v>
      </c>
      <c r="D499" t="s">
        <v>862</v>
      </c>
      <c r="E499" t="s">
        <v>15</v>
      </c>
      <c r="F499" t="s">
        <v>24</v>
      </c>
      <c r="G499" t="s">
        <v>63</v>
      </c>
      <c r="H499" t="s">
        <v>921</v>
      </c>
      <c r="J499" t="s">
        <v>922</v>
      </c>
      <c r="K499" t="s">
        <v>923</v>
      </c>
      <c r="L499" t="s">
        <v>28</v>
      </c>
    </row>
    <row r="500" spans="1:12" x14ac:dyDescent="0.35">
      <c r="A500">
        <v>68</v>
      </c>
      <c r="B500" t="s">
        <v>926</v>
      </c>
      <c r="C500" t="s">
        <v>33</v>
      </c>
      <c r="D500" t="s">
        <v>862</v>
      </c>
      <c r="E500" t="s">
        <v>15</v>
      </c>
      <c r="F500" t="s">
        <v>24</v>
      </c>
      <c r="G500" t="s">
        <v>63</v>
      </c>
      <c r="H500" t="s">
        <v>921</v>
      </c>
      <c r="J500" t="s">
        <v>922</v>
      </c>
      <c r="K500" t="s">
        <v>923</v>
      </c>
      <c r="L500" t="s">
        <v>28</v>
      </c>
    </row>
    <row r="501" spans="1:12" x14ac:dyDescent="0.35">
      <c r="A501">
        <v>147</v>
      </c>
      <c r="B501" s="5" t="s">
        <v>927</v>
      </c>
      <c r="C501" t="s">
        <v>33</v>
      </c>
      <c r="D501" t="s">
        <v>928</v>
      </c>
      <c r="E501" t="s">
        <v>15</v>
      </c>
      <c r="F501" t="s">
        <v>33</v>
      </c>
      <c r="G501" t="s">
        <v>63</v>
      </c>
      <c r="H501" t="s">
        <v>457</v>
      </c>
      <c r="J501" t="s">
        <v>590</v>
      </c>
      <c r="K501" t="s">
        <v>929</v>
      </c>
      <c r="L501" t="s">
        <v>174</v>
      </c>
    </row>
    <row r="502" spans="1:12" x14ac:dyDescent="0.35">
      <c r="A502">
        <v>147</v>
      </c>
      <c r="B502" s="7" t="s">
        <v>930</v>
      </c>
      <c r="C502" t="s">
        <v>33</v>
      </c>
      <c r="D502" t="s">
        <v>481</v>
      </c>
      <c r="E502" t="s">
        <v>15</v>
      </c>
      <c r="F502" t="s">
        <v>24</v>
      </c>
      <c r="G502" t="s">
        <v>63</v>
      </c>
      <c r="H502" t="s">
        <v>457</v>
      </c>
      <c r="J502" t="s">
        <v>931</v>
      </c>
      <c r="K502" t="s">
        <v>932</v>
      </c>
      <c r="L502" t="s">
        <v>174</v>
      </c>
    </row>
    <row r="503" spans="1:12" x14ac:dyDescent="0.35">
      <c r="A503">
        <v>147</v>
      </c>
      <c r="B503" s="16" t="s">
        <v>80</v>
      </c>
      <c r="C503" t="s">
        <v>22</v>
      </c>
      <c r="D503" t="s">
        <v>933</v>
      </c>
      <c r="E503" t="s">
        <v>15</v>
      </c>
      <c r="F503" t="s">
        <v>24</v>
      </c>
      <c r="G503" t="s">
        <v>802</v>
      </c>
      <c r="H503" t="s">
        <v>457</v>
      </c>
      <c r="I503" t="s">
        <v>934</v>
      </c>
      <c r="J503" t="s">
        <v>590</v>
      </c>
      <c r="K503" t="s">
        <v>929</v>
      </c>
      <c r="L503" t="s">
        <v>174</v>
      </c>
    </row>
    <row r="504" spans="1:12" x14ac:dyDescent="0.35">
      <c r="A504">
        <v>147</v>
      </c>
      <c r="B504" s="16" t="s">
        <v>80</v>
      </c>
      <c r="C504" t="s">
        <v>22</v>
      </c>
      <c r="D504" t="s">
        <v>935</v>
      </c>
      <c r="E504" t="s">
        <v>15</v>
      </c>
      <c r="F504" t="s">
        <v>24</v>
      </c>
      <c r="G504" t="s">
        <v>802</v>
      </c>
      <c r="H504" t="s">
        <v>457</v>
      </c>
      <c r="I504" t="s">
        <v>934</v>
      </c>
      <c r="J504" t="s">
        <v>590</v>
      </c>
      <c r="K504" t="s">
        <v>929</v>
      </c>
      <c r="L504" t="s">
        <v>174</v>
      </c>
    </row>
    <row r="505" spans="1:12" x14ac:dyDescent="0.35">
      <c r="A505">
        <v>147</v>
      </c>
      <c r="B505" s="17" t="s">
        <v>424</v>
      </c>
      <c r="C505" t="s">
        <v>22</v>
      </c>
      <c r="D505" t="s">
        <v>936</v>
      </c>
      <c r="E505" t="s">
        <v>15</v>
      </c>
      <c r="F505" t="s">
        <v>24</v>
      </c>
      <c r="G505" t="s">
        <v>802</v>
      </c>
      <c r="H505" t="s">
        <v>457</v>
      </c>
      <c r="I505" t="s">
        <v>934</v>
      </c>
      <c r="J505" t="s">
        <v>590</v>
      </c>
      <c r="K505" t="s">
        <v>929</v>
      </c>
      <c r="L505" t="s">
        <v>174</v>
      </c>
    </row>
    <row r="506" spans="1:12" x14ac:dyDescent="0.35">
      <c r="A506">
        <v>147</v>
      </c>
      <c r="B506" s="17" t="s">
        <v>424</v>
      </c>
      <c r="C506" t="s">
        <v>22</v>
      </c>
      <c r="D506" t="s">
        <v>937</v>
      </c>
      <c r="E506" t="s">
        <v>15</v>
      </c>
      <c r="F506" t="s">
        <v>24</v>
      </c>
      <c r="G506" t="s">
        <v>802</v>
      </c>
      <c r="H506" t="s">
        <v>457</v>
      </c>
      <c r="I506" t="s">
        <v>934</v>
      </c>
      <c r="J506" t="s">
        <v>590</v>
      </c>
      <c r="K506" t="s">
        <v>929</v>
      </c>
      <c r="L506" t="s">
        <v>174</v>
      </c>
    </row>
    <row r="507" spans="1:12" x14ac:dyDescent="0.35">
      <c r="A507">
        <v>147</v>
      </c>
      <c r="B507" s="3" t="s">
        <v>938</v>
      </c>
      <c r="C507" t="s">
        <v>33</v>
      </c>
      <c r="D507" t="s">
        <v>939</v>
      </c>
      <c r="E507" t="s">
        <v>15</v>
      </c>
      <c r="F507" t="s">
        <v>24</v>
      </c>
      <c r="G507" t="s">
        <v>802</v>
      </c>
      <c r="H507" t="s">
        <v>457</v>
      </c>
      <c r="I507" t="s">
        <v>934</v>
      </c>
      <c r="J507" t="s">
        <v>940</v>
      </c>
      <c r="K507" t="s">
        <v>941</v>
      </c>
      <c r="L507" t="s">
        <v>174</v>
      </c>
    </row>
    <row r="508" spans="1:12" x14ac:dyDescent="0.35">
      <c r="A508">
        <v>79</v>
      </c>
      <c r="B508" s="2" t="s">
        <v>942</v>
      </c>
      <c r="C508" t="s">
        <v>33</v>
      </c>
      <c r="D508" t="s">
        <v>205</v>
      </c>
      <c r="E508" t="s">
        <v>15</v>
      </c>
      <c r="F508" t="s">
        <v>35</v>
      </c>
      <c r="G508" t="s">
        <v>943</v>
      </c>
      <c r="H508" t="s">
        <v>944</v>
      </c>
      <c r="J508" t="s">
        <v>945</v>
      </c>
      <c r="K508" t="s">
        <v>946</v>
      </c>
      <c r="L508" t="s">
        <v>133</v>
      </c>
    </row>
    <row r="509" spans="1:12" x14ac:dyDescent="0.35">
      <c r="A509">
        <v>79</v>
      </c>
      <c r="B509" s="3" t="s">
        <v>947</v>
      </c>
      <c r="C509" t="s">
        <v>33</v>
      </c>
      <c r="D509" t="s">
        <v>34</v>
      </c>
      <c r="E509" t="s">
        <v>15</v>
      </c>
      <c r="F509" t="s">
        <v>35</v>
      </c>
      <c r="G509" t="s">
        <v>943</v>
      </c>
      <c r="H509" t="s">
        <v>944</v>
      </c>
      <c r="J509" t="s">
        <v>948</v>
      </c>
      <c r="K509" t="s">
        <v>946</v>
      </c>
      <c r="L509" t="s">
        <v>133</v>
      </c>
    </row>
    <row r="510" spans="1:12" x14ac:dyDescent="0.35">
      <c r="A510">
        <v>79</v>
      </c>
      <c r="B510" s="5" t="s">
        <v>385</v>
      </c>
      <c r="C510" t="s">
        <v>33</v>
      </c>
      <c r="D510" t="s">
        <v>949</v>
      </c>
      <c r="E510" t="s">
        <v>15</v>
      </c>
      <c r="F510" t="s">
        <v>35</v>
      </c>
      <c r="G510" t="s">
        <v>943</v>
      </c>
      <c r="H510" t="s">
        <v>944</v>
      </c>
      <c r="J510" t="s">
        <v>948</v>
      </c>
      <c r="L510" t="s">
        <v>133</v>
      </c>
    </row>
    <row r="511" spans="1:12" x14ac:dyDescent="0.35">
      <c r="A511">
        <v>776</v>
      </c>
      <c r="B511" s="15" t="s">
        <v>950</v>
      </c>
      <c r="C511" t="s">
        <v>30</v>
      </c>
      <c r="D511" t="s">
        <v>951</v>
      </c>
      <c r="E511" t="s">
        <v>15</v>
      </c>
      <c r="F511" t="s">
        <v>137</v>
      </c>
      <c r="G511" t="s">
        <v>952</v>
      </c>
      <c r="H511" t="s">
        <v>953</v>
      </c>
      <c r="J511" t="s">
        <v>954</v>
      </c>
      <c r="L511" t="s">
        <v>133</v>
      </c>
    </row>
    <row r="512" spans="1:12" x14ac:dyDescent="0.35">
      <c r="A512">
        <v>776</v>
      </c>
      <c r="B512" s="2" t="s">
        <v>12</v>
      </c>
      <c r="C512" t="s">
        <v>13</v>
      </c>
      <c r="E512" t="s">
        <v>15</v>
      </c>
      <c r="F512" t="s">
        <v>13</v>
      </c>
      <c r="G512" t="s">
        <v>16</v>
      </c>
      <c r="H512" t="s">
        <v>206</v>
      </c>
      <c r="J512" t="s">
        <v>955</v>
      </c>
      <c r="L512" t="s">
        <v>133</v>
      </c>
    </row>
    <row r="513" spans="1:12" x14ac:dyDescent="0.35">
      <c r="A513">
        <v>776</v>
      </c>
      <c r="B513" s="13" t="s">
        <v>956</v>
      </c>
      <c r="C513" t="s">
        <v>33</v>
      </c>
      <c r="D513" t="s">
        <v>157</v>
      </c>
      <c r="E513" t="s">
        <v>15</v>
      </c>
      <c r="F513" t="s">
        <v>137</v>
      </c>
      <c r="G513" t="s">
        <v>952</v>
      </c>
      <c r="H513" t="s">
        <v>957</v>
      </c>
      <c r="J513" t="s">
        <v>958</v>
      </c>
      <c r="K513" t="s">
        <v>959</v>
      </c>
      <c r="L513" t="s">
        <v>133</v>
      </c>
    </row>
    <row r="514" spans="1:12" x14ac:dyDescent="0.35">
      <c r="A514">
        <v>776</v>
      </c>
      <c r="B514" t="s">
        <v>960</v>
      </c>
      <c r="C514" t="s">
        <v>33</v>
      </c>
      <c r="D514" t="s">
        <v>961</v>
      </c>
      <c r="E514" t="s">
        <v>15</v>
      </c>
      <c r="F514" t="s">
        <v>137</v>
      </c>
      <c r="G514" t="s">
        <v>952</v>
      </c>
      <c r="H514" t="s">
        <v>957</v>
      </c>
      <c r="J514" t="s">
        <v>958</v>
      </c>
      <c r="K514" t="s">
        <v>959</v>
      </c>
      <c r="L514" t="s">
        <v>133</v>
      </c>
    </row>
    <row r="515" spans="1:12" x14ac:dyDescent="0.35">
      <c r="A515">
        <v>776</v>
      </c>
      <c r="B515" s="15" t="s">
        <v>962</v>
      </c>
      <c r="C515" t="s">
        <v>30</v>
      </c>
      <c r="D515" t="s">
        <v>963</v>
      </c>
      <c r="E515" t="s">
        <v>15</v>
      </c>
      <c r="F515" t="s">
        <v>137</v>
      </c>
      <c r="G515" t="s">
        <v>952</v>
      </c>
      <c r="H515" t="s">
        <v>957</v>
      </c>
      <c r="J515" t="s">
        <v>958</v>
      </c>
      <c r="K515" t="s">
        <v>959</v>
      </c>
      <c r="L515" t="s">
        <v>133</v>
      </c>
    </row>
    <row r="516" spans="1:12" x14ac:dyDescent="0.35">
      <c r="A516">
        <v>776</v>
      </c>
      <c r="B516" s="15" t="s">
        <v>964</v>
      </c>
      <c r="C516" t="s">
        <v>30</v>
      </c>
      <c r="E516" t="s">
        <v>15</v>
      </c>
      <c r="F516" t="s">
        <v>137</v>
      </c>
      <c r="G516" t="s">
        <v>952</v>
      </c>
      <c r="H516" t="s">
        <v>957</v>
      </c>
      <c r="J516" t="s">
        <v>958</v>
      </c>
      <c r="K516" t="s">
        <v>959</v>
      </c>
      <c r="L516" t="s">
        <v>133</v>
      </c>
    </row>
    <row r="517" spans="1:12" x14ac:dyDescent="0.35">
      <c r="A517">
        <v>776</v>
      </c>
      <c r="B517" t="s">
        <v>965</v>
      </c>
      <c r="C517" t="s">
        <v>33</v>
      </c>
      <c r="D517" t="s">
        <v>966</v>
      </c>
      <c r="E517" t="s">
        <v>15</v>
      </c>
      <c r="F517" t="s">
        <v>137</v>
      </c>
      <c r="G517" t="s">
        <v>952</v>
      </c>
      <c r="H517" t="s">
        <v>957</v>
      </c>
      <c r="J517" t="s">
        <v>958</v>
      </c>
      <c r="K517" t="s">
        <v>959</v>
      </c>
      <c r="L517" t="s">
        <v>133</v>
      </c>
    </row>
    <row r="518" spans="1:12" x14ac:dyDescent="0.35">
      <c r="A518">
        <v>780</v>
      </c>
      <c r="B518" s="23" t="s">
        <v>967</v>
      </c>
      <c r="C518" t="s">
        <v>30</v>
      </c>
      <c r="D518" t="s">
        <v>157</v>
      </c>
      <c r="E518" t="s">
        <v>15</v>
      </c>
      <c r="F518" t="s">
        <v>137</v>
      </c>
      <c r="G518" t="s">
        <v>952</v>
      </c>
      <c r="H518" t="s">
        <v>968</v>
      </c>
      <c r="J518" t="s">
        <v>969</v>
      </c>
      <c r="L518" t="s">
        <v>133</v>
      </c>
    </row>
    <row r="519" spans="1:12" x14ac:dyDescent="0.35">
      <c r="A519">
        <v>780</v>
      </c>
      <c r="B519" s="26" t="s">
        <v>970</v>
      </c>
      <c r="C519" t="s">
        <v>30</v>
      </c>
      <c r="D519" t="s">
        <v>376</v>
      </c>
      <c r="E519" t="s">
        <v>15</v>
      </c>
      <c r="F519" t="s">
        <v>137</v>
      </c>
      <c r="G519" t="s">
        <v>952</v>
      </c>
      <c r="H519" t="s">
        <v>968</v>
      </c>
      <c r="J519" t="s">
        <v>969</v>
      </c>
      <c r="L519" t="s">
        <v>133</v>
      </c>
    </row>
    <row r="520" spans="1:12" x14ac:dyDescent="0.35">
      <c r="A520">
        <v>780</v>
      </c>
      <c r="B520" s="26" t="s">
        <v>971</v>
      </c>
      <c r="C520" t="s">
        <v>30</v>
      </c>
      <c r="D520" t="s">
        <v>376</v>
      </c>
      <c r="E520" t="s">
        <v>15</v>
      </c>
      <c r="F520" t="s">
        <v>137</v>
      </c>
      <c r="G520" t="s">
        <v>952</v>
      </c>
      <c r="H520" t="s">
        <v>968</v>
      </c>
      <c r="J520" t="s">
        <v>969</v>
      </c>
      <c r="L520" t="s">
        <v>133</v>
      </c>
    </row>
    <row r="521" spans="1:12" x14ac:dyDescent="0.35">
      <c r="A521">
        <v>795</v>
      </c>
      <c r="B521" s="4" t="s">
        <v>332</v>
      </c>
      <c r="C521" t="s">
        <v>30</v>
      </c>
      <c r="D521" t="s">
        <v>47</v>
      </c>
      <c r="E521" t="s">
        <v>15</v>
      </c>
      <c r="F521" t="s">
        <v>35</v>
      </c>
      <c r="G521" t="s">
        <v>952</v>
      </c>
      <c r="H521" t="s">
        <v>54</v>
      </c>
      <c r="J521" t="s">
        <v>972</v>
      </c>
      <c r="K521" t="s">
        <v>973</v>
      </c>
      <c r="L521" t="s">
        <v>28</v>
      </c>
    </row>
    <row r="522" spans="1:12" x14ac:dyDescent="0.35">
      <c r="A522">
        <v>795</v>
      </c>
      <c r="B522" s="23" t="s">
        <v>974</v>
      </c>
      <c r="C522" t="s">
        <v>30</v>
      </c>
      <c r="D522" t="s">
        <v>38</v>
      </c>
      <c r="E522" t="s">
        <v>15</v>
      </c>
      <c r="F522" t="s">
        <v>35</v>
      </c>
      <c r="G522" t="s">
        <v>952</v>
      </c>
      <c r="H522" t="s">
        <v>54</v>
      </c>
      <c r="J522" t="s">
        <v>972</v>
      </c>
      <c r="K522" t="s">
        <v>973</v>
      </c>
      <c r="L522" t="s">
        <v>28</v>
      </c>
    </row>
    <row r="523" spans="1:12" x14ac:dyDescent="0.35">
      <c r="A523">
        <v>795</v>
      </c>
      <c r="B523" s="23" t="s">
        <v>975</v>
      </c>
      <c r="C523" t="s">
        <v>30</v>
      </c>
      <c r="D523" t="s">
        <v>157</v>
      </c>
      <c r="E523" t="s">
        <v>15</v>
      </c>
      <c r="F523" t="s">
        <v>35</v>
      </c>
      <c r="G523" t="s">
        <v>952</v>
      </c>
      <c r="H523" t="s">
        <v>54</v>
      </c>
      <c r="J523" t="s">
        <v>972</v>
      </c>
      <c r="K523" t="s">
        <v>973</v>
      </c>
      <c r="L523" t="s">
        <v>28</v>
      </c>
    </row>
    <row r="524" spans="1:12" x14ac:dyDescent="0.35">
      <c r="A524">
        <v>801</v>
      </c>
      <c r="B524" s="3" t="s">
        <v>976</v>
      </c>
      <c r="C524" t="s">
        <v>33</v>
      </c>
      <c r="D524" t="s">
        <v>34</v>
      </c>
      <c r="E524" t="s">
        <v>15</v>
      </c>
      <c r="F524" t="s">
        <v>35</v>
      </c>
      <c r="G524" t="s">
        <v>120</v>
      </c>
      <c r="H524" t="s">
        <v>977</v>
      </c>
      <c r="J524" t="s">
        <v>978</v>
      </c>
      <c r="K524" t="s">
        <v>979</v>
      </c>
      <c r="L524" t="s">
        <v>28</v>
      </c>
    </row>
    <row r="525" spans="1:12" x14ac:dyDescent="0.35">
      <c r="A525">
        <v>850</v>
      </c>
      <c r="B525" s="16" t="s">
        <v>980</v>
      </c>
      <c r="C525" t="s">
        <v>13</v>
      </c>
      <c r="D525" t="s">
        <v>857</v>
      </c>
      <c r="E525" t="s">
        <v>15</v>
      </c>
      <c r="F525" t="s">
        <v>33</v>
      </c>
      <c r="G525" t="s">
        <v>981</v>
      </c>
      <c r="H525" t="s">
        <v>982</v>
      </c>
      <c r="J525" t="s">
        <v>983</v>
      </c>
      <c r="K525" t="s">
        <v>984</v>
      </c>
      <c r="L525" t="s">
        <v>20</v>
      </c>
    </row>
    <row r="526" spans="1:12" x14ac:dyDescent="0.35">
      <c r="A526">
        <v>850</v>
      </c>
      <c r="B526" s="2" t="s">
        <v>985</v>
      </c>
      <c r="C526" t="s">
        <v>33</v>
      </c>
      <c r="D526" t="s">
        <v>205</v>
      </c>
      <c r="E526" t="s">
        <v>15</v>
      </c>
      <c r="F526" t="s">
        <v>33</v>
      </c>
      <c r="G526" t="s">
        <v>120</v>
      </c>
      <c r="H526" t="s">
        <v>986</v>
      </c>
      <c r="J526" t="s">
        <v>987</v>
      </c>
      <c r="L526" t="s">
        <v>20</v>
      </c>
    </row>
    <row r="527" spans="1:12" x14ac:dyDescent="0.35">
      <c r="A527">
        <v>850</v>
      </c>
      <c r="B527" s="20" t="s">
        <v>388</v>
      </c>
      <c r="C527" t="s">
        <v>22</v>
      </c>
      <c r="D527" t="s">
        <v>988</v>
      </c>
      <c r="E527" t="s">
        <v>15</v>
      </c>
      <c r="F527" t="s">
        <v>24</v>
      </c>
      <c r="G527" t="s">
        <v>120</v>
      </c>
      <c r="H527" t="s">
        <v>986</v>
      </c>
      <c r="J527" t="s">
        <v>989</v>
      </c>
      <c r="L527" t="s">
        <v>20</v>
      </c>
    </row>
    <row r="528" spans="1:12" x14ac:dyDescent="0.35">
      <c r="A528">
        <v>857</v>
      </c>
      <c r="B528" s="24" t="s">
        <v>990</v>
      </c>
      <c r="C528" t="s">
        <v>13</v>
      </c>
      <c r="D528" t="s">
        <v>857</v>
      </c>
      <c r="E528" t="s">
        <v>15</v>
      </c>
      <c r="F528" t="s">
        <v>35</v>
      </c>
      <c r="G528" t="s">
        <v>16</v>
      </c>
      <c r="H528" t="s">
        <v>991</v>
      </c>
      <c r="J528" t="s">
        <v>992</v>
      </c>
      <c r="L528" t="s">
        <v>133</v>
      </c>
    </row>
    <row r="529" spans="1:12" x14ac:dyDescent="0.35">
      <c r="A529">
        <v>857</v>
      </c>
      <c r="B529" s="3" t="s">
        <v>76</v>
      </c>
      <c r="C529" t="s">
        <v>33</v>
      </c>
      <c r="D529" t="s">
        <v>34</v>
      </c>
      <c r="E529" t="s">
        <v>15</v>
      </c>
      <c r="F529" t="s">
        <v>35</v>
      </c>
      <c r="G529" t="s">
        <v>120</v>
      </c>
      <c r="H529" t="s">
        <v>991</v>
      </c>
      <c r="J529" t="s">
        <v>992</v>
      </c>
      <c r="L529" t="s">
        <v>133</v>
      </c>
    </row>
    <row r="530" spans="1:12" x14ac:dyDescent="0.35">
      <c r="A530">
        <v>857</v>
      </c>
      <c r="B530" s="2" t="s">
        <v>993</v>
      </c>
      <c r="C530" t="s">
        <v>33</v>
      </c>
      <c r="D530" t="s">
        <v>38</v>
      </c>
      <c r="E530" t="s">
        <v>15</v>
      </c>
      <c r="F530" t="s">
        <v>35</v>
      </c>
      <c r="G530" t="s">
        <v>120</v>
      </c>
      <c r="H530" t="s">
        <v>991</v>
      </c>
      <c r="J530" t="s">
        <v>994</v>
      </c>
      <c r="L530" t="s">
        <v>133</v>
      </c>
    </row>
    <row r="531" spans="1:12" x14ac:dyDescent="0.35">
      <c r="A531">
        <v>861</v>
      </c>
      <c r="B531" s="2" t="s">
        <v>12</v>
      </c>
      <c r="C531" t="s">
        <v>13</v>
      </c>
      <c r="D531" t="s">
        <v>857</v>
      </c>
      <c r="E531" t="s">
        <v>15</v>
      </c>
      <c r="F531" t="s">
        <v>35</v>
      </c>
      <c r="G531" t="s">
        <v>16</v>
      </c>
      <c r="H531" t="s">
        <v>995</v>
      </c>
      <c r="J531" t="s">
        <v>996</v>
      </c>
      <c r="K531" t="s">
        <v>997</v>
      </c>
      <c r="L531" t="s">
        <v>20</v>
      </c>
    </row>
    <row r="532" spans="1:12" x14ac:dyDescent="0.35">
      <c r="A532">
        <v>527</v>
      </c>
      <c r="B532" s="3" t="s">
        <v>998</v>
      </c>
      <c r="C532" t="s">
        <v>33</v>
      </c>
      <c r="D532" t="s">
        <v>34</v>
      </c>
      <c r="E532" t="s">
        <v>15</v>
      </c>
      <c r="F532" t="s">
        <v>33</v>
      </c>
      <c r="G532" t="s">
        <v>999</v>
      </c>
      <c r="H532" t="s">
        <v>114</v>
      </c>
      <c r="J532" t="s">
        <v>1000</v>
      </c>
      <c r="L532" t="s">
        <v>28</v>
      </c>
    </row>
    <row r="533" spans="1:12" x14ac:dyDescent="0.35">
      <c r="A533">
        <v>527</v>
      </c>
      <c r="B533" s="16" t="s">
        <v>1001</v>
      </c>
      <c r="C533" t="s">
        <v>22</v>
      </c>
      <c r="D533" t="s">
        <v>23</v>
      </c>
      <c r="E533" t="s">
        <v>15</v>
      </c>
      <c r="F533" t="s">
        <v>22</v>
      </c>
      <c r="G533" t="s">
        <v>999</v>
      </c>
      <c r="H533" t="s">
        <v>114</v>
      </c>
      <c r="J533" t="s">
        <v>1000</v>
      </c>
      <c r="L533" t="s">
        <v>28</v>
      </c>
    </row>
    <row r="534" spans="1:12" x14ac:dyDescent="0.35">
      <c r="A534">
        <v>527</v>
      </c>
      <c r="B534" s="16" t="s">
        <v>1002</v>
      </c>
      <c r="C534" t="s">
        <v>22</v>
      </c>
      <c r="D534" t="s">
        <v>23</v>
      </c>
      <c r="E534" t="s">
        <v>15</v>
      </c>
      <c r="F534" t="s">
        <v>22</v>
      </c>
      <c r="G534" t="s">
        <v>999</v>
      </c>
      <c r="H534" t="s">
        <v>114</v>
      </c>
      <c r="J534" t="s">
        <v>1000</v>
      </c>
      <c r="L534" t="s">
        <v>28</v>
      </c>
    </row>
    <row r="535" spans="1:12" x14ac:dyDescent="0.35">
      <c r="A535">
        <v>527</v>
      </c>
      <c r="B535" s="17" t="s">
        <v>1003</v>
      </c>
      <c r="C535" t="s">
        <v>22</v>
      </c>
      <c r="D535" t="s">
        <v>699</v>
      </c>
      <c r="E535" t="s">
        <v>15</v>
      </c>
      <c r="F535" t="s">
        <v>22</v>
      </c>
      <c r="G535" t="s">
        <v>999</v>
      </c>
      <c r="H535" t="s">
        <v>114</v>
      </c>
      <c r="J535" t="s">
        <v>1000</v>
      </c>
      <c r="L535" t="s">
        <v>28</v>
      </c>
    </row>
    <row r="536" spans="1:12" x14ac:dyDescent="0.35">
      <c r="A536">
        <v>527</v>
      </c>
      <c r="B536" s="18" t="s">
        <v>1004</v>
      </c>
      <c r="C536" t="s">
        <v>22</v>
      </c>
      <c r="D536" t="s">
        <v>1005</v>
      </c>
      <c r="E536" t="s">
        <v>15</v>
      </c>
      <c r="F536" t="s">
        <v>22</v>
      </c>
      <c r="G536" t="s">
        <v>999</v>
      </c>
      <c r="H536" t="s">
        <v>114</v>
      </c>
      <c r="J536" t="s">
        <v>1000</v>
      </c>
      <c r="L536" t="s">
        <v>28</v>
      </c>
    </row>
    <row r="537" spans="1:12" x14ac:dyDescent="0.35">
      <c r="A537">
        <v>527</v>
      </c>
      <c r="B537" s="19" t="s">
        <v>1006</v>
      </c>
      <c r="C537" t="s">
        <v>22</v>
      </c>
      <c r="D537" t="s">
        <v>34</v>
      </c>
      <c r="E537" t="s">
        <v>15</v>
      </c>
      <c r="F537" t="s">
        <v>24</v>
      </c>
      <c r="G537" t="s">
        <v>999</v>
      </c>
      <c r="H537" t="s">
        <v>114</v>
      </c>
      <c r="J537" t="s">
        <v>1000</v>
      </c>
      <c r="L537" t="s">
        <v>28</v>
      </c>
    </row>
    <row r="538" spans="1:12" x14ac:dyDescent="0.35">
      <c r="A538">
        <v>527</v>
      </c>
      <c r="B538" s="3" t="s">
        <v>1007</v>
      </c>
      <c r="C538" t="s">
        <v>33</v>
      </c>
      <c r="D538" t="s">
        <v>34</v>
      </c>
      <c r="E538" t="s">
        <v>15</v>
      </c>
      <c r="F538" t="s">
        <v>33</v>
      </c>
      <c r="G538" t="s">
        <v>999</v>
      </c>
      <c r="H538" t="s">
        <v>114</v>
      </c>
      <c r="J538" t="s">
        <v>1000</v>
      </c>
      <c r="L538" t="s">
        <v>28</v>
      </c>
    </row>
    <row r="539" spans="1:12" x14ac:dyDescent="0.35">
      <c r="A539">
        <v>535</v>
      </c>
      <c r="B539" s="23" t="s">
        <v>1008</v>
      </c>
      <c r="C539" t="s">
        <v>30</v>
      </c>
      <c r="D539" t="s">
        <v>34</v>
      </c>
      <c r="E539" t="s">
        <v>15</v>
      </c>
      <c r="F539" t="s">
        <v>35</v>
      </c>
      <c r="G539" t="s">
        <v>1009</v>
      </c>
      <c r="H539" t="s">
        <v>1010</v>
      </c>
      <c r="J539" t="s">
        <v>637</v>
      </c>
      <c r="K539" t="s">
        <v>1011</v>
      </c>
      <c r="L539" t="s">
        <v>45</v>
      </c>
    </row>
    <row r="540" spans="1:12" x14ac:dyDescent="0.35">
      <c r="A540">
        <v>535</v>
      </c>
      <c r="B540" s="23" t="s">
        <v>1012</v>
      </c>
      <c r="C540" t="s">
        <v>30</v>
      </c>
      <c r="D540" t="s">
        <v>1013</v>
      </c>
      <c r="E540" t="s">
        <v>15</v>
      </c>
      <c r="F540" t="s">
        <v>35</v>
      </c>
      <c r="G540" t="s">
        <v>1009</v>
      </c>
      <c r="H540" t="s">
        <v>27</v>
      </c>
      <c r="J540" t="s">
        <v>1009</v>
      </c>
      <c r="L540" t="s">
        <v>45</v>
      </c>
    </row>
    <row r="541" spans="1:12" x14ac:dyDescent="0.35">
      <c r="A541">
        <v>535</v>
      </c>
      <c r="B541" s="23" t="s">
        <v>1014</v>
      </c>
      <c r="C541" t="s">
        <v>30</v>
      </c>
      <c r="D541" t="s">
        <v>34</v>
      </c>
      <c r="E541" t="s">
        <v>15</v>
      </c>
      <c r="F541" t="s">
        <v>35</v>
      </c>
      <c r="G541" t="s">
        <v>1009</v>
      </c>
      <c r="H541" t="s">
        <v>27</v>
      </c>
      <c r="J541" t="s">
        <v>1015</v>
      </c>
      <c r="L541" t="s">
        <v>45</v>
      </c>
    </row>
    <row r="542" spans="1:12" x14ac:dyDescent="0.35">
      <c r="A542">
        <v>535</v>
      </c>
      <c r="B542" s="23" t="s">
        <v>1016</v>
      </c>
      <c r="C542" t="s">
        <v>30</v>
      </c>
      <c r="D542" t="s">
        <v>60</v>
      </c>
      <c r="E542" t="s">
        <v>15</v>
      </c>
      <c r="F542" t="s">
        <v>35</v>
      </c>
      <c r="G542" t="s">
        <v>1009</v>
      </c>
      <c r="H542" t="s">
        <v>27</v>
      </c>
      <c r="J542" t="s">
        <v>1017</v>
      </c>
      <c r="K542" t="s">
        <v>1018</v>
      </c>
      <c r="L542" t="s">
        <v>45</v>
      </c>
    </row>
    <row r="543" spans="1:12" x14ac:dyDescent="0.35">
      <c r="A543">
        <v>535</v>
      </c>
      <c r="B543" s="23" t="s">
        <v>1019</v>
      </c>
      <c r="C543" t="s">
        <v>30</v>
      </c>
      <c r="D543" t="s">
        <v>34</v>
      </c>
      <c r="E543" t="s">
        <v>15</v>
      </c>
      <c r="F543" t="s">
        <v>35</v>
      </c>
      <c r="G543" t="s">
        <v>1009</v>
      </c>
      <c r="H543" t="s">
        <v>27</v>
      </c>
      <c r="J543" t="s">
        <v>1020</v>
      </c>
      <c r="L543" t="s">
        <v>45</v>
      </c>
    </row>
    <row r="544" spans="1:12" x14ac:dyDescent="0.35">
      <c r="A544">
        <v>535</v>
      </c>
      <c r="B544" s="7" t="s">
        <v>1021</v>
      </c>
      <c r="C544" t="s">
        <v>30</v>
      </c>
      <c r="D544" t="s">
        <v>1022</v>
      </c>
      <c r="E544" t="s">
        <v>15</v>
      </c>
      <c r="F544" t="s">
        <v>35</v>
      </c>
      <c r="G544" t="s">
        <v>1023</v>
      </c>
      <c r="H544" t="s">
        <v>1024</v>
      </c>
      <c r="J544" t="s">
        <v>1025</v>
      </c>
      <c r="L544" t="s">
        <v>45</v>
      </c>
    </row>
    <row r="545" spans="1:12" x14ac:dyDescent="0.35">
      <c r="A545">
        <v>535</v>
      </c>
      <c r="B545" s="7" t="s">
        <v>1026</v>
      </c>
      <c r="C545" t="s">
        <v>30</v>
      </c>
      <c r="D545" t="s">
        <v>1022</v>
      </c>
      <c r="E545" t="s">
        <v>15</v>
      </c>
      <c r="F545" t="s">
        <v>35</v>
      </c>
      <c r="G545" t="s">
        <v>1023</v>
      </c>
      <c r="H545" t="s">
        <v>1027</v>
      </c>
      <c r="J545" t="s">
        <v>1028</v>
      </c>
      <c r="L545" t="s">
        <v>45</v>
      </c>
    </row>
    <row r="546" spans="1:12" x14ac:dyDescent="0.35">
      <c r="A546">
        <v>535</v>
      </c>
      <c r="B546" s="5" t="s">
        <v>587</v>
      </c>
      <c r="C546" t="s">
        <v>33</v>
      </c>
      <c r="D546" t="s">
        <v>1029</v>
      </c>
      <c r="E546" t="s">
        <v>15</v>
      </c>
      <c r="F546" t="s">
        <v>33</v>
      </c>
      <c r="G546" t="s">
        <v>1023</v>
      </c>
      <c r="H546" t="s">
        <v>1027</v>
      </c>
      <c r="J546" t="s">
        <v>1009</v>
      </c>
      <c r="L546" t="s">
        <v>45</v>
      </c>
    </row>
    <row r="547" spans="1:12" x14ac:dyDescent="0.35">
      <c r="A547">
        <v>535</v>
      </c>
      <c r="B547" s="23" t="s">
        <v>1030</v>
      </c>
      <c r="C547" t="s">
        <v>30</v>
      </c>
      <c r="D547" t="s">
        <v>1031</v>
      </c>
      <c r="E547" t="s">
        <v>15</v>
      </c>
      <c r="F547" t="s">
        <v>35</v>
      </c>
      <c r="G547" t="s">
        <v>1023</v>
      </c>
      <c r="H547" t="s">
        <v>1027</v>
      </c>
      <c r="J547" t="s">
        <v>1009</v>
      </c>
      <c r="L547" t="s">
        <v>45</v>
      </c>
    </row>
    <row r="548" spans="1:12" x14ac:dyDescent="0.35">
      <c r="A548">
        <v>535</v>
      </c>
      <c r="B548" s="23" t="s">
        <v>1032</v>
      </c>
      <c r="C548" t="s">
        <v>30</v>
      </c>
      <c r="D548" t="s">
        <v>1013</v>
      </c>
      <c r="E548" t="s">
        <v>15</v>
      </c>
      <c r="F548" t="s">
        <v>35</v>
      </c>
      <c r="G548" t="s">
        <v>1023</v>
      </c>
      <c r="H548" t="s">
        <v>1027</v>
      </c>
      <c r="J548" t="s">
        <v>1009</v>
      </c>
      <c r="K548" t="s">
        <v>1033</v>
      </c>
      <c r="L548" t="s">
        <v>45</v>
      </c>
    </row>
    <row r="549" spans="1:12" x14ac:dyDescent="0.35">
      <c r="A549">
        <v>536</v>
      </c>
      <c r="B549" s="21" t="s">
        <v>1034</v>
      </c>
      <c r="C549" t="s">
        <v>22</v>
      </c>
      <c r="D549" t="s">
        <v>1035</v>
      </c>
      <c r="E549" t="s">
        <v>15</v>
      </c>
      <c r="F549" t="s">
        <v>24</v>
      </c>
      <c r="G549" t="s">
        <v>1036</v>
      </c>
      <c r="H549" t="s">
        <v>782</v>
      </c>
      <c r="J549" t="s">
        <v>1037</v>
      </c>
      <c r="K549" t="s">
        <v>1011</v>
      </c>
      <c r="L549" t="s">
        <v>45</v>
      </c>
    </row>
    <row r="550" spans="1:12" x14ac:dyDescent="0.35">
      <c r="A550">
        <v>536</v>
      </c>
      <c r="B550" s="16" t="s">
        <v>1038</v>
      </c>
      <c r="C550" t="s">
        <v>22</v>
      </c>
      <c r="D550" t="s">
        <v>1039</v>
      </c>
      <c r="E550" t="s">
        <v>15</v>
      </c>
      <c r="F550" t="s">
        <v>22</v>
      </c>
      <c r="G550" t="s">
        <v>1036</v>
      </c>
      <c r="H550" t="s">
        <v>782</v>
      </c>
      <c r="J550" t="s">
        <v>1040</v>
      </c>
      <c r="L550" t="s">
        <v>45</v>
      </c>
    </row>
    <row r="551" spans="1:12" x14ac:dyDescent="0.35">
      <c r="A551">
        <v>536</v>
      </c>
      <c r="B551" s="16" t="s">
        <v>1041</v>
      </c>
      <c r="C551" t="s">
        <v>22</v>
      </c>
      <c r="D551" t="s">
        <v>1039</v>
      </c>
      <c r="E551" t="s">
        <v>15</v>
      </c>
      <c r="F551" t="s">
        <v>22</v>
      </c>
      <c r="G551" t="s">
        <v>1036</v>
      </c>
      <c r="H551" t="s">
        <v>782</v>
      </c>
      <c r="J551" t="s">
        <v>1040</v>
      </c>
      <c r="L551" t="s">
        <v>45</v>
      </c>
    </row>
    <row r="552" spans="1:12" x14ac:dyDescent="0.35">
      <c r="A552">
        <v>536</v>
      </c>
      <c r="B552" s="3" t="s">
        <v>1042</v>
      </c>
      <c r="C552" t="s">
        <v>33</v>
      </c>
      <c r="D552" t="s">
        <v>34</v>
      </c>
      <c r="E552" t="s">
        <v>15</v>
      </c>
      <c r="F552" t="s">
        <v>33</v>
      </c>
      <c r="G552" t="s">
        <v>1036</v>
      </c>
      <c r="H552" t="s">
        <v>782</v>
      </c>
      <c r="J552" t="s">
        <v>1040</v>
      </c>
      <c r="L552" t="s">
        <v>45</v>
      </c>
    </row>
    <row r="553" spans="1:12" x14ac:dyDescent="0.35">
      <c r="A553">
        <v>536</v>
      </c>
      <c r="B553" s="23" t="s">
        <v>1043</v>
      </c>
      <c r="C553" t="s">
        <v>30</v>
      </c>
      <c r="D553" t="s">
        <v>34</v>
      </c>
      <c r="E553" t="s">
        <v>15</v>
      </c>
      <c r="F553" t="s">
        <v>35</v>
      </c>
      <c r="G553" t="s">
        <v>1036</v>
      </c>
      <c r="H553" t="s">
        <v>782</v>
      </c>
      <c r="J553" t="s">
        <v>1044</v>
      </c>
      <c r="L553" t="s">
        <v>45</v>
      </c>
    </row>
    <row r="554" spans="1:12" x14ac:dyDescent="0.35">
      <c r="A554">
        <v>536</v>
      </c>
      <c r="B554" s="19" t="s">
        <v>1045</v>
      </c>
      <c r="C554" t="s">
        <v>22</v>
      </c>
      <c r="D554" t="s">
        <v>988</v>
      </c>
      <c r="E554" t="s">
        <v>15</v>
      </c>
      <c r="F554" t="s">
        <v>24</v>
      </c>
      <c r="G554" t="s">
        <v>1036</v>
      </c>
      <c r="H554" t="s">
        <v>782</v>
      </c>
      <c r="J554" t="s">
        <v>1040</v>
      </c>
      <c r="L554" t="s">
        <v>45</v>
      </c>
    </row>
    <row r="555" spans="1:12" x14ac:dyDescent="0.35">
      <c r="A555">
        <v>556</v>
      </c>
      <c r="B555" s="2" t="s">
        <v>1046</v>
      </c>
      <c r="C555" t="s">
        <v>13</v>
      </c>
      <c r="D555" t="s">
        <v>988</v>
      </c>
      <c r="E555" t="s">
        <v>15</v>
      </c>
      <c r="F555" t="s">
        <v>13</v>
      </c>
      <c r="G555" t="s">
        <v>857</v>
      </c>
      <c r="H555" t="s">
        <v>870</v>
      </c>
      <c r="J555" t="s">
        <v>1047</v>
      </c>
      <c r="L555" t="s">
        <v>20</v>
      </c>
    </row>
    <row r="556" spans="1:12" x14ac:dyDescent="0.35">
      <c r="A556">
        <v>556</v>
      </c>
      <c r="B556" s="2" t="s">
        <v>1048</v>
      </c>
      <c r="C556" t="s">
        <v>13</v>
      </c>
      <c r="D556" t="s">
        <v>988</v>
      </c>
      <c r="E556" t="s">
        <v>15</v>
      </c>
      <c r="F556" t="s">
        <v>13</v>
      </c>
      <c r="G556" t="s">
        <v>857</v>
      </c>
      <c r="H556" t="s">
        <v>870</v>
      </c>
      <c r="J556" t="s">
        <v>1049</v>
      </c>
      <c r="L556" t="s">
        <v>20</v>
      </c>
    </row>
    <row r="557" spans="1:12" x14ac:dyDescent="0.35">
      <c r="A557">
        <v>556</v>
      </c>
      <c r="B557" s="42" t="s">
        <v>1050</v>
      </c>
      <c r="C557" t="s">
        <v>13</v>
      </c>
      <c r="D557" t="s">
        <v>988</v>
      </c>
      <c r="E557" t="s">
        <v>15</v>
      </c>
      <c r="F557" t="s">
        <v>13</v>
      </c>
      <c r="G557" t="s">
        <v>857</v>
      </c>
      <c r="H557" t="s">
        <v>870</v>
      </c>
      <c r="J557" t="s">
        <v>1049</v>
      </c>
      <c r="L557" t="s">
        <v>20</v>
      </c>
    </row>
    <row r="558" spans="1:12" x14ac:dyDescent="0.35">
      <c r="A558">
        <v>556</v>
      </c>
      <c r="B558" s="24" t="s">
        <v>1051</v>
      </c>
      <c r="C558" t="s">
        <v>13</v>
      </c>
      <c r="D558" t="s">
        <v>988</v>
      </c>
      <c r="E558" t="s">
        <v>15</v>
      </c>
      <c r="F558" t="s">
        <v>13</v>
      </c>
      <c r="G558" t="s">
        <v>857</v>
      </c>
      <c r="H558" t="s">
        <v>870</v>
      </c>
      <c r="J558" t="s">
        <v>1049</v>
      </c>
      <c r="L558" t="s">
        <v>20</v>
      </c>
    </row>
    <row r="559" spans="1:12" x14ac:dyDescent="0.35">
      <c r="A559">
        <v>556</v>
      </c>
      <c r="B559" s="42" t="s">
        <v>1052</v>
      </c>
      <c r="C559" t="s">
        <v>13</v>
      </c>
      <c r="D559" t="s">
        <v>988</v>
      </c>
      <c r="E559" t="s">
        <v>15</v>
      </c>
      <c r="F559" t="s">
        <v>13</v>
      </c>
      <c r="G559" t="s">
        <v>857</v>
      </c>
      <c r="H559" t="s">
        <v>870</v>
      </c>
      <c r="J559" t="s">
        <v>1049</v>
      </c>
      <c r="L559" t="s">
        <v>20</v>
      </c>
    </row>
    <row r="560" spans="1:12" x14ac:dyDescent="0.35">
      <c r="A560">
        <v>556</v>
      </c>
      <c r="B560" s="42" t="s">
        <v>1053</v>
      </c>
      <c r="C560" t="s">
        <v>13</v>
      </c>
      <c r="D560" t="s">
        <v>988</v>
      </c>
      <c r="E560" t="s">
        <v>15</v>
      </c>
      <c r="F560" t="s">
        <v>13</v>
      </c>
      <c r="G560" t="s">
        <v>857</v>
      </c>
      <c r="H560" t="s">
        <v>870</v>
      </c>
      <c r="J560" t="s">
        <v>1049</v>
      </c>
      <c r="L560" t="s">
        <v>20</v>
      </c>
    </row>
    <row r="561" spans="1:12" x14ac:dyDescent="0.35">
      <c r="A561">
        <v>556</v>
      </c>
      <c r="B561" s="42" t="s">
        <v>1054</v>
      </c>
      <c r="C561" t="s">
        <v>13</v>
      </c>
      <c r="D561" t="s">
        <v>988</v>
      </c>
      <c r="E561" t="s">
        <v>15</v>
      </c>
      <c r="F561" t="s">
        <v>13</v>
      </c>
      <c r="G561" t="s">
        <v>857</v>
      </c>
      <c r="H561" t="s">
        <v>870</v>
      </c>
      <c r="J561" t="s">
        <v>1049</v>
      </c>
      <c r="L561" t="s">
        <v>20</v>
      </c>
    </row>
    <row r="562" spans="1:12" x14ac:dyDescent="0.35">
      <c r="A562">
        <v>556</v>
      </c>
      <c r="B562" s="42" t="s">
        <v>1055</v>
      </c>
      <c r="C562" t="s">
        <v>13</v>
      </c>
      <c r="D562" t="s">
        <v>988</v>
      </c>
      <c r="E562" t="s">
        <v>15</v>
      </c>
      <c r="F562" t="s">
        <v>13</v>
      </c>
      <c r="G562" t="s">
        <v>857</v>
      </c>
      <c r="H562" t="s">
        <v>870</v>
      </c>
      <c r="J562" t="s">
        <v>1049</v>
      </c>
      <c r="L562" t="s">
        <v>20</v>
      </c>
    </row>
    <row r="563" spans="1:12" x14ac:dyDescent="0.35">
      <c r="A563">
        <v>556</v>
      </c>
      <c r="B563" s="42" t="s">
        <v>1056</v>
      </c>
      <c r="C563" t="s">
        <v>13</v>
      </c>
      <c r="D563" t="s">
        <v>988</v>
      </c>
      <c r="E563" t="s">
        <v>15</v>
      </c>
      <c r="F563" t="s">
        <v>13</v>
      </c>
      <c r="G563" t="s">
        <v>857</v>
      </c>
      <c r="H563" t="s">
        <v>870</v>
      </c>
      <c r="J563" t="s">
        <v>1049</v>
      </c>
      <c r="L563" t="s">
        <v>20</v>
      </c>
    </row>
    <row r="564" spans="1:12" x14ac:dyDescent="0.35">
      <c r="A564">
        <v>556</v>
      </c>
      <c r="B564" s="42" t="s">
        <v>1057</v>
      </c>
      <c r="C564" t="s">
        <v>13</v>
      </c>
      <c r="D564" t="s">
        <v>988</v>
      </c>
      <c r="E564" t="s">
        <v>15</v>
      </c>
      <c r="F564" t="s">
        <v>13</v>
      </c>
      <c r="G564" t="s">
        <v>857</v>
      </c>
      <c r="H564" t="s">
        <v>870</v>
      </c>
      <c r="J564" t="s">
        <v>1049</v>
      </c>
      <c r="L564" t="s">
        <v>20</v>
      </c>
    </row>
    <row r="565" spans="1:12" x14ac:dyDescent="0.35">
      <c r="A565">
        <v>556</v>
      </c>
      <c r="B565" s="42" t="s">
        <v>1058</v>
      </c>
      <c r="C565" t="s">
        <v>13</v>
      </c>
      <c r="D565" t="s">
        <v>988</v>
      </c>
      <c r="E565" t="s">
        <v>15</v>
      </c>
      <c r="F565" t="s">
        <v>13</v>
      </c>
      <c r="G565" t="s">
        <v>857</v>
      </c>
      <c r="H565" t="s">
        <v>870</v>
      </c>
      <c r="J565" t="s">
        <v>1049</v>
      </c>
      <c r="L565" t="s">
        <v>20</v>
      </c>
    </row>
    <row r="566" spans="1:12" x14ac:dyDescent="0.35">
      <c r="A566">
        <v>556</v>
      </c>
      <c r="B566" s="42" t="s">
        <v>1059</v>
      </c>
      <c r="C566" t="s">
        <v>13</v>
      </c>
      <c r="D566" t="s">
        <v>1060</v>
      </c>
      <c r="E566" t="s">
        <v>15</v>
      </c>
      <c r="F566" t="s">
        <v>13</v>
      </c>
      <c r="G566" t="s">
        <v>857</v>
      </c>
      <c r="H566" t="s">
        <v>870</v>
      </c>
      <c r="J566" t="s">
        <v>1049</v>
      </c>
      <c r="L566" t="s">
        <v>20</v>
      </c>
    </row>
    <row r="567" spans="1:12" x14ac:dyDescent="0.35">
      <c r="A567">
        <v>556</v>
      </c>
      <c r="B567" s="42" t="s">
        <v>1061</v>
      </c>
      <c r="C567" t="s">
        <v>13</v>
      </c>
      <c r="D567" t="s">
        <v>1060</v>
      </c>
      <c r="E567" t="s">
        <v>15</v>
      </c>
      <c r="F567" t="s">
        <v>13</v>
      </c>
      <c r="G567" t="s">
        <v>857</v>
      </c>
      <c r="H567" t="s">
        <v>870</v>
      </c>
      <c r="J567" t="s">
        <v>1049</v>
      </c>
      <c r="L567" t="s">
        <v>20</v>
      </c>
    </row>
    <row r="568" spans="1:12" x14ac:dyDescent="0.35">
      <c r="A568">
        <v>556</v>
      </c>
      <c r="B568" s="42" t="s">
        <v>1062</v>
      </c>
      <c r="C568" t="s">
        <v>13</v>
      </c>
      <c r="D568" t="s">
        <v>1060</v>
      </c>
      <c r="E568" t="s">
        <v>15</v>
      </c>
      <c r="F568" t="s">
        <v>13</v>
      </c>
      <c r="G568" t="s">
        <v>857</v>
      </c>
      <c r="H568" t="s">
        <v>870</v>
      </c>
      <c r="J568" t="s">
        <v>1049</v>
      </c>
      <c r="L568" t="s">
        <v>20</v>
      </c>
    </row>
    <row r="569" spans="1:12" x14ac:dyDescent="0.35">
      <c r="A569">
        <v>556</v>
      </c>
      <c r="B569" s="42" t="s">
        <v>1062</v>
      </c>
      <c r="C569" t="s">
        <v>13</v>
      </c>
      <c r="D569" t="s">
        <v>1060</v>
      </c>
      <c r="E569" t="s">
        <v>15</v>
      </c>
      <c r="F569" t="s">
        <v>13</v>
      </c>
      <c r="G569" t="s">
        <v>857</v>
      </c>
      <c r="H569" t="s">
        <v>870</v>
      </c>
      <c r="J569" t="s">
        <v>1049</v>
      </c>
      <c r="L569" t="s">
        <v>20</v>
      </c>
    </row>
    <row r="570" spans="1:12" x14ac:dyDescent="0.35">
      <c r="A570">
        <v>556</v>
      </c>
      <c r="B570" s="24" t="s">
        <v>1063</v>
      </c>
      <c r="C570" t="s">
        <v>13</v>
      </c>
      <c r="D570" t="s">
        <v>988</v>
      </c>
      <c r="E570" t="s">
        <v>15</v>
      </c>
      <c r="F570" t="s">
        <v>13</v>
      </c>
      <c r="G570" t="s">
        <v>857</v>
      </c>
      <c r="H570" t="s">
        <v>870</v>
      </c>
      <c r="K570" t="s">
        <v>1064</v>
      </c>
      <c r="L570" t="s">
        <v>20</v>
      </c>
    </row>
    <row r="571" spans="1:12" x14ac:dyDescent="0.35">
      <c r="A571">
        <v>556</v>
      </c>
      <c r="B571" s="24" t="s">
        <v>1065</v>
      </c>
      <c r="C571" t="s">
        <v>13</v>
      </c>
      <c r="D571" t="s">
        <v>988</v>
      </c>
      <c r="E571" t="s">
        <v>15</v>
      </c>
      <c r="F571" t="s">
        <v>13</v>
      </c>
      <c r="G571" t="s">
        <v>857</v>
      </c>
      <c r="H571" t="s">
        <v>870</v>
      </c>
      <c r="K571" t="s">
        <v>1064</v>
      </c>
      <c r="L571" t="s">
        <v>20</v>
      </c>
    </row>
    <row r="572" spans="1:12" x14ac:dyDescent="0.35">
      <c r="A572">
        <v>556</v>
      </c>
      <c r="B572" s="24" t="s">
        <v>1066</v>
      </c>
      <c r="C572" t="s">
        <v>13</v>
      </c>
      <c r="D572" t="s">
        <v>988</v>
      </c>
      <c r="E572" t="s">
        <v>15</v>
      </c>
      <c r="F572" t="s">
        <v>13</v>
      </c>
      <c r="G572" t="s">
        <v>857</v>
      </c>
      <c r="H572" t="s">
        <v>870</v>
      </c>
      <c r="K572" t="s">
        <v>1064</v>
      </c>
      <c r="L572" t="s">
        <v>20</v>
      </c>
    </row>
    <row r="573" spans="1:12" x14ac:dyDescent="0.35">
      <c r="A573">
        <v>556</v>
      </c>
      <c r="B573" s="24" t="s">
        <v>1067</v>
      </c>
      <c r="C573" t="s">
        <v>13</v>
      </c>
      <c r="D573" t="s">
        <v>34</v>
      </c>
      <c r="E573" t="s">
        <v>15</v>
      </c>
      <c r="F573" t="s">
        <v>13</v>
      </c>
      <c r="G573" t="s">
        <v>857</v>
      </c>
      <c r="H573" t="s">
        <v>870</v>
      </c>
      <c r="K573" t="s">
        <v>1064</v>
      </c>
      <c r="L573" t="s">
        <v>20</v>
      </c>
    </row>
    <row r="574" spans="1:12" x14ac:dyDescent="0.35">
      <c r="A574">
        <v>556</v>
      </c>
      <c r="B574" s="24" t="s">
        <v>1068</v>
      </c>
      <c r="C574" t="s">
        <v>13</v>
      </c>
      <c r="D574" t="s">
        <v>34</v>
      </c>
      <c r="E574" t="s">
        <v>15</v>
      </c>
      <c r="F574" t="s">
        <v>13</v>
      </c>
      <c r="G574" t="s">
        <v>857</v>
      </c>
      <c r="H574" t="s">
        <v>870</v>
      </c>
      <c r="K574" t="s">
        <v>1064</v>
      </c>
      <c r="L574" t="s">
        <v>20</v>
      </c>
    </row>
    <row r="575" spans="1:12" x14ac:dyDescent="0.35">
      <c r="A575">
        <v>556</v>
      </c>
      <c r="B575" s="24" t="s">
        <v>1069</v>
      </c>
      <c r="C575" t="s">
        <v>13</v>
      </c>
      <c r="D575" t="s">
        <v>34</v>
      </c>
      <c r="E575" t="s">
        <v>15</v>
      </c>
      <c r="F575" t="s">
        <v>13</v>
      </c>
      <c r="G575" t="s">
        <v>857</v>
      </c>
      <c r="H575" t="s">
        <v>870</v>
      </c>
      <c r="K575" t="s">
        <v>1064</v>
      </c>
      <c r="L575" t="s">
        <v>20</v>
      </c>
    </row>
    <row r="576" spans="1:12" x14ac:dyDescent="0.35">
      <c r="A576">
        <v>557</v>
      </c>
      <c r="B576" s="24" t="s">
        <v>1070</v>
      </c>
      <c r="C576" t="s">
        <v>13</v>
      </c>
      <c r="D576" t="s">
        <v>988</v>
      </c>
      <c r="E576" t="s">
        <v>15</v>
      </c>
      <c r="F576" t="s">
        <v>13</v>
      </c>
      <c r="G576" t="s">
        <v>857</v>
      </c>
      <c r="H576" t="s">
        <v>1071</v>
      </c>
      <c r="J576" t="s">
        <v>1072</v>
      </c>
      <c r="L576" t="s">
        <v>90</v>
      </c>
    </row>
    <row r="577" spans="1:12" x14ac:dyDescent="0.35">
      <c r="A577">
        <v>557</v>
      </c>
      <c r="B577" s="2" t="s">
        <v>1073</v>
      </c>
      <c r="C577" t="s">
        <v>13</v>
      </c>
      <c r="D577" t="s">
        <v>988</v>
      </c>
      <c r="E577" t="s">
        <v>15</v>
      </c>
      <c r="F577" t="s">
        <v>13</v>
      </c>
      <c r="G577" t="s">
        <v>857</v>
      </c>
      <c r="H577" t="s">
        <v>1074</v>
      </c>
      <c r="J577" t="s">
        <v>1072</v>
      </c>
      <c r="L577" t="s">
        <v>90</v>
      </c>
    </row>
    <row r="578" spans="1:12" x14ac:dyDescent="0.35">
      <c r="A578">
        <v>557</v>
      </c>
      <c r="B578" s="24" t="s">
        <v>1075</v>
      </c>
      <c r="C578" t="s">
        <v>30</v>
      </c>
      <c r="D578" t="s">
        <v>988</v>
      </c>
      <c r="E578" t="s">
        <v>15</v>
      </c>
      <c r="F578" t="s">
        <v>57</v>
      </c>
      <c r="G578" t="s">
        <v>120</v>
      </c>
      <c r="H578" t="s">
        <v>1071</v>
      </c>
      <c r="J578" t="s">
        <v>601</v>
      </c>
      <c r="L578" t="s">
        <v>90</v>
      </c>
    </row>
    <row r="579" spans="1:12" x14ac:dyDescent="0.35">
      <c r="A579">
        <v>557</v>
      </c>
      <c r="B579" s="23" t="s">
        <v>1076</v>
      </c>
      <c r="C579" t="s">
        <v>30</v>
      </c>
      <c r="D579" t="s">
        <v>988</v>
      </c>
      <c r="E579" t="s">
        <v>15</v>
      </c>
      <c r="F579" t="s">
        <v>35</v>
      </c>
      <c r="G579" t="s">
        <v>120</v>
      </c>
      <c r="H579" t="s">
        <v>1071</v>
      </c>
      <c r="J579" t="s">
        <v>601</v>
      </c>
      <c r="L579" t="s">
        <v>90</v>
      </c>
    </row>
    <row r="580" spans="1:12" x14ac:dyDescent="0.35">
      <c r="A580">
        <v>557</v>
      </c>
      <c r="B580" s="23" t="s">
        <v>1077</v>
      </c>
      <c r="C580" t="s">
        <v>30</v>
      </c>
      <c r="D580" t="s">
        <v>988</v>
      </c>
      <c r="E580" t="s">
        <v>15</v>
      </c>
      <c r="F580" t="s">
        <v>35</v>
      </c>
      <c r="G580" t="s">
        <v>120</v>
      </c>
      <c r="H580" t="s">
        <v>1071</v>
      </c>
      <c r="J580" t="s">
        <v>601</v>
      </c>
      <c r="L580" t="s">
        <v>90</v>
      </c>
    </row>
    <row r="581" spans="1:12" x14ac:dyDescent="0.35">
      <c r="A581">
        <v>557</v>
      </c>
      <c r="B581" s="23" t="s">
        <v>1078</v>
      </c>
      <c r="C581" t="s">
        <v>30</v>
      </c>
      <c r="D581" t="s">
        <v>988</v>
      </c>
      <c r="E581" t="s">
        <v>15</v>
      </c>
      <c r="F581" t="s">
        <v>35</v>
      </c>
      <c r="G581" t="s">
        <v>120</v>
      </c>
      <c r="H581" t="s">
        <v>1071</v>
      </c>
      <c r="J581" t="s">
        <v>601</v>
      </c>
      <c r="L581" t="s">
        <v>90</v>
      </c>
    </row>
    <row r="582" spans="1:12" x14ac:dyDescent="0.35">
      <c r="A582">
        <v>557</v>
      </c>
      <c r="B582" s="3" t="s">
        <v>1079</v>
      </c>
      <c r="C582" t="s">
        <v>33</v>
      </c>
      <c r="D582" t="s">
        <v>988</v>
      </c>
      <c r="E582" t="s">
        <v>15</v>
      </c>
      <c r="F582" t="s">
        <v>33</v>
      </c>
      <c r="G582" t="s">
        <v>120</v>
      </c>
      <c r="H582" t="s">
        <v>1071</v>
      </c>
      <c r="J582" t="s">
        <v>601</v>
      </c>
      <c r="L582" t="s">
        <v>90</v>
      </c>
    </row>
    <row r="583" spans="1:12" x14ac:dyDescent="0.35">
      <c r="A583">
        <v>557</v>
      </c>
      <c r="B583" s="23" t="s">
        <v>1080</v>
      </c>
      <c r="C583" t="s">
        <v>30</v>
      </c>
      <c r="D583" t="s">
        <v>34</v>
      </c>
      <c r="E583" t="s">
        <v>15</v>
      </c>
      <c r="F583" t="s">
        <v>35</v>
      </c>
      <c r="K583" t="s">
        <v>1081</v>
      </c>
      <c r="L583" t="s">
        <v>90</v>
      </c>
    </row>
    <row r="584" spans="1:12" x14ac:dyDescent="0.35">
      <c r="A584">
        <v>557</v>
      </c>
      <c r="B584" t="s">
        <v>1082</v>
      </c>
      <c r="C584" t="s">
        <v>30</v>
      </c>
      <c r="E584" t="s">
        <v>15</v>
      </c>
      <c r="F584" t="s">
        <v>35</v>
      </c>
      <c r="K584" t="s">
        <v>1083</v>
      </c>
      <c r="L584" t="s">
        <v>90</v>
      </c>
    </row>
    <row r="585" spans="1:12" x14ac:dyDescent="0.35">
      <c r="A585">
        <v>563</v>
      </c>
      <c r="B585" s="2" t="s">
        <v>1084</v>
      </c>
      <c r="C585" t="s">
        <v>33</v>
      </c>
      <c r="D585" t="s">
        <v>205</v>
      </c>
      <c r="E585" t="s">
        <v>15</v>
      </c>
      <c r="F585" t="s">
        <v>33</v>
      </c>
      <c r="G585" t="s">
        <v>1085</v>
      </c>
      <c r="H585" t="s">
        <v>148</v>
      </c>
      <c r="J585" t="s">
        <v>1086</v>
      </c>
      <c r="L585" t="s">
        <v>28</v>
      </c>
    </row>
    <row r="586" spans="1:12" x14ac:dyDescent="0.35">
      <c r="A586">
        <v>563</v>
      </c>
      <c r="B586" s="2" t="s">
        <v>1087</v>
      </c>
      <c r="C586" t="s">
        <v>33</v>
      </c>
      <c r="D586" t="s">
        <v>205</v>
      </c>
      <c r="E586" t="s">
        <v>15</v>
      </c>
      <c r="F586" t="s">
        <v>33</v>
      </c>
      <c r="G586" t="s">
        <v>1085</v>
      </c>
      <c r="H586" t="s">
        <v>148</v>
      </c>
      <c r="J586" t="s">
        <v>1086</v>
      </c>
      <c r="L586" t="s">
        <v>28</v>
      </c>
    </row>
    <row r="587" spans="1:12" x14ac:dyDescent="0.35">
      <c r="A587">
        <v>563</v>
      </c>
      <c r="B587" s="2" t="s">
        <v>1088</v>
      </c>
      <c r="C587" t="s">
        <v>33</v>
      </c>
      <c r="D587" t="s">
        <v>205</v>
      </c>
      <c r="E587" t="s">
        <v>15</v>
      </c>
      <c r="F587" t="s">
        <v>33</v>
      </c>
      <c r="G587" t="s">
        <v>1085</v>
      </c>
      <c r="H587" t="s">
        <v>148</v>
      </c>
      <c r="J587" t="s">
        <v>1089</v>
      </c>
      <c r="K587" t="s">
        <v>1090</v>
      </c>
      <c r="L587" t="s">
        <v>28</v>
      </c>
    </row>
    <row r="588" spans="1:12" x14ac:dyDescent="0.35">
      <c r="A588">
        <v>563</v>
      </c>
      <c r="B588" s="2" t="s">
        <v>1091</v>
      </c>
      <c r="C588" t="s">
        <v>33</v>
      </c>
      <c r="D588" t="s">
        <v>205</v>
      </c>
      <c r="E588" t="s">
        <v>15</v>
      </c>
      <c r="F588" t="s">
        <v>33</v>
      </c>
      <c r="G588" t="s">
        <v>1085</v>
      </c>
      <c r="H588" t="s">
        <v>148</v>
      </c>
      <c r="J588" t="s">
        <v>1092</v>
      </c>
      <c r="L588" t="s">
        <v>28</v>
      </c>
    </row>
    <row r="589" spans="1:12" x14ac:dyDescent="0.35">
      <c r="A589">
        <v>563</v>
      </c>
      <c r="B589" s="15" t="s">
        <v>1093</v>
      </c>
      <c r="C589" t="s">
        <v>49</v>
      </c>
      <c r="D589" t="s">
        <v>988</v>
      </c>
      <c r="E589" t="s">
        <v>15</v>
      </c>
      <c r="F589" t="s">
        <v>35</v>
      </c>
      <c r="G589" t="s">
        <v>1085</v>
      </c>
      <c r="H589" t="s">
        <v>148</v>
      </c>
      <c r="J589" t="s">
        <v>1094</v>
      </c>
      <c r="K589" t="s">
        <v>1095</v>
      </c>
      <c r="L589" t="s">
        <v>28</v>
      </c>
    </row>
    <row r="590" spans="1:12" x14ac:dyDescent="0.35">
      <c r="A590">
        <v>563</v>
      </c>
      <c r="B590" s="15" t="s">
        <v>1096</v>
      </c>
      <c r="C590" t="s">
        <v>49</v>
      </c>
      <c r="D590" t="s">
        <v>988</v>
      </c>
      <c r="E590" t="s">
        <v>15</v>
      </c>
      <c r="F590" t="s">
        <v>22</v>
      </c>
      <c r="G590" t="s">
        <v>1085</v>
      </c>
      <c r="H590" t="s">
        <v>148</v>
      </c>
      <c r="J590" t="s">
        <v>1097</v>
      </c>
      <c r="K590" t="s">
        <v>1098</v>
      </c>
      <c r="L590" t="s">
        <v>28</v>
      </c>
    </row>
    <row r="591" spans="1:12" x14ac:dyDescent="0.35">
      <c r="A591">
        <v>563</v>
      </c>
      <c r="B591" s="15" t="s">
        <v>1099</v>
      </c>
      <c r="C591" t="s">
        <v>49</v>
      </c>
      <c r="D591" t="s">
        <v>988</v>
      </c>
      <c r="E591" t="s">
        <v>15</v>
      </c>
      <c r="F591" t="s">
        <v>33</v>
      </c>
      <c r="G591" t="s">
        <v>1085</v>
      </c>
      <c r="H591" t="s">
        <v>148</v>
      </c>
      <c r="J591" t="s">
        <v>1100</v>
      </c>
      <c r="K591" t="s">
        <v>1098</v>
      </c>
      <c r="L591" t="s">
        <v>28</v>
      </c>
    </row>
    <row r="592" spans="1:12" x14ac:dyDescent="0.35">
      <c r="A592">
        <v>563</v>
      </c>
      <c r="B592" s="15" t="s">
        <v>1101</v>
      </c>
      <c r="C592" t="s">
        <v>49</v>
      </c>
      <c r="D592" t="s">
        <v>988</v>
      </c>
      <c r="E592" t="s">
        <v>15</v>
      </c>
      <c r="F592" t="s">
        <v>33</v>
      </c>
      <c r="G592" t="s">
        <v>1085</v>
      </c>
      <c r="H592" t="s">
        <v>148</v>
      </c>
      <c r="J592" t="s">
        <v>1102</v>
      </c>
      <c r="K592" t="s">
        <v>1098</v>
      </c>
      <c r="L592" t="s">
        <v>28</v>
      </c>
    </row>
    <row r="593" spans="1:12" x14ac:dyDescent="0.35">
      <c r="A593">
        <v>563</v>
      </c>
      <c r="B593" s="3" t="s">
        <v>1103</v>
      </c>
      <c r="C593" t="s">
        <v>33</v>
      </c>
      <c r="D593" t="s">
        <v>34</v>
      </c>
      <c r="E593" t="s">
        <v>15</v>
      </c>
      <c r="F593" t="s">
        <v>33</v>
      </c>
      <c r="G593" t="s">
        <v>1085</v>
      </c>
      <c r="H593" t="s">
        <v>148</v>
      </c>
      <c r="J593" t="s">
        <v>1086</v>
      </c>
      <c r="K593" t="s">
        <v>1104</v>
      </c>
      <c r="L593" t="s">
        <v>28</v>
      </c>
    </row>
    <row r="594" spans="1:12" x14ac:dyDescent="0.35">
      <c r="A594">
        <v>563</v>
      </c>
      <c r="B594" s="3" t="s">
        <v>843</v>
      </c>
      <c r="C594" t="s">
        <v>33</v>
      </c>
      <c r="D594" t="s">
        <v>34</v>
      </c>
      <c r="E594" t="s">
        <v>15</v>
      </c>
      <c r="F594" t="s">
        <v>33</v>
      </c>
      <c r="G594" t="s">
        <v>1085</v>
      </c>
      <c r="H594" t="s">
        <v>148</v>
      </c>
      <c r="J594" t="s">
        <v>1105</v>
      </c>
      <c r="K594" t="s">
        <v>1090</v>
      </c>
      <c r="L594" t="s">
        <v>28</v>
      </c>
    </row>
    <row r="595" spans="1:12" x14ac:dyDescent="0.35">
      <c r="A595">
        <v>563</v>
      </c>
      <c r="B595" s="5" t="s">
        <v>1106</v>
      </c>
      <c r="C595" t="s">
        <v>33</v>
      </c>
      <c r="D595" t="s">
        <v>1107</v>
      </c>
      <c r="E595" t="s">
        <v>15</v>
      </c>
      <c r="F595" t="s">
        <v>33</v>
      </c>
      <c r="G595" t="s">
        <v>1085</v>
      </c>
      <c r="H595" t="s">
        <v>148</v>
      </c>
      <c r="J595" t="s">
        <v>1086</v>
      </c>
      <c r="L595" t="s">
        <v>28</v>
      </c>
    </row>
    <row r="596" spans="1:12" x14ac:dyDescent="0.35">
      <c r="A596">
        <v>563</v>
      </c>
      <c r="B596" t="s">
        <v>1108</v>
      </c>
      <c r="C596" t="s">
        <v>30</v>
      </c>
      <c r="D596" t="s">
        <v>34</v>
      </c>
      <c r="E596" t="s">
        <v>15</v>
      </c>
      <c r="F596" t="s">
        <v>35</v>
      </c>
      <c r="G596" t="s">
        <v>1085</v>
      </c>
      <c r="H596" t="s">
        <v>148</v>
      </c>
      <c r="J596" t="s">
        <v>1086</v>
      </c>
      <c r="L596" t="s">
        <v>28</v>
      </c>
    </row>
    <row r="597" spans="1:12" x14ac:dyDescent="0.35">
      <c r="A597">
        <v>563</v>
      </c>
      <c r="B597" t="s">
        <v>1109</v>
      </c>
      <c r="C597" t="s">
        <v>33</v>
      </c>
      <c r="D597" t="s">
        <v>1110</v>
      </c>
      <c r="E597" t="s">
        <v>15</v>
      </c>
      <c r="F597" t="s">
        <v>33</v>
      </c>
      <c r="G597" t="s">
        <v>1085</v>
      </c>
      <c r="H597" t="s">
        <v>148</v>
      </c>
      <c r="J597" t="s">
        <v>154</v>
      </c>
      <c r="L597" t="s">
        <v>28</v>
      </c>
    </row>
    <row r="598" spans="1:12" x14ac:dyDescent="0.35">
      <c r="A598">
        <v>563</v>
      </c>
      <c r="B598" t="s">
        <v>1111</v>
      </c>
      <c r="C598" t="s">
        <v>33</v>
      </c>
      <c r="D598" t="s">
        <v>1112</v>
      </c>
      <c r="E598" t="s">
        <v>15</v>
      </c>
      <c r="F598" t="s">
        <v>33</v>
      </c>
      <c r="G598" t="s">
        <v>1085</v>
      </c>
      <c r="H598" t="s">
        <v>148</v>
      </c>
      <c r="J598" t="s">
        <v>154</v>
      </c>
      <c r="L598" t="s">
        <v>28</v>
      </c>
    </row>
    <row r="599" spans="1:12" x14ac:dyDescent="0.35">
      <c r="A599">
        <v>564</v>
      </c>
      <c r="B599" s="2" t="s">
        <v>1113</v>
      </c>
      <c r="C599" t="s">
        <v>13</v>
      </c>
      <c r="D599" t="s">
        <v>988</v>
      </c>
      <c r="E599" t="s">
        <v>15</v>
      </c>
      <c r="F599" t="s">
        <v>13</v>
      </c>
      <c r="H599" t="s">
        <v>1114</v>
      </c>
      <c r="J599" t="s">
        <v>357</v>
      </c>
      <c r="L599" t="s">
        <v>28</v>
      </c>
    </row>
    <row r="600" spans="1:12" x14ac:dyDescent="0.35">
      <c r="A600">
        <v>564</v>
      </c>
      <c r="B600" s="2" t="s">
        <v>1115</v>
      </c>
      <c r="C600" t="s">
        <v>13</v>
      </c>
      <c r="D600" t="s">
        <v>988</v>
      </c>
      <c r="E600" t="s">
        <v>15</v>
      </c>
      <c r="F600" t="s">
        <v>13</v>
      </c>
      <c r="H600" t="s">
        <v>1114</v>
      </c>
      <c r="J600" t="s">
        <v>357</v>
      </c>
      <c r="L600" t="s">
        <v>28</v>
      </c>
    </row>
    <row r="601" spans="1:12" x14ac:dyDescent="0.35">
      <c r="A601">
        <v>564</v>
      </c>
      <c r="B601" s="2" t="s">
        <v>1116</v>
      </c>
      <c r="C601" t="s">
        <v>13</v>
      </c>
      <c r="D601" t="s">
        <v>988</v>
      </c>
      <c r="E601" t="s">
        <v>15</v>
      </c>
      <c r="F601" t="s">
        <v>13</v>
      </c>
      <c r="H601" t="s">
        <v>1114</v>
      </c>
      <c r="J601" t="s">
        <v>1117</v>
      </c>
      <c r="L601" t="s">
        <v>28</v>
      </c>
    </row>
    <row r="602" spans="1:12" x14ac:dyDescent="0.35">
      <c r="A602">
        <v>564</v>
      </c>
      <c r="B602" s="3" t="s">
        <v>1118</v>
      </c>
      <c r="C602" t="s">
        <v>33</v>
      </c>
      <c r="D602" t="s">
        <v>34</v>
      </c>
      <c r="E602" t="s">
        <v>15</v>
      </c>
      <c r="F602" t="s">
        <v>33</v>
      </c>
      <c r="H602" t="s">
        <v>1119</v>
      </c>
      <c r="J602" t="s">
        <v>1120</v>
      </c>
      <c r="K602" t="s">
        <v>1090</v>
      </c>
      <c r="L602" t="s">
        <v>28</v>
      </c>
    </row>
    <row r="603" spans="1:12" x14ac:dyDescent="0.35">
      <c r="A603">
        <v>564</v>
      </c>
      <c r="B603" s="2" t="s">
        <v>1121</v>
      </c>
      <c r="C603" t="s">
        <v>33</v>
      </c>
      <c r="D603" t="s">
        <v>34</v>
      </c>
      <c r="E603" t="s">
        <v>15</v>
      </c>
      <c r="F603" t="s">
        <v>33</v>
      </c>
      <c r="H603" t="s">
        <v>1119</v>
      </c>
      <c r="J603" t="s">
        <v>1117</v>
      </c>
      <c r="L603" t="s">
        <v>28</v>
      </c>
    </row>
    <row r="604" spans="1:12" x14ac:dyDescent="0.35">
      <c r="A604">
        <v>571</v>
      </c>
      <c r="B604" s="3" t="s">
        <v>1122</v>
      </c>
      <c r="C604" t="s">
        <v>33</v>
      </c>
      <c r="D604" t="s">
        <v>34</v>
      </c>
      <c r="E604" t="s">
        <v>15</v>
      </c>
      <c r="F604" t="s">
        <v>33</v>
      </c>
      <c r="G604" t="s">
        <v>1123</v>
      </c>
      <c r="H604" t="s">
        <v>1124</v>
      </c>
      <c r="J604" t="s">
        <v>1125</v>
      </c>
      <c r="L604" t="s">
        <v>28</v>
      </c>
    </row>
    <row r="605" spans="1:12" x14ac:dyDescent="0.35">
      <c r="A605">
        <v>571</v>
      </c>
      <c r="B605" t="s">
        <v>1126</v>
      </c>
      <c r="C605" t="s">
        <v>30</v>
      </c>
      <c r="D605" t="s">
        <v>27</v>
      </c>
      <c r="E605" t="s">
        <v>15</v>
      </c>
      <c r="F605" t="s">
        <v>57</v>
      </c>
      <c r="G605" t="s">
        <v>1123</v>
      </c>
      <c r="H605" t="s">
        <v>1127</v>
      </c>
      <c r="J605" t="s">
        <v>1128</v>
      </c>
      <c r="L605" t="s">
        <v>28</v>
      </c>
    </row>
    <row r="606" spans="1:12" x14ac:dyDescent="0.35">
      <c r="A606">
        <v>571</v>
      </c>
      <c r="B606" t="s">
        <v>1129</v>
      </c>
      <c r="C606" t="s">
        <v>30</v>
      </c>
      <c r="D606" t="s">
        <v>1130</v>
      </c>
      <c r="E606" t="s">
        <v>15</v>
      </c>
      <c r="F606" t="s">
        <v>57</v>
      </c>
      <c r="G606" t="s">
        <v>1123</v>
      </c>
      <c r="H606" t="s">
        <v>1131</v>
      </c>
      <c r="J606" t="s">
        <v>1128</v>
      </c>
      <c r="L606" t="s">
        <v>28</v>
      </c>
    </row>
    <row r="607" spans="1:12" x14ac:dyDescent="0.35">
      <c r="A607">
        <v>571</v>
      </c>
      <c r="B607" t="s">
        <v>1132</v>
      </c>
      <c r="C607" t="s">
        <v>30</v>
      </c>
      <c r="D607" t="s">
        <v>1130</v>
      </c>
      <c r="E607" t="s">
        <v>15</v>
      </c>
      <c r="F607" t="s">
        <v>57</v>
      </c>
      <c r="G607" t="s">
        <v>1123</v>
      </c>
      <c r="H607" t="s">
        <v>1131</v>
      </c>
      <c r="J607" t="s">
        <v>1128</v>
      </c>
      <c r="L607" t="s">
        <v>28</v>
      </c>
    </row>
    <row r="608" spans="1:12" x14ac:dyDescent="0.35">
      <c r="A608">
        <v>571</v>
      </c>
      <c r="B608" s="7" t="s">
        <v>1133</v>
      </c>
      <c r="C608" t="s">
        <v>33</v>
      </c>
      <c r="D608" t="s">
        <v>34</v>
      </c>
      <c r="E608" t="s">
        <v>15</v>
      </c>
      <c r="F608" t="s">
        <v>57</v>
      </c>
      <c r="G608" t="s">
        <v>1123</v>
      </c>
      <c r="H608" t="s">
        <v>1131</v>
      </c>
      <c r="J608" t="s">
        <v>1128</v>
      </c>
      <c r="L608" t="s">
        <v>28</v>
      </c>
    </row>
    <row r="609" spans="1:12" x14ac:dyDescent="0.35">
      <c r="A609">
        <v>595</v>
      </c>
      <c r="B609" s="3" t="s">
        <v>1134</v>
      </c>
      <c r="C609" t="s">
        <v>33</v>
      </c>
      <c r="D609" t="s">
        <v>34</v>
      </c>
      <c r="E609" t="s">
        <v>15</v>
      </c>
      <c r="F609" t="s">
        <v>33</v>
      </c>
      <c r="H609" t="s">
        <v>1135</v>
      </c>
      <c r="L609" t="s">
        <v>28</v>
      </c>
    </row>
    <row r="610" spans="1:12" x14ac:dyDescent="0.35">
      <c r="A610">
        <v>595</v>
      </c>
      <c r="B610" s="16" t="s">
        <v>342</v>
      </c>
      <c r="C610" t="s">
        <v>22</v>
      </c>
      <c r="D610" t="s">
        <v>23</v>
      </c>
      <c r="E610" t="s">
        <v>15</v>
      </c>
      <c r="F610" t="s">
        <v>22</v>
      </c>
      <c r="H610" t="s">
        <v>1135</v>
      </c>
      <c r="J610" t="s">
        <v>1136</v>
      </c>
      <c r="K610" t="s">
        <v>1090</v>
      </c>
      <c r="L610" t="s">
        <v>28</v>
      </c>
    </row>
    <row r="611" spans="1:12" x14ac:dyDescent="0.35">
      <c r="A611">
        <v>595</v>
      </c>
      <c r="B611" s="17" t="s">
        <v>1137</v>
      </c>
      <c r="C611" t="s">
        <v>22</v>
      </c>
      <c r="D611" t="s">
        <v>988</v>
      </c>
      <c r="E611" t="s">
        <v>15</v>
      </c>
      <c r="F611" t="s">
        <v>22</v>
      </c>
      <c r="H611" t="s">
        <v>1135</v>
      </c>
      <c r="J611" t="s">
        <v>1136</v>
      </c>
      <c r="L611" t="s">
        <v>28</v>
      </c>
    </row>
    <row r="612" spans="1:12" x14ac:dyDescent="0.35">
      <c r="A612">
        <v>595</v>
      </c>
      <c r="B612" s="20" t="s">
        <v>1138</v>
      </c>
      <c r="C612" t="s">
        <v>22</v>
      </c>
      <c r="D612" t="s">
        <v>988</v>
      </c>
      <c r="E612" t="s">
        <v>15</v>
      </c>
      <c r="F612" t="s">
        <v>24</v>
      </c>
      <c r="H612" t="s">
        <v>1135</v>
      </c>
      <c r="J612" t="s">
        <v>1139</v>
      </c>
      <c r="L612" t="s">
        <v>28</v>
      </c>
    </row>
    <row r="613" spans="1:12" x14ac:dyDescent="0.35">
      <c r="A613">
        <v>595</v>
      </c>
      <c r="B613" s="19" t="s">
        <v>1140</v>
      </c>
      <c r="C613" t="s">
        <v>22</v>
      </c>
      <c r="D613" t="s">
        <v>988</v>
      </c>
      <c r="E613" t="s">
        <v>15</v>
      </c>
      <c r="F613" t="s">
        <v>24</v>
      </c>
      <c r="H613" t="s">
        <v>1135</v>
      </c>
      <c r="J613" t="s">
        <v>1139</v>
      </c>
      <c r="K613" t="s">
        <v>1141</v>
      </c>
      <c r="L613" t="s">
        <v>28</v>
      </c>
    </row>
    <row r="614" spans="1:12" x14ac:dyDescent="0.35">
      <c r="A614">
        <v>595</v>
      </c>
      <c r="B614" t="s">
        <v>1142</v>
      </c>
      <c r="C614" t="s">
        <v>33</v>
      </c>
      <c r="D614" t="s">
        <v>988</v>
      </c>
      <c r="E614" t="s">
        <v>15</v>
      </c>
      <c r="F614" t="s">
        <v>33</v>
      </c>
      <c r="H614" t="s">
        <v>1135</v>
      </c>
      <c r="J614" t="s">
        <v>1139</v>
      </c>
      <c r="L614" t="s">
        <v>28</v>
      </c>
    </row>
    <row r="615" spans="1:12" x14ac:dyDescent="0.35">
      <c r="A615">
        <v>595</v>
      </c>
      <c r="B615" s="8" t="s">
        <v>591</v>
      </c>
      <c r="C615" t="s">
        <v>33</v>
      </c>
      <c r="D615" t="s">
        <v>27</v>
      </c>
      <c r="E615" t="s">
        <v>15</v>
      </c>
      <c r="F615" t="s">
        <v>685</v>
      </c>
      <c r="H615" t="s">
        <v>1135</v>
      </c>
      <c r="J615" t="s">
        <v>1139</v>
      </c>
      <c r="K615" t="s">
        <v>1143</v>
      </c>
      <c r="L615" t="s">
        <v>28</v>
      </c>
    </row>
    <row r="616" spans="1:12" x14ac:dyDescent="0.35">
      <c r="A616">
        <v>96</v>
      </c>
      <c r="B616" t="s">
        <v>1144</v>
      </c>
      <c r="C616" t="s">
        <v>30</v>
      </c>
      <c r="D616" t="s">
        <v>1145</v>
      </c>
      <c r="E616" t="s">
        <v>15</v>
      </c>
      <c r="F616" t="s">
        <v>35</v>
      </c>
      <c r="G616" t="s">
        <v>120</v>
      </c>
      <c r="H616" t="s">
        <v>579</v>
      </c>
      <c r="J616" t="s">
        <v>1146</v>
      </c>
      <c r="K616" t="s">
        <v>1147</v>
      </c>
      <c r="L616" t="s">
        <v>28</v>
      </c>
    </row>
    <row r="617" spans="1:12" x14ac:dyDescent="0.35">
      <c r="A617">
        <v>96</v>
      </c>
      <c r="B617" s="23" t="s">
        <v>1148</v>
      </c>
      <c r="C617" t="s">
        <v>30</v>
      </c>
      <c r="D617" t="s">
        <v>1149</v>
      </c>
      <c r="E617" t="s">
        <v>15</v>
      </c>
      <c r="F617" t="s">
        <v>35</v>
      </c>
      <c r="G617" t="s">
        <v>120</v>
      </c>
      <c r="H617" t="s">
        <v>579</v>
      </c>
      <c r="J617" t="s">
        <v>1150</v>
      </c>
      <c r="K617" t="s">
        <v>1151</v>
      </c>
      <c r="L617" t="s">
        <v>28</v>
      </c>
    </row>
    <row r="618" spans="1:12" x14ac:dyDescent="0.35">
      <c r="A618">
        <v>96</v>
      </c>
      <c r="B618" s="23" t="s">
        <v>1152</v>
      </c>
      <c r="C618" t="s">
        <v>30</v>
      </c>
      <c r="D618" t="s">
        <v>1153</v>
      </c>
      <c r="E618" t="s">
        <v>15</v>
      </c>
      <c r="F618" t="s">
        <v>35</v>
      </c>
      <c r="G618" t="s">
        <v>120</v>
      </c>
      <c r="H618" t="s">
        <v>579</v>
      </c>
      <c r="J618" t="s">
        <v>1150</v>
      </c>
      <c r="K618" t="s">
        <v>1154</v>
      </c>
      <c r="L618" t="s">
        <v>28</v>
      </c>
    </row>
    <row r="619" spans="1:12" x14ac:dyDescent="0.35">
      <c r="A619">
        <v>96</v>
      </c>
      <c r="B619" t="s">
        <v>1155</v>
      </c>
      <c r="C619" t="s">
        <v>30</v>
      </c>
      <c r="D619" t="s">
        <v>1156</v>
      </c>
      <c r="E619" t="s">
        <v>15</v>
      </c>
      <c r="F619" t="s">
        <v>35</v>
      </c>
      <c r="G619" t="s">
        <v>120</v>
      </c>
      <c r="H619" t="s">
        <v>579</v>
      </c>
      <c r="J619" t="s">
        <v>1146</v>
      </c>
      <c r="K619" t="s">
        <v>1157</v>
      </c>
      <c r="L619" t="s">
        <v>28</v>
      </c>
    </row>
    <row r="620" spans="1:12" x14ac:dyDescent="0.35">
      <c r="A620">
        <v>102</v>
      </c>
      <c r="B620" s="7" t="s">
        <v>1158</v>
      </c>
      <c r="C620" t="s">
        <v>33</v>
      </c>
      <c r="D620" t="s">
        <v>1159</v>
      </c>
      <c r="E620" t="s">
        <v>15</v>
      </c>
      <c r="F620" t="s">
        <v>33</v>
      </c>
      <c r="G620" t="s">
        <v>1160</v>
      </c>
      <c r="H620" t="s">
        <v>1161</v>
      </c>
      <c r="J620" t="s">
        <v>1162</v>
      </c>
      <c r="L620" t="s">
        <v>20</v>
      </c>
    </row>
    <row r="621" spans="1:12" x14ac:dyDescent="0.35">
      <c r="A621">
        <v>102</v>
      </c>
      <c r="B621" s="7" t="s">
        <v>1163</v>
      </c>
      <c r="C621" t="s">
        <v>33</v>
      </c>
      <c r="D621" t="s">
        <v>1159</v>
      </c>
      <c r="E621" t="s">
        <v>15</v>
      </c>
      <c r="F621" t="s">
        <v>35</v>
      </c>
      <c r="G621" t="s">
        <v>1160</v>
      </c>
      <c r="H621" t="s">
        <v>1164</v>
      </c>
      <c r="J621" t="s">
        <v>1162</v>
      </c>
      <c r="L621" t="s">
        <v>20</v>
      </c>
    </row>
    <row r="622" spans="1:12" x14ac:dyDescent="0.35">
      <c r="A622">
        <v>102</v>
      </c>
      <c r="B622" s="12" t="s">
        <v>1165</v>
      </c>
      <c r="C622" t="s">
        <v>30</v>
      </c>
      <c r="D622" t="s">
        <v>1166</v>
      </c>
      <c r="E622" t="s">
        <v>15</v>
      </c>
      <c r="F622" t="s">
        <v>685</v>
      </c>
      <c r="G622" t="s">
        <v>120</v>
      </c>
      <c r="H622" t="s">
        <v>1161</v>
      </c>
      <c r="J622" t="s">
        <v>1162</v>
      </c>
      <c r="K622" t="s">
        <v>1167</v>
      </c>
      <c r="L622" t="s">
        <v>20</v>
      </c>
    </row>
    <row r="623" spans="1:12" x14ac:dyDescent="0.35">
      <c r="A623">
        <v>102</v>
      </c>
      <c r="B623" s="12" t="s">
        <v>1168</v>
      </c>
      <c r="C623" t="s">
        <v>30</v>
      </c>
      <c r="D623" t="s">
        <v>1166</v>
      </c>
      <c r="E623" t="s">
        <v>15</v>
      </c>
      <c r="F623" t="s">
        <v>685</v>
      </c>
      <c r="G623" t="s">
        <v>120</v>
      </c>
      <c r="H623" t="s">
        <v>1161</v>
      </c>
      <c r="J623" t="s">
        <v>1162</v>
      </c>
      <c r="K623" t="s">
        <v>1167</v>
      </c>
      <c r="L623" t="s">
        <v>20</v>
      </c>
    </row>
    <row r="624" spans="1:12" x14ac:dyDescent="0.35">
      <c r="A624">
        <v>102</v>
      </c>
      <c r="B624" s="12" t="s">
        <v>1169</v>
      </c>
      <c r="C624" t="s">
        <v>30</v>
      </c>
      <c r="D624" t="s">
        <v>1166</v>
      </c>
      <c r="E624" t="s">
        <v>15</v>
      </c>
      <c r="F624" t="s">
        <v>685</v>
      </c>
      <c r="G624" t="s">
        <v>120</v>
      </c>
      <c r="H624" t="s">
        <v>1161</v>
      </c>
      <c r="J624" t="s">
        <v>1162</v>
      </c>
      <c r="L624" t="s">
        <v>20</v>
      </c>
    </row>
    <row r="625" spans="1:12" x14ac:dyDescent="0.35">
      <c r="A625">
        <v>109</v>
      </c>
      <c r="B625" s="2" t="s">
        <v>1046</v>
      </c>
      <c r="C625" t="s">
        <v>13</v>
      </c>
      <c r="D625" t="s">
        <v>1170</v>
      </c>
      <c r="E625" t="s">
        <v>15</v>
      </c>
      <c r="F625" t="s">
        <v>35</v>
      </c>
      <c r="G625" t="s">
        <v>1171</v>
      </c>
      <c r="H625" t="s">
        <v>1172</v>
      </c>
      <c r="J625" t="s">
        <v>1173</v>
      </c>
      <c r="K625" t="s">
        <v>1174</v>
      </c>
      <c r="L625" t="s">
        <v>20</v>
      </c>
    </row>
    <row r="626" spans="1:12" x14ac:dyDescent="0.35">
      <c r="A626">
        <v>112</v>
      </c>
      <c r="B626" s="10" t="s">
        <v>1175</v>
      </c>
      <c r="C626" t="s">
        <v>33</v>
      </c>
      <c r="D626" t="s">
        <v>1176</v>
      </c>
      <c r="E626" t="s">
        <v>15</v>
      </c>
      <c r="F626" t="s">
        <v>685</v>
      </c>
      <c r="G626" t="s">
        <v>120</v>
      </c>
      <c r="H626" t="s">
        <v>1177</v>
      </c>
      <c r="I626" t="s">
        <v>386</v>
      </c>
      <c r="J626" t="s">
        <v>1178</v>
      </c>
      <c r="K626" t="s">
        <v>1179</v>
      </c>
      <c r="L626" t="s">
        <v>20</v>
      </c>
    </row>
    <row r="627" spans="1:12" x14ac:dyDescent="0.35">
      <c r="A627">
        <v>112</v>
      </c>
      <c r="B627" s="10" t="s">
        <v>1180</v>
      </c>
      <c r="C627" t="s">
        <v>33</v>
      </c>
      <c r="D627" t="s">
        <v>1176</v>
      </c>
      <c r="E627" t="s">
        <v>15</v>
      </c>
      <c r="F627" t="s">
        <v>685</v>
      </c>
      <c r="G627" t="s">
        <v>120</v>
      </c>
      <c r="H627" t="s">
        <v>1177</v>
      </c>
      <c r="I627" t="s">
        <v>386</v>
      </c>
      <c r="J627" t="s">
        <v>1178</v>
      </c>
      <c r="K627" t="s">
        <v>1179</v>
      </c>
      <c r="L627" t="s">
        <v>20</v>
      </c>
    </row>
    <row r="628" spans="1:12" x14ac:dyDescent="0.35">
      <c r="A628">
        <v>112</v>
      </c>
      <c r="B628" s="12" t="s">
        <v>1181</v>
      </c>
      <c r="C628" t="s">
        <v>30</v>
      </c>
      <c r="D628" t="s">
        <v>1182</v>
      </c>
      <c r="E628" t="s">
        <v>15</v>
      </c>
      <c r="F628" t="s">
        <v>685</v>
      </c>
      <c r="G628" t="s">
        <v>120</v>
      </c>
      <c r="H628" t="s">
        <v>1177</v>
      </c>
      <c r="I628" t="s">
        <v>386</v>
      </c>
      <c r="J628" t="s">
        <v>1178</v>
      </c>
      <c r="K628" t="s">
        <v>1179</v>
      </c>
      <c r="L628" t="s">
        <v>20</v>
      </c>
    </row>
    <row r="629" spans="1:12" x14ac:dyDescent="0.35">
      <c r="A629">
        <v>112</v>
      </c>
      <c r="B629" s="12" t="s">
        <v>1183</v>
      </c>
      <c r="C629" t="s">
        <v>30</v>
      </c>
      <c r="D629" t="s">
        <v>1182</v>
      </c>
      <c r="E629" t="s">
        <v>15</v>
      </c>
      <c r="F629" t="s">
        <v>685</v>
      </c>
      <c r="G629" t="s">
        <v>362</v>
      </c>
      <c r="H629" t="s">
        <v>1177</v>
      </c>
      <c r="I629" t="s">
        <v>386</v>
      </c>
      <c r="J629" t="s">
        <v>1178</v>
      </c>
      <c r="K629" t="s">
        <v>1184</v>
      </c>
      <c r="L629" t="s">
        <v>20</v>
      </c>
    </row>
    <row r="630" spans="1:12" x14ac:dyDescent="0.35">
      <c r="A630">
        <v>112</v>
      </c>
      <c r="B630" s="12" t="s">
        <v>1185</v>
      </c>
      <c r="C630" t="s">
        <v>30</v>
      </c>
      <c r="D630" t="s">
        <v>1182</v>
      </c>
      <c r="E630" t="s">
        <v>15</v>
      </c>
      <c r="F630" t="s">
        <v>685</v>
      </c>
      <c r="G630" t="s">
        <v>1160</v>
      </c>
      <c r="H630" t="s">
        <v>1177</v>
      </c>
      <c r="I630" t="s">
        <v>386</v>
      </c>
      <c r="J630" t="s">
        <v>1178</v>
      </c>
      <c r="K630" t="s">
        <v>1186</v>
      </c>
      <c r="L630" t="s">
        <v>20</v>
      </c>
    </row>
    <row r="631" spans="1:12" x14ac:dyDescent="0.35">
      <c r="A631">
        <v>112</v>
      </c>
      <c r="B631" s="12" t="s">
        <v>1187</v>
      </c>
      <c r="C631" t="s">
        <v>30</v>
      </c>
      <c r="D631" t="s">
        <v>1182</v>
      </c>
      <c r="E631" t="s">
        <v>15</v>
      </c>
      <c r="F631" t="s">
        <v>685</v>
      </c>
      <c r="G631" t="s">
        <v>1188</v>
      </c>
      <c r="H631" t="s">
        <v>1177</v>
      </c>
      <c r="I631" t="s">
        <v>386</v>
      </c>
      <c r="J631" t="s">
        <v>1178</v>
      </c>
      <c r="K631" t="s">
        <v>1189</v>
      </c>
      <c r="L631" t="s">
        <v>20</v>
      </c>
    </row>
    <row r="632" spans="1:12" x14ac:dyDescent="0.35">
      <c r="A632">
        <v>112</v>
      </c>
      <c r="B632" t="s">
        <v>1190</v>
      </c>
      <c r="C632" t="s">
        <v>30</v>
      </c>
      <c r="D632" t="s">
        <v>1182</v>
      </c>
      <c r="E632" t="s">
        <v>15</v>
      </c>
      <c r="F632" t="s">
        <v>685</v>
      </c>
      <c r="G632" t="s">
        <v>421</v>
      </c>
      <c r="H632" t="s">
        <v>1177</v>
      </c>
      <c r="I632" t="s">
        <v>386</v>
      </c>
      <c r="J632" t="s">
        <v>1178</v>
      </c>
      <c r="K632" t="s">
        <v>1191</v>
      </c>
      <c r="L632" t="s">
        <v>20</v>
      </c>
    </row>
    <row r="633" spans="1:12" x14ac:dyDescent="0.35">
      <c r="A633">
        <v>112</v>
      </c>
      <c r="B633" s="16" t="s">
        <v>1192</v>
      </c>
      <c r="C633" t="s">
        <v>22</v>
      </c>
      <c r="D633" t="s">
        <v>1193</v>
      </c>
      <c r="E633" t="s">
        <v>15</v>
      </c>
      <c r="F633" t="s">
        <v>685</v>
      </c>
      <c r="G633" t="s">
        <v>120</v>
      </c>
      <c r="H633" t="s">
        <v>470</v>
      </c>
      <c r="I633" t="s">
        <v>163</v>
      </c>
      <c r="J633" t="s">
        <v>1178</v>
      </c>
      <c r="K633" t="s">
        <v>1194</v>
      </c>
      <c r="L633" t="s">
        <v>20</v>
      </c>
    </row>
    <row r="634" spans="1:12" x14ac:dyDescent="0.35">
      <c r="A634">
        <v>112</v>
      </c>
      <c r="B634" s="17" t="s">
        <v>1195</v>
      </c>
      <c r="C634" t="s">
        <v>22</v>
      </c>
      <c r="D634" t="s">
        <v>988</v>
      </c>
      <c r="E634" t="s">
        <v>15</v>
      </c>
      <c r="F634" t="s">
        <v>685</v>
      </c>
      <c r="G634" t="s">
        <v>120</v>
      </c>
      <c r="H634" t="s">
        <v>470</v>
      </c>
      <c r="I634" t="s">
        <v>163</v>
      </c>
      <c r="J634" t="s">
        <v>1178</v>
      </c>
      <c r="K634" t="s">
        <v>1194</v>
      </c>
      <c r="L634" t="s">
        <v>20</v>
      </c>
    </row>
    <row r="635" spans="1:12" x14ac:dyDescent="0.35">
      <c r="A635">
        <v>112</v>
      </c>
      <c r="B635" s="17" t="s">
        <v>1196</v>
      </c>
      <c r="C635" t="s">
        <v>22</v>
      </c>
      <c r="D635" t="s">
        <v>988</v>
      </c>
      <c r="E635" t="s">
        <v>15</v>
      </c>
      <c r="F635" t="s">
        <v>685</v>
      </c>
      <c r="G635" t="s">
        <v>120</v>
      </c>
      <c r="H635" t="s">
        <v>470</v>
      </c>
      <c r="I635" t="s">
        <v>163</v>
      </c>
      <c r="J635" t="s">
        <v>1178</v>
      </c>
      <c r="K635" t="s">
        <v>1194</v>
      </c>
      <c r="L635" t="s">
        <v>20</v>
      </c>
    </row>
    <row r="636" spans="1:12" x14ac:dyDescent="0.35">
      <c r="A636">
        <v>112</v>
      </c>
      <c r="B636" s="23" t="s">
        <v>1197</v>
      </c>
      <c r="C636" t="s">
        <v>30</v>
      </c>
      <c r="D636" t="s">
        <v>1198</v>
      </c>
      <c r="E636" t="s">
        <v>15</v>
      </c>
      <c r="F636" t="s">
        <v>685</v>
      </c>
      <c r="G636" t="s">
        <v>120</v>
      </c>
      <c r="H636" t="s">
        <v>470</v>
      </c>
      <c r="I636" t="s">
        <v>163</v>
      </c>
      <c r="J636" t="s">
        <v>1178</v>
      </c>
      <c r="K636" t="s">
        <v>1194</v>
      </c>
      <c r="L636" t="s">
        <v>20</v>
      </c>
    </row>
    <row r="637" spans="1:12" x14ac:dyDescent="0.35">
      <c r="A637">
        <v>228</v>
      </c>
      <c r="B637" s="15" t="s">
        <v>1199</v>
      </c>
      <c r="C637" t="s">
        <v>49</v>
      </c>
      <c r="D637" t="s">
        <v>1200</v>
      </c>
      <c r="E637" t="s">
        <v>15</v>
      </c>
      <c r="F637" t="s">
        <v>24</v>
      </c>
      <c r="G637" t="s">
        <v>120</v>
      </c>
      <c r="H637" t="s">
        <v>1201</v>
      </c>
      <c r="J637" t="s">
        <v>1202</v>
      </c>
      <c r="K637" t="s">
        <v>1203</v>
      </c>
      <c r="L637" t="s">
        <v>20</v>
      </c>
    </row>
    <row r="638" spans="1:12" x14ac:dyDescent="0.35">
      <c r="A638">
        <v>340</v>
      </c>
      <c r="B638" s="3" t="s">
        <v>1204</v>
      </c>
      <c r="C638" t="s">
        <v>33</v>
      </c>
      <c r="D638" t="s">
        <v>34</v>
      </c>
      <c r="E638" t="s">
        <v>15</v>
      </c>
      <c r="F638" t="s">
        <v>33</v>
      </c>
      <c r="G638" t="s">
        <v>1205</v>
      </c>
      <c r="H638" t="s">
        <v>470</v>
      </c>
      <c r="I638" t="s">
        <v>386</v>
      </c>
      <c r="J638" t="s">
        <v>1206</v>
      </c>
      <c r="K638" t="s">
        <v>1207</v>
      </c>
      <c r="L638" t="s">
        <v>28</v>
      </c>
    </row>
    <row r="639" spans="1:12" x14ac:dyDescent="0.35">
      <c r="A639">
        <v>457</v>
      </c>
      <c r="B639" s="5" t="s">
        <v>1208</v>
      </c>
      <c r="C639" t="s">
        <v>33</v>
      </c>
      <c r="D639" t="s">
        <v>1209</v>
      </c>
      <c r="E639" t="s">
        <v>15</v>
      </c>
      <c r="F639" t="s">
        <v>33</v>
      </c>
      <c r="G639" t="s">
        <v>120</v>
      </c>
      <c r="H639" t="s">
        <v>1177</v>
      </c>
      <c r="J639" t="s">
        <v>1210</v>
      </c>
      <c r="K639" t="s">
        <v>1211</v>
      </c>
      <c r="L639" t="s">
        <v>28</v>
      </c>
    </row>
    <row r="640" spans="1:12" x14ac:dyDescent="0.35">
      <c r="A640">
        <v>457</v>
      </c>
      <c r="B640" s="4" t="s">
        <v>1212</v>
      </c>
      <c r="C640" t="s">
        <v>33</v>
      </c>
      <c r="D640" t="s">
        <v>38</v>
      </c>
      <c r="E640" t="s">
        <v>15</v>
      </c>
      <c r="F640" t="s">
        <v>33</v>
      </c>
      <c r="G640" t="s">
        <v>120</v>
      </c>
      <c r="H640" t="s">
        <v>1177</v>
      </c>
      <c r="J640" t="s">
        <v>1210</v>
      </c>
      <c r="K640" t="s">
        <v>1213</v>
      </c>
      <c r="L640" t="s">
        <v>28</v>
      </c>
    </row>
    <row r="641" spans="1:12" x14ac:dyDescent="0.35">
      <c r="A641">
        <v>457</v>
      </c>
      <c r="B641" s="2" t="s">
        <v>893</v>
      </c>
      <c r="C641" t="s">
        <v>33</v>
      </c>
      <c r="D641" t="s">
        <v>205</v>
      </c>
      <c r="E641" t="s">
        <v>15</v>
      </c>
      <c r="F641" t="s">
        <v>33</v>
      </c>
      <c r="G641" t="s">
        <v>120</v>
      </c>
      <c r="H641" t="s">
        <v>1177</v>
      </c>
      <c r="J641" t="s">
        <v>1210</v>
      </c>
      <c r="K641" t="s">
        <v>1214</v>
      </c>
      <c r="L641" t="s">
        <v>28</v>
      </c>
    </row>
    <row r="642" spans="1:12" x14ac:dyDescent="0.35">
      <c r="A642">
        <v>457</v>
      </c>
      <c r="B642" s="2" t="s">
        <v>1215</v>
      </c>
      <c r="C642" t="s">
        <v>33</v>
      </c>
      <c r="D642" t="s">
        <v>205</v>
      </c>
      <c r="E642" t="s">
        <v>15</v>
      </c>
      <c r="F642" t="s">
        <v>33</v>
      </c>
      <c r="G642" t="s">
        <v>120</v>
      </c>
      <c r="H642" t="s">
        <v>1177</v>
      </c>
      <c r="J642" t="s">
        <v>1210</v>
      </c>
      <c r="K642" t="s">
        <v>1216</v>
      </c>
      <c r="L642" t="s">
        <v>28</v>
      </c>
    </row>
    <row r="643" spans="1:12" x14ac:dyDescent="0.35">
      <c r="A643">
        <v>457</v>
      </c>
      <c r="B643" s="23" t="s">
        <v>1217</v>
      </c>
      <c r="C643" t="s">
        <v>30</v>
      </c>
      <c r="D643" t="s">
        <v>1218</v>
      </c>
      <c r="E643" t="s">
        <v>15</v>
      </c>
      <c r="F643" t="s">
        <v>35</v>
      </c>
      <c r="G643" t="s">
        <v>120</v>
      </c>
      <c r="H643" t="s">
        <v>1177</v>
      </c>
      <c r="J643" t="s">
        <v>1210</v>
      </c>
      <c r="K643" t="s">
        <v>1219</v>
      </c>
      <c r="L643" t="s">
        <v>28</v>
      </c>
    </row>
    <row r="644" spans="1:12" x14ac:dyDescent="0.35">
      <c r="A644">
        <v>457</v>
      </c>
      <c r="B644" s="3" t="s">
        <v>1220</v>
      </c>
      <c r="C644" t="s">
        <v>33</v>
      </c>
      <c r="D644" t="s">
        <v>34</v>
      </c>
      <c r="E644" t="s">
        <v>15</v>
      </c>
      <c r="F644" t="s">
        <v>33</v>
      </c>
      <c r="G644" t="s">
        <v>120</v>
      </c>
      <c r="H644" t="s">
        <v>1177</v>
      </c>
      <c r="J644" t="s">
        <v>1210</v>
      </c>
      <c r="K644" t="s">
        <v>1221</v>
      </c>
      <c r="L644" t="s">
        <v>28</v>
      </c>
    </row>
    <row r="645" spans="1:12" x14ac:dyDescent="0.35">
      <c r="A645">
        <v>457</v>
      </c>
      <c r="B645" s="16" t="s">
        <v>1222</v>
      </c>
      <c r="C645" t="s">
        <v>22</v>
      </c>
      <c r="D645" t="s">
        <v>836</v>
      </c>
      <c r="E645" t="s">
        <v>15</v>
      </c>
      <c r="F645" t="s">
        <v>22</v>
      </c>
      <c r="G645" t="s">
        <v>120</v>
      </c>
      <c r="H645" t="s">
        <v>1177</v>
      </c>
      <c r="J645" t="s">
        <v>1210</v>
      </c>
      <c r="K645" t="s">
        <v>1223</v>
      </c>
      <c r="L645" t="s">
        <v>28</v>
      </c>
    </row>
    <row r="646" spans="1:12" x14ac:dyDescent="0.35">
      <c r="A646">
        <v>457</v>
      </c>
      <c r="B646" s="19" t="s">
        <v>1224</v>
      </c>
      <c r="C646" t="s">
        <v>22</v>
      </c>
      <c r="D646" t="s">
        <v>1225</v>
      </c>
      <c r="E646" t="s">
        <v>15</v>
      </c>
      <c r="F646" t="s">
        <v>24</v>
      </c>
      <c r="G646" t="s">
        <v>120</v>
      </c>
      <c r="H646" t="s">
        <v>1177</v>
      </c>
      <c r="J646" t="s">
        <v>1210</v>
      </c>
      <c r="K646" t="s">
        <v>1226</v>
      </c>
      <c r="L646" t="s">
        <v>28</v>
      </c>
    </row>
    <row r="647" spans="1:12" x14ac:dyDescent="0.35">
      <c r="A647">
        <v>457</v>
      </c>
      <c r="B647" s="19" t="s">
        <v>1227</v>
      </c>
      <c r="C647" t="s">
        <v>22</v>
      </c>
      <c r="D647" t="s">
        <v>1225</v>
      </c>
      <c r="E647" t="s">
        <v>15</v>
      </c>
      <c r="F647" t="s">
        <v>24</v>
      </c>
      <c r="G647" t="s">
        <v>120</v>
      </c>
      <c r="H647" t="s">
        <v>1177</v>
      </c>
      <c r="J647" t="s">
        <v>1210</v>
      </c>
      <c r="K647" t="s">
        <v>1226</v>
      </c>
      <c r="L647" t="s">
        <v>28</v>
      </c>
    </row>
    <row r="648" spans="1:12" x14ac:dyDescent="0.35">
      <c r="A648">
        <v>457</v>
      </c>
      <c r="B648" t="s">
        <v>1228</v>
      </c>
      <c r="C648" t="s">
        <v>49</v>
      </c>
      <c r="D648" t="s">
        <v>1229</v>
      </c>
      <c r="E648" t="s">
        <v>15</v>
      </c>
      <c r="F648" t="s">
        <v>24</v>
      </c>
      <c r="G648" t="s">
        <v>120</v>
      </c>
      <c r="H648" t="s">
        <v>1177</v>
      </c>
      <c r="J648" t="s">
        <v>1210</v>
      </c>
      <c r="K648" t="s">
        <v>1230</v>
      </c>
      <c r="L648" t="s">
        <v>28</v>
      </c>
    </row>
    <row r="649" spans="1:12" x14ac:dyDescent="0.35">
      <c r="A649">
        <v>457</v>
      </c>
      <c r="B649" s="16" t="s">
        <v>1231</v>
      </c>
      <c r="C649" t="s">
        <v>13</v>
      </c>
      <c r="D649" t="s">
        <v>34</v>
      </c>
      <c r="E649" t="s">
        <v>15</v>
      </c>
      <c r="F649" t="s">
        <v>33</v>
      </c>
      <c r="G649" t="s">
        <v>1232</v>
      </c>
      <c r="H649" t="s">
        <v>1233</v>
      </c>
      <c r="J649" t="s">
        <v>154</v>
      </c>
      <c r="K649" t="s">
        <v>1234</v>
      </c>
      <c r="L649" t="s">
        <v>28</v>
      </c>
    </row>
    <row r="650" spans="1:12" x14ac:dyDescent="0.35">
      <c r="A650">
        <v>457</v>
      </c>
      <c r="B650" s="16" t="s">
        <v>1235</v>
      </c>
      <c r="C650" t="s">
        <v>13</v>
      </c>
      <c r="D650" t="s">
        <v>34</v>
      </c>
      <c r="E650" t="s">
        <v>15</v>
      </c>
      <c r="F650" t="s">
        <v>33</v>
      </c>
      <c r="G650" t="s">
        <v>1232</v>
      </c>
      <c r="H650" t="s">
        <v>1233</v>
      </c>
      <c r="J650" t="s">
        <v>154</v>
      </c>
      <c r="K650" t="s">
        <v>1236</v>
      </c>
      <c r="L650" t="s">
        <v>28</v>
      </c>
    </row>
    <row r="651" spans="1:12" x14ac:dyDescent="0.35">
      <c r="A651">
        <v>457</v>
      </c>
      <c r="B651" s="16" t="s">
        <v>1237</v>
      </c>
      <c r="C651" t="s">
        <v>13</v>
      </c>
      <c r="D651" t="s">
        <v>34</v>
      </c>
      <c r="E651" t="s">
        <v>15</v>
      </c>
      <c r="F651" t="s">
        <v>33</v>
      </c>
      <c r="G651" t="s">
        <v>1232</v>
      </c>
      <c r="H651" t="s">
        <v>1233</v>
      </c>
      <c r="J651" t="s">
        <v>154</v>
      </c>
      <c r="K651" t="s">
        <v>1236</v>
      </c>
      <c r="L651" t="s">
        <v>28</v>
      </c>
    </row>
    <row r="652" spans="1:12" x14ac:dyDescent="0.35">
      <c r="A652">
        <v>457</v>
      </c>
      <c r="B652" s="16" t="s">
        <v>1238</v>
      </c>
      <c r="C652" t="s">
        <v>13</v>
      </c>
      <c r="D652" t="s">
        <v>34</v>
      </c>
      <c r="E652" t="s">
        <v>15</v>
      </c>
      <c r="F652" t="s">
        <v>33</v>
      </c>
      <c r="G652" t="s">
        <v>1232</v>
      </c>
      <c r="H652" t="s">
        <v>1233</v>
      </c>
      <c r="J652" t="s">
        <v>154</v>
      </c>
      <c r="K652" t="s">
        <v>1236</v>
      </c>
      <c r="L652" t="s">
        <v>28</v>
      </c>
    </row>
    <row r="653" spans="1:12" x14ac:dyDescent="0.35">
      <c r="A653">
        <v>485</v>
      </c>
      <c r="B653" s="3" t="s">
        <v>1239</v>
      </c>
      <c r="C653" t="s">
        <v>33</v>
      </c>
      <c r="D653" t="s">
        <v>34</v>
      </c>
      <c r="E653" t="s">
        <v>15</v>
      </c>
      <c r="F653" t="s">
        <v>33</v>
      </c>
      <c r="G653" t="s">
        <v>1240</v>
      </c>
      <c r="H653" t="s">
        <v>1241</v>
      </c>
      <c r="J653" t="s">
        <v>1242</v>
      </c>
      <c r="K653" t="s">
        <v>1243</v>
      </c>
      <c r="L653" t="s">
        <v>28</v>
      </c>
    </row>
    <row r="654" spans="1:12" x14ac:dyDescent="0.35">
      <c r="A654">
        <v>485</v>
      </c>
      <c r="B654" s="3" t="s">
        <v>1244</v>
      </c>
      <c r="C654" t="s">
        <v>33</v>
      </c>
      <c r="D654" t="s">
        <v>34</v>
      </c>
      <c r="E654" t="s">
        <v>15</v>
      </c>
      <c r="F654" t="s">
        <v>33</v>
      </c>
      <c r="G654" t="s">
        <v>1240</v>
      </c>
      <c r="H654" t="s">
        <v>1241</v>
      </c>
      <c r="J654" t="s">
        <v>401</v>
      </c>
      <c r="K654" t="s">
        <v>1245</v>
      </c>
      <c r="L654" t="s">
        <v>28</v>
      </c>
    </row>
    <row r="655" spans="1:12" x14ac:dyDescent="0.35">
      <c r="A655">
        <v>485</v>
      </c>
      <c r="B655" s="3" t="s">
        <v>1246</v>
      </c>
      <c r="C655" t="s">
        <v>33</v>
      </c>
      <c r="D655" t="s">
        <v>34</v>
      </c>
      <c r="E655" t="s">
        <v>15</v>
      </c>
      <c r="F655" t="s">
        <v>33</v>
      </c>
      <c r="G655" t="s">
        <v>1240</v>
      </c>
      <c r="H655" t="s">
        <v>1241</v>
      </c>
      <c r="J655" t="s">
        <v>401</v>
      </c>
      <c r="K655" t="s">
        <v>1245</v>
      </c>
      <c r="L655" t="s">
        <v>28</v>
      </c>
    </row>
    <row r="656" spans="1:12" x14ac:dyDescent="0.35">
      <c r="A656">
        <v>485</v>
      </c>
      <c r="B656" s="23" t="s">
        <v>1247</v>
      </c>
      <c r="C656" t="s">
        <v>30</v>
      </c>
      <c r="D656" t="s">
        <v>1248</v>
      </c>
      <c r="E656" t="s">
        <v>15</v>
      </c>
      <c r="F656" t="s">
        <v>35</v>
      </c>
      <c r="G656" t="s">
        <v>1240</v>
      </c>
      <c r="H656" t="s">
        <v>1241</v>
      </c>
      <c r="J656" t="s">
        <v>401</v>
      </c>
      <c r="K656" t="s">
        <v>1249</v>
      </c>
      <c r="L656" t="s">
        <v>28</v>
      </c>
    </row>
    <row r="657" spans="1:12" x14ac:dyDescent="0.35">
      <c r="A657">
        <v>485</v>
      </c>
      <c r="B657" s="23" t="s">
        <v>1250</v>
      </c>
      <c r="C657" t="s">
        <v>30</v>
      </c>
      <c r="D657" t="s">
        <v>1248</v>
      </c>
      <c r="E657" t="s">
        <v>15</v>
      </c>
      <c r="F657" t="s">
        <v>35</v>
      </c>
      <c r="G657" t="s">
        <v>1240</v>
      </c>
      <c r="H657" t="s">
        <v>1251</v>
      </c>
      <c r="J657" t="s">
        <v>401</v>
      </c>
      <c r="K657" t="s">
        <v>1252</v>
      </c>
      <c r="L657" t="s">
        <v>28</v>
      </c>
    </row>
    <row r="658" spans="1:12" x14ac:dyDescent="0.35">
      <c r="A658">
        <v>485</v>
      </c>
      <c r="B658" s="23" t="s">
        <v>1253</v>
      </c>
      <c r="C658" t="s">
        <v>30</v>
      </c>
      <c r="D658" t="s">
        <v>1248</v>
      </c>
      <c r="E658" t="s">
        <v>15</v>
      </c>
      <c r="F658" t="s">
        <v>35</v>
      </c>
      <c r="G658" t="s">
        <v>1240</v>
      </c>
      <c r="H658" t="s">
        <v>1254</v>
      </c>
      <c r="J658" t="s">
        <v>401</v>
      </c>
      <c r="K658" t="s">
        <v>1255</v>
      </c>
      <c r="L658" t="s">
        <v>28</v>
      </c>
    </row>
    <row r="659" spans="1:12" x14ac:dyDescent="0.35">
      <c r="A659">
        <v>485</v>
      </c>
      <c r="B659" s="23" t="s">
        <v>1256</v>
      </c>
      <c r="C659" t="s">
        <v>30</v>
      </c>
      <c r="D659" t="s">
        <v>1248</v>
      </c>
      <c r="E659" t="s">
        <v>15</v>
      </c>
      <c r="F659" t="s">
        <v>35</v>
      </c>
      <c r="G659" t="s">
        <v>1240</v>
      </c>
      <c r="H659" t="s">
        <v>1257</v>
      </c>
      <c r="J659" t="s">
        <v>401</v>
      </c>
      <c r="K659" t="s">
        <v>1258</v>
      </c>
      <c r="L659" t="s">
        <v>28</v>
      </c>
    </row>
    <row r="660" spans="1:12" x14ac:dyDescent="0.35">
      <c r="A660">
        <v>485</v>
      </c>
      <c r="B660" s="24" t="s">
        <v>1259</v>
      </c>
      <c r="C660" t="s">
        <v>30</v>
      </c>
      <c r="D660" t="s">
        <v>34</v>
      </c>
      <c r="E660" t="s">
        <v>15</v>
      </c>
      <c r="F660" t="s">
        <v>35</v>
      </c>
      <c r="G660" t="s">
        <v>120</v>
      </c>
      <c r="H660" t="s">
        <v>1257</v>
      </c>
      <c r="J660" t="s">
        <v>1260</v>
      </c>
      <c r="K660" t="s">
        <v>1261</v>
      </c>
      <c r="L660" t="s">
        <v>28</v>
      </c>
    </row>
    <row r="661" spans="1:12" x14ac:dyDescent="0.35">
      <c r="A661">
        <v>485</v>
      </c>
      <c r="B661" s="23" t="s">
        <v>1262</v>
      </c>
      <c r="C661" t="s">
        <v>30</v>
      </c>
      <c r="D661" t="s">
        <v>38</v>
      </c>
      <c r="E661" t="s">
        <v>15</v>
      </c>
      <c r="F661" t="s">
        <v>35</v>
      </c>
      <c r="G661" t="s">
        <v>1263</v>
      </c>
      <c r="H661" t="s">
        <v>1257</v>
      </c>
      <c r="J661" t="s">
        <v>401</v>
      </c>
      <c r="K661" t="s">
        <v>1264</v>
      </c>
      <c r="L661" t="s">
        <v>28</v>
      </c>
    </row>
    <row r="662" spans="1:12" x14ac:dyDescent="0.35">
      <c r="A662">
        <v>485</v>
      </c>
      <c r="B662" s="23" t="s">
        <v>1265</v>
      </c>
      <c r="C662" t="s">
        <v>30</v>
      </c>
      <c r="D662" t="s">
        <v>38</v>
      </c>
      <c r="E662" t="s">
        <v>15</v>
      </c>
      <c r="F662" t="s">
        <v>35</v>
      </c>
      <c r="G662" t="s">
        <v>1263</v>
      </c>
      <c r="H662" t="s">
        <v>1257</v>
      </c>
      <c r="J662" t="s">
        <v>401</v>
      </c>
      <c r="K662" t="s">
        <v>1266</v>
      </c>
      <c r="L662" t="s">
        <v>28</v>
      </c>
    </row>
    <row r="663" spans="1:12" x14ac:dyDescent="0.35">
      <c r="A663">
        <v>485</v>
      </c>
      <c r="B663" t="s">
        <v>1267</v>
      </c>
      <c r="C663" t="s">
        <v>33</v>
      </c>
      <c r="D663" t="s">
        <v>1268</v>
      </c>
      <c r="E663" t="s">
        <v>15</v>
      </c>
      <c r="F663" t="s">
        <v>35</v>
      </c>
      <c r="G663" t="s">
        <v>1263</v>
      </c>
      <c r="H663" t="s">
        <v>1257</v>
      </c>
      <c r="J663" t="s">
        <v>401</v>
      </c>
      <c r="K663" t="s">
        <v>1269</v>
      </c>
      <c r="L663" t="s">
        <v>28</v>
      </c>
    </row>
    <row r="664" spans="1:12" x14ac:dyDescent="0.35">
      <c r="A664">
        <v>485</v>
      </c>
      <c r="B664" s="7" t="s">
        <v>1270</v>
      </c>
      <c r="C664" t="s">
        <v>33</v>
      </c>
      <c r="D664" t="s">
        <v>196</v>
      </c>
      <c r="E664" t="s">
        <v>15</v>
      </c>
      <c r="F664" t="s">
        <v>35</v>
      </c>
      <c r="G664" t="s">
        <v>1263</v>
      </c>
      <c r="H664" t="s">
        <v>1257</v>
      </c>
      <c r="J664" t="s">
        <v>401</v>
      </c>
      <c r="K664" t="s">
        <v>1271</v>
      </c>
      <c r="L664" t="s">
        <v>28</v>
      </c>
    </row>
    <row r="665" spans="1:12" x14ac:dyDescent="0.35">
      <c r="A665">
        <v>485</v>
      </c>
      <c r="B665" s="7" t="s">
        <v>1272</v>
      </c>
      <c r="C665" t="s">
        <v>33</v>
      </c>
      <c r="D665" t="s">
        <v>196</v>
      </c>
      <c r="E665" t="s">
        <v>15</v>
      </c>
      <c r="F665" t="s">
        <v>35</v>
      </c>
      <c r="G665" t="s">
        <v>1263</v>
      </c>
      <c r="H665" t="s">
        <v>1257</v>
      </c>
      <c r="J665" t="s">
        <v>401</v>
      </c>
      <c r="K665" t="s">
        <v>1273</v>
      </c>
      <c r="L665" t="s">
        <v>28</v>
      </c>
    </row>
    <row r="666" spans="1:12" x14ac:dyDescent="0.35">
      <c r="A666">
        <v>485</v>
      </c>
      <c r="B666" s="7" t="s">
        <v>1274</v>
      </c>
      <c r="C666" t="s">
        <v>33</v>
      </c>
      <c r="D666" t="s">
        <v>196</v>
      </c>
      <c r="E666" t="s">
        <v>15</v>
      </c>
      <c r="F666" t="s">
        <v>35</v>
      </c>
      <c r="G666" t="s">
        <v>1263</v>
      </c>
      <c r="H666" t="s">
        <v>1257</v>
      </c>
      <c r="J666" t="s">
        <v>401</v>
      </c>
      <c r="K666" t="s">
        <v>1275</v>
      </c>
      <c r="L666" t="s">
        <v>28</v>
      </c>
    </row>
    <row r="667" spans="1:12" x14ac:dyDescent="0.35">
      <c r="A667">
        <v>485</v>
      </c>
      <c r="B667" s="25" t="s">
        <v>1276</v>
      </c>
      <c r="C667" t="s">
        <v>30</v>
      </c>
      <c r="D667" t="s">
        <v>988</v>
      </c>
      <c r="E667" t="s">
        <v>15</v>
      </c>
      <c r="F667" t="s">
        <v>35</v>
      </c>
      <c r="G667" t="s">
        <v>1263</v>
      </c>
      <c r="H667" t="s">
        <v>1257</v>
      </c>
      <c r="J667" t="s">
        <v>401</v>
      </c>
      <c r="K667" t="s">
        <v>1277</v>
      </c>
      <c r="L667" t="s">
        <v>28</v>
      </c>
    </row>
    <row r="668" spans="1:12" x14ac:dyDescent="0.35">
      <c r="A668">
        <v>485</v>
      </c>
      <c r="B668" t="s">
        <v>1278</v>
      </c>
      <c r="C668" t="s">
        <v>30</v>
      </c>
      <c r="D668" t="s">
        <v>34</v>
      </c>
      <c r="E668" t="s">
        <v>15</v>
      </c>
      <c r="F668" t="s">
        <v>35</v>
      </c>
      <c r="G668" t="s">
        <v>1263</v>
      </c>
      <c r="H668" t="s">
        <v>1251</v>
      </c>
      <c r="J668" t="s">
        <v>401</v>
      </c>
      <c r="K668" t="s">
        <v>1279</v>
      </c>
      <c r="L668" t="s">
        <v>28</v>
      </c>
    </row>
    <row r="669" spans="1:12" x14ac:dyDescent="0.35">
      <c r="A669">
        <v>485</v>
      </c>
      <c r="B669" s="23" t="s">
        <v>1280</v>
      </c>
      <c r="C669" t="s">
        <v>30</v>
      </c>
      <c r="D669" t="s">
        <v>1281</v>
      </c>
      <c r="E669" t="s">
        <v>15</v>
      </c>
      <c r="F669" t="s">
        <v>33</v>
      </c>
      <c r="G669" t="s">
        <v>1263</v>
      </c>
      <c r="H669" t="s">
        <v>1282</v>
      </c>
      <c r="J669" t="s">
        <v>1283</v>
      </c>
      <c r="K669" t="s">
        <v>1284</v>
      </c>
      <c r="L669" t="s">
        <v>28</v>
      </c>
    </row>
    <row r="670" spans="1:12" x14ac:dyDescent="0.35">
      <c r="A670">
        <v>485</v>
      </c>
      <c r="B670" t="s">
        <v>1285</v>
      </c>
      <c r="C670" t="s">
        <v>13</v>
      </c>
      <c r="D670" t="s">
        <v>1281</v>
      </c>
      <c r="E670" t="s">
        <v>15</v>
      </c>
      <c r="F670" t="s">
        <v>33</v>
      </c>
      <c r="G670" t="s">
        <v>1263</v>
      </c>
      <c r="H670" t="s">
        <v>1282</v>
      </c>
      <c r="J670" t="s">
        <v>1283</v>
      </c>
      <c r="K670" t="s">
        <v>1286</v>
      </c>
      <c r="L670" t="s">
        <v>28</v>
      </c>
    </row>
    <row r="671" spans="1:12" x14ac:dyDescent="0.35">
      <c r="A671">
        <v>808</v>
      </c>
      <c r="B671" s="3" t="s">
        <v>1287</v>
      </c>
      <c r="C671" t="s">
        <v>33</v>
      </c>
      <c r="D671" t="s">
        <v>34</v>
      </c>
      <c r="E671" t="s">
        <v>15</v>
      </c>
      <c r="F671" t="s">
        <v>33</v>
      </c>
      <c r="G671" t="s">
        <v>1171</v>
      </c>
      <c r="H671" t="s">
        <v>1288</v>
      </c>
      <c r="J671" t="s">
        <v>1289</v>
      </c>
      <c r="K671" t="s">
        <v>1290</v>
      </c>
      <c r="L671" t="s">
        <v>28</v>
      </c>
    </row>
    <row r="672" spans="1:12" x14ac:dyDescent="0.35">
      <c r="A672">
        <v>808</v>
      </c>
      <c r="B672" s="10" t="s">
        <v>1291</v>
      </c>
      <c r="C672" t="s">
        <v>33</v>
      </c>
      <c r="D672" t="s">
        <v>1292</v>
      </c>
      <c r="E672" t="s">
        <v>15</v>
      </c>
      <c r="F672" t="s">
        <v>33</v>
      </c>
      <c r="G672" t="s">
        <v>1171</v>
      </c>
      <c r="H672" t="s">
        <v>1288</v>
      </c>
      <c r="J672" t="s">
        <v>1289</v>
      </c>
      <c r="K672" t="s">
        <v>1293</v>
      </c>
      <c r="L672" t="s">
        <v>28</v>
      </c>
    </row>
    <row r="673" spans="1:12" x14ac:dyDescent="0.35">
      <c r="A673">
        <v>808</v>
      </c>
      <c r="B673" t="s">
        <v>1294</v>
      </c>
      <c r="C673" t="s">
        <v>33</v>
      </c>
      <c r="D673" t="s">
        <v>988</v>
      </c>
      <c r="E673" t="s">
        <v>15</v>
      </c>
      <c r="F673" t="s">
        <v>33</v>
      </c>
      <c r="G673" t="s">
        <v>1171</v>
      </c>
      <c r="H673" t="s">
        <v>1288</v>
      </c>
      <c r="J673" t="s">
        <v>1289</v>
      </c>
      <c r="K673" t="s">
        <v>1293</v>
      </c>
      <c r="L673" t="s">
        <v>28</v>
      </c>
    </row>
    <row r="674" spans="1:12" x14ac:dyDescent="0.35">
      <c r="A674">
        <v>808</v>
      </c>
      <c r="B674" s="24" t="s">
        <v>1295</v>
      </c>
      <c r="C674" t="s">
        <v>30</v>
      </c>
      <c r="D674" t="s">
        <v>34</v>
      </c>
      <c r="E674" t="s">
        <v>15</v>
      </c>
      <c r="F674" t="s">
        <v>35</v>
      </c>
      <c r="G674" t="s">
        <v>1171</v>
      </c>
      <c r="H674" t="s">
        <v>795</v>
      </c>
      <c r="J674" t="s">
        <v>1296</v>
      </c>
      <c r="K674" t="s">
        <v>1297</v>
      </c>
      <c r="L674" t="s">
        <v>28</v>
      </c>
    </row>
    <row r="675" spans="1:12" x14ac:dyDescent="0.35">
      <c r="A675">
        <v>809</v>
      </c>
      <c r="B675" t="s">
        <v>1298</v>
      </c>
      <c r="C675" t="s">
        <v>33</v>
      </c>
      <c r="D675" t="s">
        <v>836</v>
      </c>
      <c r="E675" t="s">
        <v>15</v>
      </c>
      <c r="F675" t="s">
        <v>33</v>
      </c>
      <c r="G675" t="s">
        <v>120</v>
      </c>
      <c r="H675" t="s">
        <v>1299</v>
      </c>
      <c r="I675" t="s">
        <v>266</v>
      </c>
      <c r="J675" t="s">
        <v>1300</v>
      </c>
      <c r="K675" t="s">
        <v>1301</v>
      </c>
      <c r="L675" t="s">
        <v>133</v>
      </c>
    </row>
    <row r="676" spans="1:12" x14ac:dyDescent="0.35">
      <c r="A676">
        <v>809</v>
      </c>
      <c r="B676" s="2" t="s">
        <v>1302</v>
      </c>
      <c r="C676" t="s">
        <v>33</v>
      </c>
      <c r="D676" t="s">
        <v>205</v>
      </c>
      <c r="E676" t="s">
        <v>15</v>
      </c>
      <c r="F676" t="s">
        <v>33</v>
      </c>
      <c r="G676" t="s">
        <v>120</v>
      </c>
      <c r="H676" t="s">
        <v>1299</v>
      </c>
      <c r="I676" t="s">
        <v>266</v>
      </c>
      <c r="J676" t="s">
        <v>1300</v>
      </c>
      <c r="K676" t="s">
        <v>1301</v>
      </c>
      <c r="L676" t="s">
        <v>133</v>
      </c>
    </row>
    <row r="677" spans="1:12" x14ac:dyDescent="0.35">
      <c r="A677">
        <v>809</v>
      </c>
      <c r="B677" s="3" t="s">
        <v>1303</v>
      </c>
      <c r="C677" t="s">
        <v>33</v>
      </c>
      <c r="D677" t="s">
        <v>1304</v>
      </c>
      <c r="E677" t="s">
        <v>15</v>
      </c>
      <c r="F677" t="s">
        <v>33</v>
      </c>
      <c r="G677" t="s">
        <v>120</v>
      </c>
      <c r="H677" t="s">
        <v>1299</v>
      </c>
      <c r="I677" t="s">
        <v>266</v>
      </c>
      <c r="J677" t="s">
        <v>1300</v>
      </c>
      <c r="K677" t="s">
        <v>1301</v>
      </c>
      <c r="L677" t="s">
        <v>133</v>
      </c>
    </row>
    <row r="678" spans="1:12" x14ac:dyDescent="0.35">
      <c r="A678">
        <v>809</v>
      </c>
      <c r="B678" s="3" t="s">
        <v>1305</v>
      </c>
      <c r="C678" t="s">
        <v>33</v>
      </c>
      <c r="D678" t="s">
        <v>1304</v>
      </c>
      <c r="E678" t="s">
        <v>15</v>
      </c>
      <c r="F678" t="s">
        <v>33</v>
      </c>
      <c r="G678" t="s">
        <v>120</v>
      </c>
      <c r="H678" t="s">
        <v>1299</v>
      </c>
      <c r="I678" t="s">
        <v>266</v>
      </c>
      <c r="J678" t="s">
        <v>1300</v>
      </c>
      <c r="K678" t="s">
        <v>1301</v>
      </c>
      <c r="L678" t="s">
        <v>133</v>
      </c>
    </row>
    <row r="679" spans="1:12" x14ac:dyDescent="0.35">
      <c r="A679">
        <v>809</v>
      </c>
      <c r="B679" s="3" t="s">
        <v>1306</v>
      </c>
      <c r="C679" t="s">
        <v>33</v>
      </c>
      <c r="D679" t="s">
        <v>1304</v>
      </c>
      <c r="E679" t="s">
        <v>15</v>
      </c>
      <c r="F679" t="s">
        <v>33</v>
      </c>
      <c r="G679" t="s">
        <v>120</v>
      </c>
      <c r="H679" t="s">
        <v>1299</v>
      </c>
      <c r="I679" t="s">
        <v>266</v>
      </c>
      <c r="J679" t="s">
        <v>1300</v>
      </c>
      <c r="K679" t="s">
        <v>1301</v>
      </c>
      <c r="L679" t="s">
        <v>133</v>
      </c>
    </row>
    <row r="680" spans="1:12" x14ac:dyDescent="0.35">
      <c r="A680">
        <v>809</v>
      </c>
      <c r="B680" s="3" t="s">
        <v>1307</v>
      </c>
      <c r="C680" t="s">
        <v>33</v>
      </c>
      <c r="D680" t="s">
        <v>1304</v>
      </c>
      <c r="E680" t="s">
        <v>15</v>
      </c>
      <c r="F680" t="s">
        <v>33</v>
      </c>
      <c r="G680" t="s">
        <v>120</v>
      </c>
      <c r="H680" t="s">
        <v>1299</v>
      </c>
      <c r="I680" t="s">
        <v>266</v>
      </c>
      <c r="J680" t="s">
        <v>1308</v>
      </c>
      <c r="K680" t="s">
        <v>1301</v>
      </c>
      <c r="L680" t="s">
        <v>133</v>
      </c>
    </row>
    <row r="681" spans="1:12" x14ac:dyDescent="0.35">
      <c r="A681">
        <v>809</v>
      </c>
      <c r="B681" s="4" t="s">
        <v>1309</v>
      </c>
      <c r="C681" t="s">
        <v>33</v>
      </c>
      <c r="D681" t="s">
        <v>38</v>
      </c>
      <c r="E681" t="s">
        <v>15</v>
      </c>
      <c r="F681" t="s">
        <v>33</v>
      </c>
      <c r="G681" t="s">
        <v>120</v>
      </c>
      <c r="H681" t="s">
        <v>1299</v>
      </c>
      <c r="I681" t="s">
        <v>266</v>
      </c>
      <c r="J681" t="s">
        <v>1300</v>
      </c>
      <c r="K681" t="s">
        <v>1301</v>
      </c>
      <c r="L681" t="s">
        <v>133</v>
      </c>
    </row>
    <row r="682" spans="1:12" x14ac:dyDescent="0.35">
      <c r="A682">
        <v>809</v>
      </c>
      <c r="B682" t="s">
        <v>1310</v>
      </c>
      <c r="C682" t="s">
        <v>30</v>
      </c>
      <c r="D682" t="s">
        <v>836</v>
      </c>
      <c r="E682" t="s">
        <v>15</v>
      </c>
      <c r="F682" t="s">
        <v>35</v>
      </c>
      <c r="G682" t="s">
        <v>120</v>
      </c>
      <c r="H682" t="s">
        <v>1299</v>
      </c>
      <c r="I682" t="s">
        <v>266</v>
      </c>
      <c r="J682" t="s">
        <v>1300</v>
      </c>
      <c r="K682" t="s">
        <v>1301</v>
      </c>
      <c r="L682" t="s">
        <v>133</v>
      </c>
    </row>
    <row r="683" spans="1:12" x14ac:dyDescent="0.35">
      <c r="A683">
        <v>809</v>
      </c>
      <c r="B683" s="4" t="s">
        <v>1311</v>
      </c>
      <c r="C683" t="s">
        <v>33</v>
      </c>
      <c r="D683" t="s">
        <v>38</v>
      </c>
      <c r="E683" t="s">
        <v>15</v>
      </c>
      <c r="F683" t="s">
        <v>33</v>
      </c>
      <c r="G683" t="s">
        <v>120</v>
      </c>
      <c r="H683" t="s">
        <v>1299</v>
      </c>
      <c r="I683" t="s">
        <v>266</v>
      </c>
      <c r="J683" t="s">
        <v>1300</v>
      </c>
      <c r="K683" t="s">
        <v>1301</v>
      </c>
      <c r="L683" t="s">
        <v>133</v>
      </c>
    </row>
    <row r="684" spans="1:12" x14ac:dyDescent="0.35">
      <c r="A684">
        <v>809</v>
      </c>
      <c r="B684" s="4" t="s">
        <v>1312</v>
      </c>
      <c r="C684" t="s">
        <v>33</v>
      </c>
      <c r="D684" t="s">
        <v>38</v>
      </c>
      <c r="E684" t="s">
        <v>15</v>
      </c>
      <c r="F684" t="s">
        <v>33</v>
      </c>
      <c r="G684" t="s">
        <v>120</v>
      </c>
      <c r="H684" t="s">
        <v>1313</v>
      </c>
      <c r="I684" t="s">
        <v>163</v>
      </c>
      <c r="J684" t="s">
        <v>1300</v>
      </c>
      <c r="K684" t="s">
        <v>1314</v>
      </c>
      <c r="L684" t="s">
        <v>133</v>
      </c>
    </row>
    <row r="685" spans="1:12" x14ac:dyDescent="0.35">
      <c r="A685">
        <v>809</v>
      </c>
      <c r="B685" s="4" t="s">
        <v>1315</v>
      </c>
      <c r="C685" t="s">
        <v>33</v>
      </c>
      <c r="D685" t="s">
        <v>38</v>
      </c>
      <c r="E685" t="s">
        <v>15</v>
      </c>
      <c r="F685" t="s">
        <v>33</v>
      </c>
      <c r="G685" t="s">
        <v>120</v>
      </c>
      <c r="H685" t="s">
        <v>1313</v>
      </c>
      <c r="I685" t="s">
        <v>163</v>
      </c>
      <c r="J685" t="s">
        <v>1300</v>
      </c>
      <c r="K685" t="s">
        <v>1314</v>
      </c>
      <c r="L685" t="s">
        <v>133</v>
      </c>
    </row>
    <row r="686" spans="1:12" x14ac:dyDescent="0.35">
      <c r="A686">
        <v>809</v>
      </c>
      <c r="B686" s="5" t="s">
        <v>1316</v>
      </c>
      <c r="C686" t="s">
        <v>49</v>
      </c>
      <c r="D686" t="s">
        <v>988</v>
      </c>
      <c r="E686" t="s">
        <v>15</v>
      </c>
      <c r="F686" t="s">
        <v>24</v>
      </c>
      <c r="G686" t="s">
        <v>120</v>
      </c>
      <c r="H686" t="s">
        <v>1313</v>
      </c>
      <c r="I686" t="s">
        <v>163</v>
      </c>
      <c r="J686" t="s">
        <v>1300</v>
      </c>
      <c r="K686" t="s">
        <v>1314</v>
      </c>
      <c r="L686" t="s">
        <v>133</v>
      </c>
    </row>
    <row r="687" spans="1:12" x14ac:dyDescent="0.35">
      <c r="A687">
        <v>809</v>
      </c>
      <c r="B687" s="3" t="s">
        <v>1317</v>
      </c>
      <c r="C687" t="s">
        <v>33</v>
      </c>
      <c r="D687" t="s">
        <v>34</v>
      </c>
      <c r="E687" t="s">
        <v>15</v>
      </c>
      <c r="F687" t="s">
        <v>33</v>
      </c>
      <c r="G687" t="s">
        <v>120</v>
      </c>
      <c r="H687" t="s">
        <v>1313</v>
      </c>
      <c r="I687" t="s">
        <v>163</v>
      </c>
      <c r="J687" t="s">
        <v>1300</v>
      </c>
      <c r="K687" t="s">
        <v>1314</v>
      </c>
      <c r="L687" t="s">
        <v>133</v>
      </c>
    </row>
    <row r="688" spans="1:12" x14ac:dyDescent="0.35">
      <c r="A688">
        <v>809</v>
      </c>
      <c r="B688" s="16" t="s">
        <v>1318</v>
      </c>
      <c r="C688" t="s">
        <v>22</v>
      </c>
      <c r="D688" t="s">
        <v>836</v>
      </c>
      <c r="E688" t="s">
        <v>15</v>
      </c>
      <c r="F688" t="s">
        <v>22</v>
      </c>
      <c r="G688" t="s">
        <v>120</v>
      </c>
      <c r="H688" t="s">
        <v>1313</v>
      </c>
      <c r="I688" t="s">
        <v>163</v>
      </c>
      <c r="J688" t="s">
        <v>1300</v>
      </c>
      <c r="K688" t="s">
        <v>1314</v>
      </c>
      <c r="L688" t="s">
        <v>133</v>
      </c>
    </row>
    <row r="689" spans="1:12" x14ac:dyDescent="0.35">
      <c r="A689">
        <v>821</v>
      </c>
      <c r="B689" s="23" t="s">
        <v>1319</v>
      </c>
      <c r="C689" t="s">
        <v>30</v>
      </c>
      <c r="D689" t="s">
        <v>1218</v>
      </c>
      <c r="E689" t="s">
        <v>15</v>
      </c>
      <c r="F689" t="s">
        <v>35</v>
      </c>
      <c r="G689" t="s">
        <v>362</v>
      </c>
      <c r="H689" t="s">
        <v>589</v>
      </c>
      <c r="I689" t="s">
        <v>163</v>
      </c>
      <c r="J689" t="s">
        <v>1320</v>
      </c>
      <c r="K689" t="s">
        <v>1321</v>
      </c>
      <c r="L689" t="s">
        <v>28</v>
      </c>
    </row>
    <row r="690" spans="1:12" x14ac:dyDescent="0.35">
      <c r="A690">
        <v>821</v>
      </c>
      <c r="B690" s="23" t="s">
        <v>1322</v>
      </c>
      <c r="C690" t="s">
        <v>30</v>
      </c>
      <c r="D690" t="s">
        <v>157</v>
      </c>
      <c r="E690" t="s">
        <v>15</v>
      </c>
      <c r="F690" t="s">
        <v>33</v>
      </c>
      <c r="G690" t="s">
        <v>362</v>
      </c>
      <c r="H690" t="s">
        <v>589</v>
      </c>
      <c r="I690" t="s">
        <v>163</v>
      </c>
      <c r="J690" t="s">
        <v>1320</v>
      </c>
      <c r="K690" t="s">
        <v>1321</v>
      </c>
      <c r="L690" t="s">
        <v>28</v>
      </c>
    </row>
    <row r="691" spans="1:12" x14ac:dyDescent="0.35">
      <c r="A691">
        <v>821</v>
      </c>
      <c r="B691" s="4" t="s">
        <v>1323</v>
      </c>
      <c r="C691" t="s">
        <v>30</v>
      </c>
      <c r="D691" t="s">
        <v>34</v>
      </c>
      <c r="E691" t="s">
        <v>15</v>
      </c>
      <c r="F691" t="s">
        <v>35</v>
      </c>
      <c r="G691" t="s">
        <v>362</v>
      </c>
      <c r="H691" t="s">
        <v>1324</v>
      </c>
      <c r="I691" t="s">
        <v>348</v>
      </c>
      <c r="J691" t="s">
        <v>1320</v>
      </c>
      <c r="K691" t="s">
        <v>1321</v>
      </c>
      <c r="L691" t="s">
        <v>28</v>
      </c>
    </row>
    <row r="692" spans="1:12" x14ac:dyDescent="0.35">
      <c r="A692">
        <v>821</v>
      </c>
      <c r="B692" s="4" t="s">
        <v>1325</v>
      </c>
      <c r="C692" t="s">
        <v>30</v>
      </c>
      <c r="D692" t="s">
        <v>34</v>
      </c>
      <c r="E692" t="s">
        <v>15</v>
      </c>
      <c r="F692" t="s">
        <v>35</v>
      </c>
      <c r="G692" t="s">
        <v>120</v>
      </c>
      <c r="H692" t="s">
        <v>1324</v>
      </c>
      <c r="I692" t="s">
        <v>348</v>
      </c>
      <c r="J692" t="s">
        <v>225</v>
      </c>
      <c r="K692" t="s">
        <v>1326</v>
      </c>
      <c r="L692" t="s">
        <v>28</v>
      </c>
    </row>
    <row r="693" spans="1:12" x14ac:dyDescent="0.35">
      <c r="A693">
        <v>821</v>
      </c>
      <c r="B693" s="15" t="s">
        <v>1327</v>
      </c>
      <c r="C693" t="s">
        <v>30</v>
      </c>
      <c r="D693" t="s">
        <v>1328</v>
      </c>
      <c r="E693" t="s">
        <v>15</v>
      </c>
      <c r="F693" t="s">
        <v>137</v>
      </c>
      <c r="G693" t="s">
        <v>120</v>
      </c>
      <c r="H693" t="s">
        <v>589</v>
      </c>
      <c r="I693" t="s">
        <v>163</v>
      </c>
      <c r="J693" t="s">
        <v>1329</v>
      </c>
      <c r="K693" t="s">
        <v>1326</v>
      </c>
      <c r="L693" t="s">
        <v>28</v>
      </c>
    </row>
    <row r="694" spans="1:12" x14ac:dyDescent="0.35">
      <c r="A694">
        <v>821</v>
      </c>
      <c r="B694" s="15" t="s">
        <v>1330</v>
      </c>
      <c r="C694" t="s">
        <v>30</v>
      </c>
      <c r="D694" t="s">
        <v>1328</v>
      </c>
      <c r="E694" t="s">
        <v>15</v>
      </c>
      <c r="F694" t="s">
        <v>137</v>
      </c>
      <c r="G694" t="s">
        <v>120</v>
      </c>
      <c r="H694" t="s">
        <v>1324</v>
      </c>
      <c r="I694" t="s">
        <v>348</v>
      </c>
      <c r="J694" t="s">
        <v>1331</v>
      </c>
      <c r="K694" t="s">
        <v>1332</v>
      </c>
      <c r="L694" t="s">
        <v>28</v>
      </c>
    </row>
    <row r="695" spans="1:12" x14ac:dyDescent="0.35">
      <c r="A695">
        <v>821</v>
      </c>
      <c r="B695" s="15" t="s">
        <v>1333</v>
      </c>
      <c r="C695" t="s">
        <v>30</v>
      </c>
      <c r="D695" t="s">
        <v>1328</v>
      </c>
      <c r="E695" t="s">
        <v>15</v>
      </c>
      <c r="F695" t="s">
        <v>137</v>
      </c>
      <c r="G695" t="s">
        <v>120</v>
      </c>
      <c r="H695" t="s">
        <v>1324</v>
      </c>
      <c r="I695" t="s">
        <v>348</v>
      </c>
      <c r="J695" t="s">
        <v>1331</v>
      </c>
      <c r="K695" t="s">
        <v>1334</v>
      </c>
      <c r="L695" t="s">
        <v>28</v>
      </c>
    </row>
    <row r="696" spans="1:12" x14ac:dyDescent="0.35">
      <c r="A696">
        <v>821</v>
      </c>
      <c r="B696" s="2" t="s">
        <v>1335</v>
      </c>
      <c r="C696" t="s">
        <v>33</v>
      </c>
      <c r="D696" t="s">
        <v>157</v>
      </c>
      <c r="E696" t="s">
        <v>15</v>
      </c>
      <c r="F696" t="s">
        <v>33</v>
      </c>
      <c r="G696" t="s">
        <v>120</v>
      </c>
      <c r="H696" t="s">
        <v>589</v>
      </c>
      <c r="I696" t="s">
        <v>163</v>
      </c>
      <c r="J696" t="s">
        <v>1336</v>
      </c>
      <c r="K696" t="s">
        <v>1337</v>
      </c>
      <c r="L696" t="s">
        <v>28</v>
      </c>
    </row>
    <row r="697" spans="1:12" x14ac:dyDescent="0.35">
      <c r="A697">
        <v>821</v>
      </c>
      <c r="B697" s="3" t="s">
        <v>1338</v>
      </c>
      <c r="C697" t="s">
        <v>33</v>
      </c>
      <c r="D697" t="s">
        <v>1339</v>
      </c>
      <c r="E697" t="s">
        <v>15</v>
      </c>
      <c r="F697" t="s">
        <v>33</v>
      </c>
      <c r="G697" t="s">
        <v>120</v>
      </c>
      <c r="H697" t="s">
        <v>1324</v>
      </c>
      <c r="I697" t="s">
        <v>163</v>
      </c>
      <c r="J697" t="s">
        <v>1336</v>
      </c>
      <c r="K697" t="s">
        <v>1337</v>
      </c>
      <c r="L697" t="s">
        <v>28</v>
      </c>
    </row>
    <row r="698" spans="1:12" x14ac:dyDescent="0.35">
      <c r="A698">
        <v>821</v>
      </c>
      <c r="B698" s="23" t="s">
        <v>1340</v>
      </c>
      <c r="C698" t="s">
        <v>30</v>
      </c>
      <c r="D698" t="s">
        <v>1341</v>
      </c>
      <c r="E698" t="s">
        <v>15</v>
      </c>
      <c r="F698" t="s">
        <v>33</v>
      </c>
      <c r="G698" t="s">
        <v>120</v>
      </c>
      <c r="H698" t="s">
        <v>589</v>
      </c>
      <c r="I698" t="s">
        <v>348</v>
      </c>
      <c r="J698" t="s">
        <v>1342</v>
      </c>
      <c r="K698" t="s">
        <v>1343</v>
      </c>
      <c r="L698" t="s">
        <v>28</v>
      </c>
    </row>
    <row r="699" spans="1:12" x14ac:dyDescent="0.35">
      <c r="A699">
        <v>821</v>
      </c>
      <c r="B699" s="23" t="s">
        <v>1344</v>
      </c>
      <c r="C699" t="s">
        <v>30</v>
      </c>
      <c r="D699" t="s">
        <v>1341</v>
      </c>
      <c r="E699" t="s">
        <v>15</v>
      </c>
      <c r="F699" t="s">
        <v>33</v>
      </c>
      <c r="G699" t="s">
        <v>120</v>
      </c>
      <c r="H699" t="s">
        <v>1324</v>
      </c>
      <c r="I699" t="s">
        <v>348</v>
      </c>
      <c r="J699" t="s">
        <v>1342</v>
      </c>
      <c r="K699" t="s">
        <v>1343</v>
      </c>
      <c r="L699" t="s">
        <v>28</v>
      </c>
    </row>
    <row r="700" spans="1:12" x14ac:dyDescent="0.35">
      <c r="A700">
        <v>821</v>
      </c>
      <c r="B700" s="15" t="s">
        <v>1345</v>
      </c>
      <c r="C700" t="s">
        <v>30</v>
      </c>
      <c r="D700" t="s">
        <v>1346</v>
      </c>
      <c r="E700" t="s">
        <v>15</v>
      </c>
      <c r="F700" t="s">
        <v>137</v>
      </c>
      <c r="G700" t="s">
        <v>120</v>
      </c>
      <c r="H700" t="s">
        <v>589</v>
      </c>
      <c r="I700" t="s">
        <v>163</v>
      </c>
      <c r="J700" t="s">
        <v>1347</v>
      </c>
      <c r="L700" t="s">
        <v>28</v>
      </c>
    </row>
    <row r="701" spans="1:12" x14ac:dyDescent="0.35">
      <c r="A701">
        <v>821</v>
      </c>
      <c r="B701" s="15" t="s">
        <v>1348</v>
      </c>
      <c r="C701" t="s">
        <v>30</v>
      </c>
      <c r="D701" t="s">
        <v>1349</v>
      </c>
      <c r="E701" t="s">
        <v>15</v>
      </c>
      <c r="F701" t="s">
        <v>137</v>
      </c>
      <c r="G701" t="s">
        <v>120</v>
      </c>
      <c r="H701" t="s">
        <v>1324</v>
      </c>
      <c r="I701" t="s">
        <v>163</v>
      </c>
      <c r="J701" t="s">
        <v>1347</v>
      </c>
      <c r="L701" t="s">
        <v>28</v>
      </c>
    </row>
    <row r="702" spans="1:12" x14ac:dyDescent="0.35">
      <c r="A702">
        <v>821</v>
      </c>
      <c r="B702" s="15" t="s">
        <v>1350</v>
      </c>
      <c r="C702" t="s">
        <v>30</v>
      </c>
      <c r="D702" t="s">
        <v>1351</v>
      </c>
      <c r="E702" t="s">
        <v>15</v>
      </c>
      <c r="F702" t="s">
        <v>137</v>
      </c>
      <c r="G702" t="s">
        <v>120</v>
      </c>
      <c r="H702" t="s">
        <v>373</v>
      </c>
      <c r="I702" t="s">
        <v>163</v>
      </c>
      <c r="J702" t="s">
        <v>1347</v>
      </c>
      <c r="L702" t="s">
        <v>28</v>
      </c>
    </row>
    <row r="703" spans="1:12" x14ac:dyDescent="0.35">
      <c r="A703">
        <v>821</v>
      </c>
      <c r="B703" s="15" t="s">
        <v>1352</v>
      </c>
      <c r="C703" t="s">
        <v>30</v>
      </c>
      <c r="D703" t="s">
        <v>1341</v>
      </c>
      <c r="E703" t="s">
        <v>15</v>
      </c>
      <c r="F703" t="s">
        <v>137</v>
      </c>
      <c r="G703" t="s">
        <v>120</v>
      </c>
      <c r="H703" t="s">
        <v>795</v>
      </c>
      <c r="I703" t="s">
        <v>163</v>
      </c>
      <c r="J703" t="s">
        <v>1347</v>
      </c>
      <c r="L703" t="s">
        <v>28</v>
      </c>
    </row>
    <row r="704" spans="1:12" x14ac:dyDescent="0.35">
      <c r="A704">
        <v>822</v>
      </c>
      <c r="B704" s="23" t="s">
        <v>1353</v>
      </c>
      <c r="C704" t="s">
        <v>30</v>
      </c>
      <c r="D704" t="s">
        <v>1354</v>
      </c>
      <c r="E704" t="s">
        <v>15</v>
      </c>
      <c r="F704" t="s">
        <v>35</v>
      </c>
      <c r="G704" t="s">
        <v>120</v>
      </c>
      <c r="H704" t="s">
        <v>365</v>
      </c>
      <c r="J704" t="s">
        <v>1355</v>
      </c>
      <c r="K704" t="s">
        <v>1356</v>
      </c>
      <c r="L704" t="s">
        <v>28</v>
      </c>
    </row>
    <row r="705" spans="1:12" x14ac:dyDescent="0.35">
      <c r="A705">
        <v>822</v>
      </c>
      <c r="B705" t="s">
        <v>1357</v>
      </c>
      <c r="C705" t="s">
        <v>30</v>
      </c>
      <c r="D705" t="s">
        <v>1358</v>
      </c>
      <c r="E705" t="s">
        <v>15</v>
      </c>
      <c r="F705" t="s">
        <v>35</v>
      </c>
      <c r="G705" t="s">
        <v>120</v>
      </c>
      <c r="H705" t="s">
        <v>365</v>
      </c>
      <c r="J705" t="s">
        <v>1355</v>
      </c>
      <c r="L705" t="s">
        <v>28</v>
      </c>
    </row>
    <row r="706" spans="1:12" x14ac:dyDescent="0.35">
      <c r="A706">
        <v>822</v>
      </c>
      <c r="B706" s="23" t="s">
        <v>1359</v>
      </c>
      <c r="C706" t="s">
        <v>30</v>
      </c>
      <c r="D706" t="s">
        <v>1013</v>
      </c>
      <c r="E706" t="s">
        <v>15</v>
      </c>
      <c r="F706" t="s">
        <v>35</v>
      </c>
      <c r="G706" t="s">
        <v>1360</v>
      </c>
      <c r="H706" t="s">
        <v>365</v>
      </c>
      <c r="J706" t="s">
        <v>401</v>
      </c>
      <c r="K706" t="s">
        <v>1361</v>
      </c>
      <c r="L706" t="s">
        <v>28</v>
      </c>
    </row>
    <row r="707" spans="1:12" x14ac:dyDescent="0.35">
      <c r="A707">
        <v>822</v>
      </c>
      <c r="B707" s="23" t="s">
        <v>1362</v>
      </c>
      <c r="C707" t="s">
        <v>30</v>
      </c>
      <c r="D707" t="s">
        <v>34</v>
      </c>
      <c r="E707" t="s">
        <v>15</v>
      </c>
      <c r="F707" t="s">
        <v>35</v>
      </c>
      <c r="G707" t="s">
        <v>1171</v>
      </c>
      <c r="H707" t="s">
        <v>365</v>
      </c>
      <c r="J707" t="s">
        <v>401</v>
      </c>
      <c r="K707" t="s">
        <v>1363</v>
      </c>
      <c r="L707" t="s">
        <v>28</v>
      </c>
    </row>
    <row r="708" spans="1:12" x14ac:dyDescent="0.35">
      <c r="A708">
        <v>822</v>
      </c>
      <c r="B708" s="23" t="s">
        <v>1364</v>
      </c>
      <c r="C708" t="s">
        <v>30</v>
      </c>
      <c r="D708" t="s">
        <v>1218</v>
      </c>
      <c r="E708" t="s">
        <v>15</v>
      </c>
      <c r="F708" t="s">
        <v>35</v>
      </c>
      <c r="G708" t="s">
        <v>120</v>
      </c>
      <c r="H708" t="s">
        <v>365</v>
      </c>
      <c r="J708" t="s">
        <v>1365</v>
      </c>
      <c r="L708" t="s">
        <v>28</v>
      </c>
    </row>
    <row r="709" spans="1:12" x14ac:dyDescent="0.35">
      <c r="A709">
        <v>822</v>
      </c>
      <c r="B709" s="23" t="s">
        <v>1366</v>
      </c>
      <c r="C709" t="s">
        <v>30</v>
      </c>
      <c r="D709" t="s">
        <v>38</v>
      </c>
      <c r="E709" t="s">
        <v>15</v>
      </c>
      <c r="F709" t="s">
        <v>35</v>
      </c>
      <c r="H709" t="s">
        <v>365</v>
      </c>
      <c r="J709" t="s">
        <v>1367</v>
      </c>
      <c r="K709" t="s">
        <v>1368</v>
      </c>
      <c r="L709" t="s">
        <v>28</v>
      </c>
    </row>
    <row r="710" spans="1:12" x14ac:dyDescent="0.35">
      <c r="A710">
        <v>822</v>
      </c>
      <c r="B710" s="23" t="s">
        <v>1369</v>
      </c>
      <c r="C710" t="s">
        <v>30</v>
      </c>
      <c r="D710" t="s">
        <v>1370</v>
      </c>
      <c r="E710" t="s">
        <v>15</v>
      </c>
      <c r="F710" t="s">
        <v>35</v>
      </c>
      <c r="H710" t="s">
        <v>365</v>
      </c>
      <c r="J710" t="s">
        <v>1367</v>
      </c>
      <c r="K710" t="s">
        <v>1368</v>
      </c>
      <c r="L710" t="s">
        <v>28</v>
      </c>
    </row>
    <row r="711" spans="1:12" x14ac:dyDescent="0.35">
      <c r="A711">
        <v>822</v>
      </c>
      <c r="B711" s="23" t="s">
        <v>1371</v>
      </c>
      <c r="C711" t="s">
        <v>30</v>
      </c>
      <c r="D711" t="s">
        <v>1372</v>
      </c>
      <c r="E711" t="s">
        <v>15</v>
      </c>
      <c r="F711" t="s">
        <v>35</v>
      </c>
      <c r="H711" t="s">
        <v>365</v>
      </c>
      <c r="J711" t="s">
        <v>1367</v>
      </c>
      <c r="K711" t="s">
        <v>1368</v>
      </c>
      <c r="L711" t="s">
        <v>28</v>
      </c>
    </row>
    <row r="712" spans="1:12" x14ac:dyDescent="0.35">
      <c r="A712">
        <v>123</v>
      </c>
      <c r="B712" s="6" t="s">
        <v>1373</v>
      </c>
      <c r="C712" t="s">
        <v>33</v>
      </c>
      <c r="D712" t="s">
        <v>34</v>
      </c>
      <c r="E712" t="s">
        <v>15</v>
      </c>
      <c r="F712" t="s">
        <v>1374</v>
      </c>
      <c r="G712" t="s">
        <v>1375</v>
      </c>
      <c r="H712" t="s">
        <v>333</v>
      </c>
      <c r="I712" t="s">
        <v>27</v>
      </c>
      <c r="J712" t="s">
        <v>1376</v>
      </c>
      <c r="K712" t="s">
        <v>1377</v>
      </c>
      <c r="L712" t="s">
        <v>28</v>
      </c>
    </row>
    <row r="713" spans="1:12" x14ac:dyDescent="0.35">
      <c r="A713">
        <v>123</v>
      </c>
      <c r="B713" s="26" t="s">
        <v>1378</v>
      </c>
      <c r="C713" t="s">
        <v>30</v>
      </c>
      <c r="D713" t="s">
        <v>34</v>
      </c>
      <c r="E713" t="s">
        <v>15</v>
      </c>
      <c r="F713" t="s">
        <v>766</v>
      </c>
      <c r="G713" t="s">
        <v>1375</v>
      </c>
      <c r="H713" t="s">
        <v>333</v>
      </c>
      <c r="I713" t="s">
        <v>27</v>
      </c>
      <c r="J713" t="s">
        <v>1376</v>
      </c>
      <c r="K713" t="s">
        <v>1379</v>
      </c>
      <c r="L713" t="s">
        <v>28</v>
      </c>
    </row>
    <row r="714" spans="1:12" x14ac:dyDescent="0.35">
      <c r="A714">
        <v>123</v>
      </c>
      <c r="B714" s="26" t="s">
        <v>1380</v>
      </c>
      <c r="C714" t="s">
        <v>30</v>
      </c>
      <c r="D714" t="s">
        <v>34</v>
      </c>
      <c r="E714" t="s">
        <v>15</v>
      </c>
      <c r="F714" t="s">
        <v>766</v>
      </c>
      <c r="G714" t="s">
        <v>1375</v>
      </c>
      <c r="H714" t="s">
        <v>333</v>
      </c>
      <c r="I714" t="s">
        <v>27</v>
      </c>
      <c r="J714" t="s">
        <v>1376</v>
      </c>
      <c r="K714" t="s">
        <v>1381</v>
      </c>
      <c r="L714" t="s">
        <v>28</v>
      </c>
    </row>
    <row r="715" spans="1:12" x14ac:dyDescent="0.35">
      <c r="A715">
        <v>123</v>
      </c>
      <c r="B715" s="26" t="s">
        <v>1382</v>
      </c>
      <c r="C715" t="s">
        <v>30</v>
      </c>
      <c r="D715" t="s">
        <v>1383</v>
      </c>
      <c r="E715" t="s">
        <v>15</v>
      </c>
      <c r="F715" t="s">
        <v>766</v>
      </c>
      <c r="G715" t="s">
        <v>1375</v>
      </c>
      <c r="H715" t="s">
        <v>333</v>
      </c>
      <c r="I715" t="s">
        <v>27</v>
      </c>
      <c r="J715" t="s">
        <v>1376</v>
      </c>
      <c r="K715" t="s">
        <v>1381</v>
      </c>
      <c r="L715" t="s">
        <v>28</v>
      </c>
    </row>
    <row r="716" spans="1:12" x14ac:dyDescent="0.35">
      <c r="A716">
        <v>123</v>
      </c>
      <c r="B716" s="26" t="s">
        <v>1384</v>
      </c>
      <c r="C716" t="s">
        <v>30</v>
      </c>
      <c r="D716" t="s">
        <v>1385</v>
      </c>
      <c r="E716" t="s">
        <v>15</v>
      </c>
      <c r="F716" t="s">
        <v>766</v>
      </c>
      <c r="G716" t="s">
        <v>1375</v>
      </c>
      <c r="H716" t="s">
        <v>333</v>
      </c>
      <c r="I716" t="s">
        <v>27</v>
      </c>
      <c r="J716" t="s">
        <v>1376</v>
      </c>
      <c r="K716" t="s">
        <v>1381</v>
      </c>
      <c r="L716" t="s">
        <v>28</v>
      </c>
    </row>
    <row r="717" spans="1:12" x14ac:dyDescent="0.35">
      <c r="A717">
        <v>123</v>
      </c>
      <c r="B717" s="26" t="s">
        <v>1386</v>
      </c>
      <c r="C717" t="s">
        <v>30</v>
      </c>
      <c r="D717" t="s">
        <v>1385</v>
      </c>
      <c r="E717" t="s">
        <v>15</v>
      </c>
      <c r="F717" t="s">
        <v>766</v>
      </c>
      <c r="G717" t="s">
        <v>1375</v>
      </c>
      <c r="H717" t="s">
        <v>333</v>
      </c>
      <c r="I717" t="s">
        <v>27</v>
      </c>
      <c r="J717" t="s">
        <v>1376</v>
      </c>
      <c r="K717" t="s">
        <v>1381</v>
      </c>
      <c r="L717" t="s">
        <v>28</v>
      </c>
    </row>
    <row r="718" spans="1:12" x14ac:dyDescent="0.35">
      <c r="A718">
        <v>123</v>
      </c>
      <c r="B718" s="26" t="s">
        <v>1387</v>
      </c>
      <c r="C718" t="s">
        <v>30</v>
      </c>
      <c r="D718" t="s">
        <v>1385</v>
      </c>
      <c r="E718" t="s">
        <v>15</v>
      </c>
      <c r="F718" t="s">
        <v>766</v>
      </c>
      <c r="G718" t="s">
        <v>1375</v>
      </c>
      <c r="H718" t="s">
        <v>333</v>
      </c>
      <c r="I718" t="s">
        <v>27</v>
      </c>
      <c r="J718" t="s">
        <v>1376</v>
      </c>
      <c r="K718" t="s">
        <v>1381</v>
      </c>
      <c r="L718" t="s">
        <v>28</v>
      </c>
    </row>
    <row r="719" spans="1:12" x14ac:dyDescent="0.35">
      <c r="A719">
        <v>123</v>
      </c>
      <c r="B719" s="26" t="s">
        <v>1388</v>
      </c>
      <c r="C719" t="s">
        <v>30</v>
      </c>
      <c r="D719" t="s">
        <v>1389</v>
      </c>
      <c r="E719" t="s">
        <v>15</v>
      </c>
      <c r="F719" t="s">
        <v>766</v>
      </c>
      <c r="G719" t="s">
        <v>1375</v>
      </c>
      <c r="H719" t="s">
        <v>333</v>
      </c>
      <c r="I719" t="s">
        <v>27</v>
      </c>
      <c r="J719" t="s">
        <v>1376</v>
      </c>
      <c r="K719" t="s">
        <v>1390</v>
      </c>
      <c r="L719" t="s">
        <v>28</v>
      </c>
    </row>
    <row r="720" spans="1:12" x14ac:dyDescent="0.35">
      <c r="A720">
        <v>162</v>
      </c>
      <c r="B720" s="23" t="s">
        <v>1391</v>
      </c>
      <c r="C720" t="s">
        <v>30</v>
      </c>
      <c r="D720" t="s">
        <v>1392</v>
      </c>
      <c r="E720" t="s">
        <v>15</v>
      </c>
      <c r="F720" t="s">
        <v>35</v>
      </c>
      <c r="G720" t="s">
        <v>120</v>
      </c>
      <c r="H720" t="s">
        <v>1393</v>
      </c>
      <c r="I720" t="s">
        <v>27</v>
      </c>
      <c r="J720" t="s">
        <v>1394</v>
      </c>
      <c r="K720" t="s">
        <v>1395</v>
      </c>
      <c r="L720" t="s">
        <v>20</v>
      </c>
    </row>
    <row r="721" spans="1:12" x14ac:dyDescent="0.35">
      <c r="A721">
        <v>162</v>
      </c>
      <c r="B721" s="4" t="s">
        <v>1396</v>
      </c>
      <c r="C721" t="s">
        <v>33</v>
      </c>
      <c r="D721" t="s">
        <v>38</v>
      </c>
      <c r="E721" t="s">
        <v>15</v>
      </c>
      <c r="F721" t="s">
        <v>33</v>
      </c>
      <c r="G721" t="s">
        <v>120</v>
      </c>
      <c r="I721" t="s">
        <v>27</v>
      </c>
      <c r="J721" t="s">
        <v>1394</v>
      </c>
      <c r="K721" t="s">
        <v>1395</v>
      </c>
      <c r="L721" t="s">
        <v>20</v>
      </c>
    </row>
    <row r="722" spans="1:12" x14ac:dyDescent="0.35">
      <c r="A722">
        <v>162</v>
      </c>
      <c r="B722" t="s">
        <v>1397</v>
      </c>
      <c r="C722" t="s">
        <v>33</v>
      </c>
      <c r="D722" t="s">
        <v>1392</v>
      </c>
      <c r="E722" t="s">
        <v>15</v>
      </c>
      <c r="F722" t="s">
        <v>33</v>
      </c>
      <c r="G722" t="s">
        <v>120</v>
      </c>
      <c r="I722" t="s">
        <v>27</v>
      </c>
      <c r="J722" t="s">
        <v>1394</v>
      </c>
      <c r="K722" t="s">
        <v>1395</v>
      </c>
      <c r="L722" t="s">
        <v>20</v>
      </c>
    </row>
    <row r="723" spans="1:12" x14ac:dyDescent="0.35">
      <c r="A723">
        <v>162</v>
      </c>
      <c r="B723" s="23" t="s">
        <v>1398</v>
      </c>
      <c r="C723" t="s">
        <v>30</v>
      </c>
      <c r="D723" t="s">
        <v>1399</v>
      </c>
      <c r="E723" t="s">
        <v>15</v>
      </c>
      <c r="F723" t="s">
        <v>35</v>
      </c>
      <c r="G723" t="s">
        <v>120</v>
      </c>
      <c r="H723" t="s">
        <v>1400</v>
      </c>
      <c r="I723" t="s">
        <v>27</v>
      </c>
      <c r="J723" t="s">
        <v>1394</v>
      </c>
      <c r="K723" t="s">
        <v>1401</v>
      </c>
      <c r="L723" t="s">
        <v>20</v>
      </c>
    </row>
    <row r="724" spans="1:12" x14ac:dyDescent="0.35">
      <c r="A724">
        <v>162</v>
      </c>
      <c r="B724" s="23" t="s">
        <v>1391</v>
      </c>
      <c r="C724" t="s">
        <v>30</v>
      </c>
      <c r="D724" t="s">
        <v>1392</v>
      </c>
      <c r="E724" t="s">
        <v>15</v>
      </c>
      <c r="F724" t="s">
        <v>35</v>
      </c>
      <c r="G724" t="s">
        <v>120</v>
      </c>
      <c r="H724" t="s">
        <v>1393</v>
      </c>
      <c r="I724" t="s">
        <v>27</v>
      </c>
      <c r="J724" t="s">
        <v>1402</v>
      </c>
      <c r="K724" t="s">
        <v>1395</v>
      </c>
      <c r="L724" t="s">
        <v>20</v>
      </c>
    </row>
    <row r="725" spans="1:12" x14ac:dyDescent="0.35">
      <c r="A725">
        <v>162</v>
      </c>
      <c r="B725" s="2" t="s">
        <v>1403</v>
      </c>
      <c r="C725" t="s">
        <v>33</v>
      </c>
      <c r="D725" t="s">
        <v>38</v>
      </c>
      <c r="E725" t="s">
        <v>15</v>
      </c>
      <c r="F725" t="s">
        <v>35</v>
      </c>
      <c r="G725" t="s">
        <v>120</v>
      </c>
      <c r="H725" t="s">
        <v>1404</v>
      </c>
      <c r="I725" t="s">
        <v>27</v>
      </c>
      <c r="J725" t="s">
        <v>1402</v>
      </c>
      <c r="K725" t="s">
        <v>1395</v>
      </c>
      <c r="L725" t="s">
        <v>20</v>
      </c>
    </row>
    <row r="726" spans="1:12" x14ac:dyDescent="0.35">
      <c r="A726">
        <v>162</v>
      </c>
      <c r="B726" s="3" t="s">
        <v>1405</v>
      </c>
      <c r="C726" t="s">
        <v>33</v>
      </c>
      <c r="D726" t="s">
        <v>1406</v>
      </c>
      <c r="E726" t="s">
        <v>15</v>
      </c>
      <c r="F726" t="s">
        <v>35</v>
      </c>
      <c r="G726" t="s">
        <v>120</v>
      </c>
      <c r="H726" t="s">
        <v>1407</v>
      </c>
      <c r="I726" t="s">
        <v>27</v>
      </c>
      <c r="J726" t="s">
        <v>1402</v>
      </c>
      <c r="K726" t="s">
        <v>1395</v>
      </c>
      <c r="L726" t="s">
        <v>20</v>
      </c>
    </row>
    <row r="727" spans="1:12" x14ac:dyDescent="0.35">
      <c r="A727">
        <v>162</v>
      </c>
      <c r="B727" s="9" t="s">
        <v>1408</v>
      </c>
      <c r="C727" t="s">
        <v>33</v>
      </c>
      <c r="D727" t="s">
        <v>1406</v>
      </c>
      <c r="E727" t="s">
        <v>15</v>
      </c>
      <c r="F727" t="s">
        <v>35</v>
      </c>
      <c r="G727" t="s">
        <v>120</v>
      </c>
      <c r="H727" t="s">
        <v>1407</v>
      </c>
      <c r="I727" t="s">
        <v>27</v>
      </c>
      <c r="J727" t="s">
        <v>1402</v>
      </c>
      <c r="K727" t="s">
        <v>1395</v>
      </c>
      <c r="L727" t="s">
        <v>20</v>
      </c>
    </row>
    <row r="728" spans="1:12" x14ac:dyDescent="0.35">
      <c r="A728">
        <v>198</v>
      </c>
      <c r="B728" s="9" t="s">
        <v>1409</v>
      </c>
      <c r="C728" t="s">
        <v>33</v>
      </c>
      <c r="D728" t="s">
        <v>846</v>
      </c>
      <c r="E728" t="s">
        <v>15</v>
      </c>
      <c r="F728" t="s">
        <v>35</v>
      </c>
      <c r="G728" t="s">
        <v>362</v>
      </c>
      <c r="H728" t="s">
        <v>1410</v>
      </c>
      <c r="I728" t="s">
        <v>163</v>
      </c>
      <c r="J728" t="s">
        <v>1411</v>
      </c>
      <c r="K728" t="s">
        <v>1412</v>
      </c>
      <c r="L728" t="s">
        <v>28</v>
      </c>
    </row>
    <row r="729" spans="1:12" x14ac:dyDescent="0.35">
      <c r="A729">
        <v>198</v>
      </c>
      <c r="B729" s="9" t="s">
        <v>1413</v>
      </c>
      <c r="C729" t="s">
        <v>33</v>
      </c>
      <c r="D729" t="s">
        <v>846</v>
      </c>
      <c r="E729" t="s">
        <v>15</v>
      </c>
      <c r="F729" t="s">
        <v>35</v>
      </c>
      <c r="G729" t="s">
        <v>362</v>
      </c>
      <c r="H729" t="s">
        <v>1410</v>
      </c>
      <c r="I729" t="s">
        <v>163</v>
      </c>
      <c r="J729" t="s">
        <v>1414</v>
      </c>
      <c r="K729" t="s">
        <v>1415</v>
      </c>
      <c r="L729" t="s">
        <v>28</v>
      </c>
    </row>
    <row r="730" spans="1:12" x14ac:dyDescent="0.35">
      <c r="A730">
        <v>198</v>
      </c>
      <c r="B730" s="9" t="s">
        <v>1416</v>
      </c>
      <c r="C730" t="s">
        <v>33</v>
      </c>
      <c r="D730" t="s">
        <v>1417</v>
      </c>
      <c r="E730" t="s">
        <v>15</v>
      </c>
      <c r="F730" t="s">
        <v>24</v>
      </c>
      <c r="G730" t="s">
        <v>120</v>
      </c>
      <c r="H730" t="s">
        <v>1410</v>
      </c>
      <c r="I730" t="s">
        <v>163</v>
      </c>
      <c r="J730" t="s">
        <v>1411</v>
      </c>
      <c r="K730" t="s">
        <v>1418</v>
      </c>
      <c r="L730" t="s">
        <v>28</v>
      </c>
    </row>
    <row r="731" spans="1:12" x14ac:dyDescent="0.35">
      <c r="A731">
        <v>198</v>
      </c>
      <c r="B731" s="16" t="s">
        <v>874</v>
      </c>
      <c r="C731" t="s">
        <v>22</v>
      </c>
      <c r="D731" t="s">
        <v>849</v>
      </c>
      <c r="E731" t="s">
        <v>15</v>
      </c>
      <c r="F731" t="s">
        <v>24</v>
      </c>
      <c r="G731" t="s">
        <v>120</v>
      </c>
      <c r="H731" t="s">
        <v>1410</v>
      </c>
      <c r="I731" t="s">
        <v>163</v>
      </c>
      <c r="J731" t="s">
        <v>1419</v>
      </c>
      <c r="K731" t="s">
        <v>1420</v>
      </c>
      <c r="L731" t="s">
        <v>28</v>
      </c>
    </row>
    <row r="732" spans="1:12" x14ac:dyDescent="0.35">
      <c r="A732">
        <v>198</v>
      </c>
      <c r="B732" s="17" t="s">
        <v>1421</v>
      </c>
      <c r="C732" t="s">
        <v>22</v>
      </c>
      <c r="D732" t="s">
        <v>1422</v>
      </c>
      <c r="E732" t="s">
        <v>15</v>
      </c>
      <c r="F732" t="s">
        <v>24</v>
      </c>
      <c r="G732" t="s">
        <v>120</v>
      </c>
      <c r="H732" t="s">
        <v>1410</v>
      </c>
      <c r="I732" t="s">
        <v>163</v>
      </c>
      <c r="J732" t="s">
        <v>1414</v>
      </c>
      <c r="K732" t="s">
        <v>1423</v>
      </c>
      <c r="L732" t="s">
        <v>28</v>
      </c>
    </row>
    <row r="733" spans="1:12" x14ac:dyDescent="0.35">
      <c r="A733">
        <v>198</v>
      </c>
      <c r="B733" s="18" t="s">
        <v>1424</v>
      </c>
      <c r="C733" t="s">
        <v>22</v>
      </c>
      <c r="D733" t="s">
        <v>1422</v>
      </c>
      <c r="E733" t="s">
        <v>15</v>
      </c>
      <c r="F733" t="s">
        <v>24</v>
      </c>
      <c r="G733" t="s">
        <v>120</v>
      </c>
      <c r="H733" t="s">
        <v>1410</v>
      </c>
      <c r="I733" t="s">
        <v>163</v>
      </c>
      <c r="J733" t="s">
        <v>1414</v>
      </c>
      <c r="K733" t="s">
        <v>1423</v>
      </c>
      <c r="L733" t="s">
        <v>28</v>
      </c>
    </row>
    <row r="734" spans="1:12" x14ac:dyDescent="0.35">
      <c r="A734">
        <v>199</v>
      </c>
      <c r="B734" s="23" t="s">
        <v>1425</v>
      </c>
      <c r="C734" t="s">
        <v>30</v>
      </c>
      <c r="D734" t="s">
        <v>1426</v>
      </c>
      <c r="E734" t="s">
        <v>15</v>
      </c>
      <c r="F734" t="s">
        <v>35</v>
      </c>
      <c r="G734" t="s">
        <v>120</v>
      </c>
      <c r="H734" t="s">
        <v>1427</v>
      </c>
      <c r="I734" t="s">
        <v>27</v>
      </c>
      <c r="J734" t="s">
        <v>1428</v>
      </c>
      <c r="K734" t="s">
        <v>1429</v>
      </c>
      <c r="L734" t="s">
        <v>45</v>
      </c>
    </row>
    <row r="735" spans="1:12" x14ac:dyDescent="0.35">
      <c r="A735">
        <v>199</v>
      </c>
      <c r="B735" s="23" t="s">
        <v>1430</v>
      </c>
      <c r="C735" t="s">
        <v>30</v>
      </c>
      <c r="D735" t="s">
        <v>1431</v>
      </c>
      <c r="E735" t="s">
        <v>15</v>
      </c>
      <c r="F735" t="s">
        <v>33</v>
      </c>
      <c r="G735" t="s">
        <v>120</v>
      </c>
      <c r="H735" t="s">
        <v>1427</v>
      </c>
      <c r="I735" t="s">
        <v>27</v>
      </c>
      <c r="J735" t="s">
        <v>1432</v>
      </c>
      <c r="K735" t="s">
        <v>1429</v>
      </c>
      <c r="L735" t="s">
        <v>45</v>
      </c>
    </row>
    <row r="736" spans="1:12" x14ac:dyDescent="0.35">
      <c r="A736">
        <v>199</v>
      </c>
      <c r="B736" s="23" t="s">
        <v>1433</v>
      </c>
      <c r="C736" t="s">
        <v>30</v>
      </c>
      <c r="D736" t="s">
        <v>288</v>
      </c>
      <c r="E736" t="s">
        <v>15</v>
      </c>
      <c r="F736" t="s">
        <v>35</v>
      </c>
      <c r="G736" t="s">
        <v>120</v>
      </c>
      <c r="H736" t="s">
        <v>1427</v>
      </c>
      <c r="I736" t="s">
        <v>27</v>
      </c>
      <c r="J736" t="s">
        <v>1434</v>
      </c>
      <c r="K736" t="s">
        <v>1429</v>
      </c>
      <c r="L736" t="s">
        <v>45</v>
      </c>
    </row>
    <row r="737" spans="1:12" x14ac:dyDescent="0.35">
      <c r="A737">
        <v>203</v>
      </c>
      <c r="B737" s="5" t="s">
        <v>1435</v>
      </c>
      <c r="C737" t="s">
        <v>33</v>
      </c>
      <c r="D737" t="s">
        <v>1436</v>
      </c>
      <c r="E737" t="s">
        <v>15</v>
      </c>
      <c r="F737" t="s">
        <v>33</v>
      </c>
      <c r="G737" t="s">
        <v>120</v>
      </c>
      <c r="H737" t="s">
        <v>1437</v>
      </c>
      <c r="I737" t="s">
        <v>386</v>
      </c>
      <c r="J737" t="s">
        <v>1438</v>
      </c>
      <c r="K737" t="s">
        <v>1439</v>
      </c>
      <c r="L737" t="s">
        <v>28</v>
      </c>
    </row>
    <row r="738" spans="1:12" x14ac:dyDescent="0.35">
      <c r="A738">
        <v>203</v>
      </c>
      <c r="B738" s="5" t="s">
        <v>1106</v>
      </c>
      <c r="C738" t="s">
        <v>33</v>
      </c>
      <c r="D738" t="s">
        <v>1436</v>
      </c>
      <c r="E738" t="s">
        <v>15</v>
      </c>
      <c r="F738" t="s">
        <v>33</v>
      </c>
      <c r="G738" t="s">
        <v>120</v>
      </c>
      <c r="H738" t="s">
        <v>1437</v>
      </c>
      <c r="I738" t="s">
        <v>386</v>
      </c>
      <c r="J738" t="s">
        <v>1438</v>
      </c>
      <c r="K738" t="s">
        <v>1439</v>
      </c>
      <c r="L738" t="s">
        <v>28</v>
      </c>
    </row>
    <row r="739" spans="1:12" x14ac:dyDescent="0.35">
      <c r="A739">
        <v>203</v>
      </c>
      <c r="B739" s="5" t="s">
        <v>1440</v>
      </c>
      <c r="C739" t="s">
        <v>33</v>
      </c>
      <c r="D739" t="s">
        <v>1436</v>
      </c>
      <c r="E739" t="s">
        <v>15</v>
      </c>
      <c r="F739" t="s">
        <v>33</v>
      </c>
      <c r="G739" t="s">
        <v>120</v>
      </c>
      <c r="H739" t="s">
        <v>1437</v>
      </c>
      <c r="I739" t="s">
        <v>386</v>
      </c>
      <c r="J739" t="s">
        <v>1438</v>
      </c>
      <c r="K739" t="s">
        <v>1439</v>
      </c>
      <c r="L739" t="s">
        <v>28</v>
      </c>
    </row>
    <row r="740" spans="1:12" x14ac:dyDescent="0.35">
      <c r="A740">
        <v>203</v>
      </c>
      <c r="B740" s="8" t="s">
        <v>1441</v>
      </c>
      <c r="C740" t="s">
        <v>33</v>
      </c>
      <c r="D740" t="s">
        <v>1442</v>
      </c>
      <c r="E740" t="s">
        <v>15</v>
      </c>
      <c r="F740" t="s">
        <v>33</v>
      </c>
      <c r="G740" t="s">
        <v>120</v>
      </c>
      <c r="H740" t="s">
        <v>1437</v>
      </c>
      <c r="I740" t="s">
        <v>386</v>
      </c>
      <c r="J740" t="s">
        <v>1438</v>
      </c>
      <c r="K740" t="s">
        <v>1439</v>
      </c>
      <c r="L740" t="s">
        <v>28</v>
      </c>
    </row>
    <row r="741" spans="1:12" x14ac:dyDescent="0.35">
      <c r="A741">
        <v>203</v>
      </c>
      <c r="B741" s="8" t="s">
        <v>1443</v>
      </c>
      <c r="C741" t="s">
        <v>33</v>
      </c>
      <c r="D741" t="s">
        <v>1442</v>
      </c>
      <c r="E741" t="s">
        <v>15</v>
      </c>
      <c r="F741" t="s">
        <v>33</v>
      </c>
      <c r="G741" t="s">
        <v>120</v>
      </c>
      <c r="H741" t="s">
        <v>1437</v>
      </c>
      <c r="I741" t="s">
        <v>386</v>
      </c>
      <c r="J741" t="s">
        <v>1438</v>
      </c>
      <c r="K741" t="s">
        <v>1439</v>
      </c>
      <c r="L741" t="s">
        <v>28</v>
      </c>
    </row>
    <row r="742" spans="1:12" x14ac:dyDescent="0.35">
      <c r="A742">
        <v>203</v>
      </c>
      <c r="B742" s="8" t="s">
        <v>1444</v>
      </c>
      <c r="C742" t="s">
        <v>33</v>
      </c>
      <c r="D742" t="s">
        <v>1442</v>
      </c>
      <c r="E742" t="s">
        <v>15</v>
      </c>
      <c r="F742" t="s">
        <v>33</v>
      </c>
      <c r="G742" t="s">
        <v>120</v>
      </c>
      <c r="H742" t="s">
        <v>1437</v>
      </c>
      <c r="I742" t="s">
        <v>386</v>
      </c>
      <c r="J742" t="s">
        <v>1438</v>
      </c>
      <c r="K742" t="s">
        <v>1439</v>
      </c>
      <c r="L742" t="s">
        <v>28</v>
      </c>
    </row>
    <row r="743" spans="1:12" x14ac:dyDescent="0.35">
      <c r="A743">
        <v>203</v>
      </c>
      <c r="B743" s="11" t="s">
        <v>1445</v>
      </c>
      <c r="C743" t="s">
        <v>33</v>
      </c>
      <c r="D743" t="s">
        <v>288</v>
      </c>
      <c r="E743" t="s">
        <v>15</v>
      </c>
      <c r="G743" t="s">
        <v>120</v>
      </c>
      <c r="H743" t="s">
        <v>1437</v>
      </c>
      <c r="I743" t="s">
        <v>386</v>
      </c>
      <c r="J743" t="s">
        <v>1438</v>
      </c>
      <c r="K743" t="s">
        <v>1439</v>
      </c>
      <c r="L743" t="s">
        <v>28</v>
      </c>
    </row>
    <row r="744" spans="1:12" x14ac:dyDescent="0.35">
      <c r="A744">
        <v>203</v>
      </c>
      <c r="B744" s="11" t="s">
        <v>1446</v>
      </c>
      <c r="C744" t="s">
        <v>33</v>
      </c>
      <c r="D744" t="s">
        <v>288</v>
      </c>
      <c r="E744" t="s">
        <v>15</v>
      </c>
      <c r="G744" t="s">
        <v>120</v>
      </c>
      <c r="H744" t="s">
        <v>1437</v>
      </c>
      <c r="I744" t="s">
        <v>386</v>
      </c>
      <c r="J744" t="s">
        <v>1438</v>
      </c>
      <c r="K744" t="s">
        <v>1439</v>
      </c>
      <c r="L744" t="s">
        <v>28</v>
      </c>
    </row>
    <row r="745" spans="1:12" x14ac:dyDescent="0.35">
      <c r="A745">
        <v>203</v>
      </c>
      <c r="B745" s="11" t="s">
        <v>1447</v>
      </c>
      <c r="C745" t="s">
        <v>33</v>
      </c>
      <c r="D745" t="s">
        <v>1422</v>
      </c>
      <c r="E745" t="s">
        <v>15</v>
      </c>
      <c r="G745" t="s">
        <v>120</v>
      </c>
      <c r="H745" t="s">
        <v>1437</v>
      </c>
      <c r="I745" t="s">
        <v>386</v>
      </c>
      <c r="J745" t="s">
        <v>1438</v>
      </c>
      <c r="K745" t="s">
        <v>1439</v>
      </c>
      <c r="L745" t="s">
        <v>28</v>
      </c>
    </row>
    <row r="746" spans="1:12" x14ac:dyDescent="0.35">
      <c r="A746">
        <v>203</v>
      </c>
      <c r="B746" s="2" t="s">
        <v>1448</v>
      </c>
      <c r="C746" t="s">
        <v>33</v>
      </c>
      <c r="D746" t="s">
        <v>205</v>
      </c>
      <c r="E746" t="s">
        <v>15</v>
      </c>
      <c r="F746" t="s">
        <v>33</v>
      </c>
      <c r="G746" t="s">
        <v>120</v>
      </c>
      <c r="H746" t="s">
        <v>1437</v>
      </c>
      <c r="I746" t="s">
        <v>386</v>
      </c>
      <c r="J746" t="s">
        <v>1438</v>
      </c>
      <c r="K746" t="s">
        <v>1439</v>
      </c>
      <c r="L746" t="s">
        <v>28</v>
      </c>
    </row>
    <row r="747" spans="1:12" x14ac:dyDescent="0.35">
      <c r="A747">
        <v>203</v>
      </c>
      <c r="B747" s="2" t="s">
        <v>1448</v>
      </c>
      <c r="C747" t="s">
        <v>33</v>
      </c>
      <c r="D747" t="s">
        <v>205</v>
      </c>
      <c r="E747" t="s">
        <v>15</v>
      </c>
      <c r="F747" t="s">
        <v>33</v>
      </c>
      <c r="G747" t="s">
        <v>120</v>
      </c>
      <c r="H747" t="s">
        <v>1437</v>
      </c>
      <c r="I747" t="s">
        <v>386</v>
      </c>
      <c r="J747" t="s">
        <v>1438</v>
      </c>
      <c r="K747" t="s">
        <v>1439</v>
      </c>
      <c r="L747" t="s">
        <v>28</v>
      </c>
    </row>
    <row r="748" spans="1:12" x14ac:dyDescent="0.35">
      <c r="A748">
        <v>203</v>
      </c>
      <c r="B748" s="2" t="s">
        <v>1449</v>
      </c>
      <c r="C748" t="s">
        <v>33</v>
      </c>
      <c r="D748" t="s">
        <v>205</v>
      </c>
      <c r="E748" t="s">
        <v>15</v>
      </c>
      <c r="F748" t="s">
        <v>33</v>
      </c>
      <c r="G748" t="s">
        <v>120</v>
      </c>
      <c r="H748" t="s">
        <v>1437</v>
      </c>
      <c r="I748" t="s">
        <v>386</v>
      </c>
      <c r="J748" t="s">
        <v>1438</v>
      </c>
      <c r="K748" t="s">
        <v>1450</v>
      </c>
      <c r="L748" t="s">
        <v>28</v>
      </c>
    </row>
    <row r="749" spans="1:12" x14ac:dyDescent="0.35">
      <c r="A749">
        <v>203</v>
      </c>
      <c r="B749" s="23" t="s">
        <v>1451</v>
      </c>
      <c r="C749" t="s">
        <v>30</v>
      </c>
      <c r="D749" t="s">
        <v>1452</v>
      </c>
      <c r="E749" t="s">
        <v>15</v>
      </c>
      <c r="G749" t="s">
        <v>120</v>
      </c>
      <c r="H749" t="s">
        <v>1437</v>
      </c>
      <c r="I749" t="s">
        <v>386</v>
      </c>
      <c r="J749" t="s">
        <v>1438</v>
      </c>
      <c r="K749" t="s">
        <v>1453</v>
      </c>
      <c r="L749" t="s">
        <v>28</v>
      </c>
    </row>
    <row r="750" spans="1:12" x14ac:dyDescent="0.35">
      <c r="A750">
        <v>203</v>
      </c>
      <c r="B750" s="23" t="s">
        <v>1454</v>
      </c>
      <c r="C750" t="s">
        <v>30</v>
      </c>
      <c r="D750" t="s">
        <v>1452</v>
      </c>
      <c r="E750" t="s">
        <v>15</v>
      </c>
      <c r="G750" t="s">
        <v>120</v>
      </c>
      <c r="H750" t="s">
        <v>1437</v>
      </c>
      <c r="I750" t="s">
        <v>386</v>
      </c>
      <c r="J750" t="s">
        <v>1438</v>
      </c>
      <c r="K750" t="s">
        <v>1453</v>
      </c>
      <c r="L750" t="s">
        <v>28</v>
      </c>
    </row>
    <row r="751" spans="1:12" x14ac:dyDescent="0.35">
      <c r="A751">
        <v>221</v>
      </c>
      <c r="B751" s="9" t="s">
        <v>1103</v>
      </c>
      <c r="C751" t="s">
        <v>33</v>
      </c>
      <c r="D751" t="s">
        <v>34</v>
      </c>
      <c r="E751" t="s">
        <v>15</v>
      </c>
      <c r="F751" t="s">
        <v>33</v>
      </c>
      <c r="G751" t="s">
        <v>120</v>
      </c>
      <c r="H751" t="s">
        <v>1455</v>
      </c>
      <c r="I751" t="s">
        <v>27</v>
      </c>
      <c r="J751" t="s">
        <v>1456</v>
      </c>
      <c r="K751" t="s">
        <v>1457</v>
      </c>
      <c r="L751" t="s">
        <v>28</v>
      </c>
    </row>
    <row r="752" spans="1:12" x14ac:dyDescent="0.35">
      <c r="A752">
        <v>225</v>
      </c>
      <c r="B752" s="9" t="s">
        <v>998</v>
      </c>
      <c r="C752" t="s">
        <v>33</v>
      </c>
      <c r="D752" t="s">
        <v>34</v>
      </c>
      <c r="E752" t="s">
        <v>15</v>
      </c>
      <c r="F752" t="s">
        <v>35</v>
      </c>
      <c r="G752" t="s">
        <v>120</v>
      </c>
      <c r="H752" t="s">
        <v>1458</v>
      </c>
      <c r="I752" t="s">
        <v>27</v>
      </c>
      <c r="J752" t="s">
        <v>1459</v>
      </c>
      <c r="K752" t="s">
        <v>1460</v>
      </c>
      <c r="L752" t="s">
        <v>94</v>
      </c>
    </row>
    <row r="753" spans="1:12" x14ac:dyDescent="0.35">
      <c r="A753">
        <v>244</v>
      </c>
      <c r="B753" s="24" t="s">
        <v>1461</v>
      </c>
      <c r="C753" t="s">
        <v>13</v>
      </c>
      <c r="D753" t="s">
        <v>1389</v>
      </c>
      <c r="E753" t="s">
        <v>15</v>
      </c>
      <c r="F753" t="s">
        <v>13</v>
      </c>
      <c r="G753" t="s">
        <v>857</v>
      </c>
      <c r="H753" t="s">
        <v>206</v>
      </c>
      <c r="I753" t="s">
        <v>27</v>
      </c>
      <c r="J753" t="s">
        <v>1462</v>
      </c>
      <c r="K753" t="s">
        <v>1463</v>
      </c>
      <c r="L753" t="s">
        <v>133</v>
      </c>
    </row>
    <row r="754" spans="1:12" x14ac:dyDescent="0.35">
      <c r="A754">
        <v>244</v>
      </c>
      <c r="B754" t="s">
        <v>1464</v>
      </c>
      <c r="C754" t="s">
        <v>13</v>
      </c>
      <c r="D754" t="s">
        <v>1465</v>
      </c>
      <c r="E754" t="s">
        <v>15</v>
      </c>
      <c r="F754" t="s">
        <v>13</v>
      </c>
      <c r="G754" t="s">
        <v>857</v>
      </c>
      <c r="H754" t="s">
        <v>206</v>
      </c>
      <c r="I754" t="s">
        <v>27</v>
      </c>
      <c r="J754" t="s">
        <v>1466</v>
      </c>
      <c r="K754" t="s">
        <v>1463</v>
      </c>
      <c r="L754" t="s">
        <v>133</v>
      </c>
    </row>
    <row r="755" spans="1:12" x14ac:dyDescent="0.35">
      <c r="A755">
        <v>244</v>
      </c>
      <c r="B755" t="s">
        <v>1467</v>
      </c>
      <c r="C755" t="s">
        <v>13</v>
      </c>
      <c r="D755" t="s">
        <v>1389</v>
      </c>
      <c r="E755" t="s">
        <v>15</v>
      </c>
      <c r="F755" t="s">
        <v>13</v>
      </c>
      <c r="G755" t="s">
        <v>857</v>
      </c>
      <c r="H755" t="s">
        <v>206</v>
      </c>
      <c r="I755" t="s">
        <v>27</v>
      </c>
      <c r="J755" t="s">
        <v>1466</v>
      </c>
      <c r="K755" t="s">
        <v>1463</v>
      </c>
      <c r="L755" t="s">
        <v>133</v>
      </c>
    </row>
    <row r="756" spans="1:12" x14ac:dyDescent="0.35">
      <c r="A756">
        <v>244</v>
      </c>
      <c r="B756" s="24" t="s">
        <v>1468</v>
      </c>
      <c r="C756" t="s">
        <v>13</v>
      </c>
      <c r="D756" t="s">
        <v>1389</v>
      </c>
      <c r="E756" t="s">
        <v>15</v>
      </c>
      <c r="F756" t="s">
        <v>13</v>
      </c>
      <c r="G756" t="s">
        <v>857</v>
      </c>
      <c r="H756" t="s">
        <v>1469</v>
      </c>
      <c r="I756" t="s">
        <v>27</v>
      </c>
      <c r="J756" t="s">
        <v>1470</v>
      </c>
      <c r="K756" t="s">
        <v>1463</v>
      </c>
      <c r="L756" t="s">
        <v>133</v>
      </c>
    </row>
    <row r="757" spans="1:12" x14ac:dyDescent="0.35">
      <c r="A757">
        <v>264</v>
      </c>
      <c r="B757" s="16" t="s">
        <v>874</v>
      </c>
      <c r="C757" t="s">
        <v>22</v>
      </c>
      <c r="D757" t="s">
        <v>1471</v>
      </c>
      <c r="E757" t="s">
        <v>15</v>
      </c>
      <c r="F757" t="s">
        <v>22</v>
      </c>
      <c r="G757" t="s">
        <v>120</v>
      </c>
      <c r="H757" t="s">
        <v>470</v>
      </c>
      <c r="I757" t="s">
        <v>266</v>
      </c>
      <c r="J757" t="s">
        <v>1472</v>
      </c>
      <c r="K757" t="s">
        <v>1473</v>
      </c>
      <c r="L757" t="s">
        <v>133</v>
      </c>
    </row>
    <row r="758" spans="1:12" x14ac:dyDescent="0.35">
      <c r="A758">
        <v>264</v>
      </c>
      <c r="B758" s="9" t="s">
        <v>1474</v>
      </c>
      <c r="C758" t="s">
        <v>33</v>
      </c>
      <c r="D758" t="s">
        <v>34</v>
      </c>
      <c r="E758" t="s">
        <v>15</v>
      </c>
      <c r="F758" t="s">
        <v>33</v>
      </c>
      <c r="G758" t="s">
        <v>120</v>
      </c>
      <c r="H758" t="s">
        <v>470</v>
      </c>
      <c r="I758" t="s">
        <v>266</v>
      </c>
      <c r="J758" t="s">
        <v>1472</v>
      </c>
      <c r="K758" t="s">
        <v>1473</v>
      </c>
      <c r="L758" t="s">
        <v>133</v>
      </c>
    </row>
    <row r="759" spans="1:12" x14ac:dyDescent="0.35">
      <c r="A759">
        <v>264</v>
      </c>
      <c r="B759" t="s">
        <v>1475</v>
      </c>
      <c r="C759" t="s">
        <v>22</v>
      </c>
      <c r="D759" t="s">
        <v>1422</v>
      </c>
      <c r="E759" t="s">
        <v>15</v>
      </c>
      <c r="F759" t="s">
        <v>22</v>
      </c>
      <c r="G759" t="s">
        <v>120</v>
      </c>
      <c r="H759" t="s">
        <v>470</v>
      </c>
      <c r="I759" t="s">
        <v>266</v>
      </c>
      <c r="J759" t="s">
        <v>1472</v>
      </c>
      <c r="K759" t="s">
        <v>1473</v>
      </c>
      <c r="L759" t="s">
        <v>133</v>
      </c>
    </row>
    <row r="760" spans="1:12" x14ac:dyDescent="0.35">
      <c r="A760">
        <v>264</v>
      </c>
      <c r="B760" s="20" t="s">
        <v>1476</v>
      </c>
      <c r="C760" t="s">
        <v>22</v>
      </c>
      <c r="D760" t="s">
        <v>1422</v>
      </c>
      <c r="E760" t="s">
        <v>15</v>
      </c>
      <c r="F760" t="s">
        <v>22</v>
      </c>
      <c r="G760" t="s">
        <v>120</v>
      </c>
      <c r="H760" t="s">
        <v>470</v>
      </c>
      <c r="I760" t="s">
        <v>266</v>
      </c>
      <c r="J760" t="s">
        <v>1472</v>
      </c>
      <c r="K760" t="s">
        <v>1473</v>
      </c>
      <c r="L760" t="s">
        <v>133</v>
      </c>
    </row>
    <row r="761" spans="1:12" x14ac:dyDescent="0.35">
      <c r="A761">
        <v>264</v>
      </c>
      <c r="B761" s="15" t="s">
        <v>1477</v>
      </c>
      <c r="C761" t="s">
        <v>49</v>
      </c>
      <c r="D761" t="s">
        <v>1422</v>
      </c>
      <c r="E761" t="s">
        <v>15</v>
      </c>
      <c r="F761" t="s">
        <v>24</v>
      </c>
      <c r="G761" t="s">
        <v>120</v>
      </c>
      <c r="H761" t="s">
        <v>470</v>
      </c>
      <c r="I761" t="s">
        <v>266</v>
      </c>
      <c r="J761" t="s">
        <v>1472</v>
      </c>
      <c r="K761" t="s">
        <v>1473</v>
      </c>
      <c r="L761" t="s">
        <v>133</v>
      </c>
    </row>
    <row r="762" spans="1:12" x14ac:dyDescent="0.35">
      <c r="A762">
        <v>264</v>
      </c>
      <c r="B762" s="42" t="s">
        <v>1478</v>
      </c>
      <c r="C762" t="s">
        <v>13</v>
      </c>
      <c r="D762" t="s">
        <v>34</v>
      </c>
      <c r="E762" t="s">
        <v>15</v>
      </c>
      <c r="F762" t="s">
        <v>24</v>
      </c>
      <c r="G762" t="s">
        <v>120</v>
      </c>
      <c r="H762" t="s">
        <v>470</v>
      </c>
      <c r="I762" t="s">
        <v>266</v>
      </c>
      <c r="J762" t="s">
        <v>1472</v>
      </c>
      <c r="K762" t="s">
        <v>1473</v>
      </c>
      <c r="L762" t="s">
        <v>133</v>
      </c>
    </row>
    <row r="763" spans="1:12" x14ac:dyDescent="0.35">
      <c r="A763">
        <v>264</v>
      </c>
      <c r="B763" t="s">
        <v>1479</v>
      </c>
      <c r="C763" t="s">
        <v>33</v>
      </c>
      <c r="D763" t="s">
        <v>1480</v>
      </c>
      <c r="E763" t="s">
        <v>15</v>
      </c>
      <c r="F763" t="s">
        <v>33</v>
      </c>
      <c r="G763" t="s">
        <v>120</v>
      </c>
      <c r="H763" t="s">
        <v>470</v>
      </c>
      <c r="I763" t="s">
        <v>266</v>
      </c>
      <c r="J763" t="s">
        <v>1472</v>
      </c>
      <c r="K763" t="s">
        <v>1473</v>
      </c>
      <c r="L763" t="s">
        <v>133</v>
      </c>
    </row>
    <row r="764" spans="1:12" x14ac:dyDescent="0.35">
      <c r="A764">
        <v>264</v>
      </c>
      <c r="B764" t="s">
        <v>1481</v>
      </c>
      <c r="C764" t="s">
        <v>13</v>
      </c>
      <c r="D764" t="s">
        <v>34</v>
      </c>
      <c r="E764" t="s">
        <v>15</v>
      </c>
      <c r="G764" t="s">
        <v>120</v>
      </c>
      <c r="H764" t="s">
        <v>470</v>
      </c>
      <c r="I764" t="s">
        <v>266</v>
      </c>
      <c r="J764" t="s">
        <v>1482</v>
      </c>
      <c r="K764" t="s">
        <v>1473</v>
      </c>
      <c r="L764" t="s">
        <v>133</v>
      </c>
    </row>
    <row r="765" spans="1:12" x14ac:dyDescent="0.35">
      <c r="A765">
        <v>264</v>
      </c>
      <c r="B765" s="15" t="s">
        <v>1483</v>
      </c>
      <c r="C765" t="s">
        <v>30</v>
      </c>
      <c r="D765" t="s">
        <v>1484</v>
      </c>
      <c r="E765" t="s">
        <v>15</v>
      </c>
      <c r="G765" t="s">
        <v>120</v>
      </c>
      <c r="H765" t="s">
        <v>470</v>
      </c>
      <c r="I765" t="s">
        <v>266</v>
      </c>
      <c r="J765" t="s">
        <v>1482</v>
      </c>
      <c r="K765" t="s">
        <v>1485</v>
      </c>
      <c r="L765" t="s">
        <v>133</v>
      </c>
    </row>
    <row r="766" spans="1:12" x14ac:dyDescent="0.35">
      <c r="A766">
        <v>267</v>
      </c>
      <c r="B766" s="4" t="s">
        <v>1486</v>
      </c>
      <c r="C766" t="s">
        <v>30</v>
      </c>
      <c r="D766" t="s">
        <v>34</v>
      </c>
      <c r="E766" t="s">
        <v>15</v>
      </c>
      <c r="G766" t="s">
        <v>1375</v>
      </c>
      <c r="H766" t="s">
        <v>318</v>
      </c>
      <c r="I766" t="s">
        <v>266</v>
      </c>
      <c r="J766" t="s">
        <v>1487</v>
      </c>
      <c r="K766" t="s">
        <v>1488</v>
      </c>
      <c r="L766" t="s">
        <v>28</v>
      </c>
    </row>
    <row r="767" spans="1:12" x14ac:dyDescent="0.35">
      <c r="A767">
        <v>267</v>
      </c>
      <c r="B767" s="7" t="s">
        <v>1489</v>
      </c>
      <c r="C767" t="s">
        <v>30</v>
      </c>
      <c r="D767" t="s">
        <v>1490</v>
      </c>
      <c r="E767" t="s">
        <v>15</v>
      </c>
      <c r="F767" t="s">
        <v>35</v>
      </c>
      <c r="G767" t="s">
        <v>1375</v>
      </c>
      <c r="H767" t="s">
        <v>318</v>
      </c>
      <c r="I767" t="s">
        <v>266</v>
      </c>
      <c r="J767" t="s">
        <v>1491</v>
      </c>
      <c r="K767" t="s">
        <v>1488</v>
      </c>
      <c r="L767" t="s">
        <v>28</v>
      </c>
    </row>
    <row r="768" spans="1:12" x14ac:dyDescent="0.35">
      <c r="A768">
        <v>267</v>
      </c>
      <c r="B768" s="7" t="s">
        <v>1492</v>
      </c>
      <c r="C768" t="s">
        <v>30</v>
      </c>
      <c r="D768" t="s">
        <v>34</v>
      </c>
      <c r="E768" t="s">
        <v>15</v>
      </c>
      <c r="F768" t="s">
        <v>35</v>
      </c>
      <c r="G768" t="s">
        <v>1375</v>
      </c>
      <c r="H768" t="s">
        <v>318</v>
      </c>
      <c r="I768" t="s">
        <v>266</v>
      </c>
      <c r="J768" t="s">
        <v>1493</v>
      </c>
      <c r="K768" t="s">
        <v>1488</v>
      </c>
      <c r="L768" t="s">
        <v>28</v>
      </c>
    </row>
    <row r="769" spans="1:12" x14ac:dyDescent="0.35">
      <c r="A769">
        <v>269</v>
      </c>
      <c r="B769" s="2" t="s">
        <v>1494</v>
      </c>
      <c r="C769" t="s">
        <v>33</v>
      </c>
      <c r="D769" t="s">
        <v>38</v>
      </c>
      <c r="E769" t="s">
        <v>15</v>
      </c>
      <c r="F769" t="s">
        <v>33</v>
      </c>
      <c r="G769" t="s">
        <v>1375</v>
      </c>
      <c r="H769" t="s">
        <v>1495</v>
      </c>
      <c r="I769" t="s">
        <v>27</v>
      </c>
      <c r="J769" t="s">
        <v>1496</v>
      </c>
      <c r="K769" t="s">
        <v>1497</v>
      </c>
      <c r="L769" t="s">
        <v>45</v>
      </c>
    </row>
    <row r="770" spans="1:12" x14ac:dyDescent="0.35">
      <c r="A770">
        <v>269</v>
      </c>
      <c r="B770" s="4" t="s">
        <v>1498</v>
      </c>
      <c r="C770" t="s">
        <v>33</v>
      </c>
      <c r="D770" t="s">
        <v>38</v>
      </c>
      <c r="E770" t="s">
        <v>15</v>
      </c>
      <c r="F770" t="s">
        <v>33</v>
      </c>
      <c r="G770" t="s">
        <v>1375</v>
      </c>
      <c r="H770" t="s">
        <v>1495</v>
      </c>
      <c r="I770" t="s">
        <v>27</v>
      </c>
      <c r="J770" t="s">
        <v>1499</v>
      </c>
      <c r="K770" t="s">
        <v>1497</v>
      </c>
      <c r="L770" t="s">
        <v>45</v>
      </c>
    </row>
    <row r="771" spans="1:12" x14ac:dyDescent="0.35">
      <c r="A771">
        <v>298</v>
      </c>
      <c r="B771" s="5" t="s">
        <v>587</v>
      </c>
      <c r="C771" t="s">
        <v>33</v>
      </c>
      <c r="D771" t="s">
        <v>1500</v>
      </c>
      <c r="E771" t="s">
        <v>15</v>
      </c>
      <c r="F771" t="s">
        <v>33</v>
      </c>
      <c r="G771" t="s">
        <v>120</v>
      </c>
      <c r="H771" t="s">
        <v>271</v>
      </c>
      <c r="I771" t="s">
        <v>163</v>
      </c>
      <c r="J771" t="s">
        <v>1501</v>
      </c>
      <c r="K771" t="s">
        <v>1502</v>
      </c>
      <c r="L771" t="s">
        <v>94</v>
      </c>
    </row>
    <row r="772" spans="1:12" x14ac:dyDescent="0.35">
      <c r="A772">
        <v>320</v>
      </c>
      <c r="B772" s="8" t="s">
        <v>1503</v>
      </c>
      <c r="C772" t="s">
        <v>33</v>
      </c>
      <c r="D772" t="s">
        <v>899</v>
      </c>
      <c r="E772" t="s">
        <v>15</v>
      </c>
      <c r="F772" t="s">
        <v>33</v>
      </c>
      <c r="G772" t="s">
        <v>1375</v>
      </c>
      <c r="H772" t="s">
        <v>365</v>
      </c>
      <c r="I772" t="s">
        <v>1504</v>
      </c>
      <c r="J772" t="s">
        <v>1505</v>
      </c>
      <c r="L772" t="s">
        <v>28</v>
      </c>
    </row>
    <row r="773" spans="1:12" x14ac:dyDescent="0.35">
      <c r="A773">
        <v>320</v>
      </c>
      <c r="B773" s="8" t="s">
        <v>411</v>
      </c>
      <c r="C773" t="s">
        <v>33</v>
      </c>
      <c r="D773" t="s">
        <v>899</v>
      </c>
      <c r="E773" t="s">
        <v>15</v>
      </c>
      <c r="F773" t="s">
        <v>33</v>
      </c>
      <c r="G773" t="s">
        <v>1375</v>
      </c>
      <c r="H773" t="s">
        <v>373</v>
      </c>
      <c r="I773" t="s">
        <v>1504</v>
      </c>
      <c r="J773" t="s">
        <v>1506</v>
      </c>
      <c r="K773" t="s">
        <v>1507</v>
      </c>
      <c r="L773" t="s">
        <v>28</v>
      </c>
    </row>
    <row r="774" spans="1:12" x14ac:dyDescent="0.35">
      <c r="A774">
        <v>324</v>
      </c>
      <c r="B774" s="23" t="s">
        <v>1508</v>
      </c>
      <c r="C774" t="s">
        <v>30</v>
      </c>
      <c r="D774" t="s">
        <v>1490</v>
      </c>
      <c r="E774" t="s">
        <v>15</v>
      </c>
      <c r="G774" t="s">
        <v>120</v>
      </c>
      <c r="H774" t="s">
        <v>917</v>
      </c>
      <c r="J774" t="s">
        <v>1509</v>
      </c>
      <c r="K774" t="s">
        <v>1510</v>
      </c>
      <c r="L774" t="s">
        <v>28</v>
      </c>
    </row>
    <row r="775" spans="1:12" x14ac:dyDescent="0.35">
      <c r="A775">
        <v>324</v>
      </c>
      <c r="B775" s="23" t="s">
        <v>1511</v>
      </c>
      <c r="C775" t="s">
        <v>30</v>
      </c>
      <c r="D775" t="s">
        <v>1490</v>
      </c>
      <c r="E775" t="s">
        <v>15</v>
      </c>
      <c r="G775" t="s">
        <v>120</v>
      </c>
      <c r="H775" t="s">
        <v>917</v>
      </c>
      <c r="I775" t="s">
        <v>1512</v>
      </c>
      <c r="J775" t="s">
        <v>1509</v>
      </c>
      <c r="K775" t="s">
        <v>1510</v>
      </c>
      <c r="L775" t="s">
        <v>28</v>
      </c>
    </row>
    <row r="776" spans="1:12" x14ac:dyDescent="0.35">
      <c r="A776">
        <v>324</v>
      </c>
      <c r="B776" s="23" t="s">
        <v>1513</v>
      </c>
      <c r="C776" t="s">
        <v>30</v>
      </c>
      <c r="D776" t="s">
        <v>38</v>
      </c>
      <c r="E776" t="s">
        <v>15</v>
      </c>
      <c r="G776" t="s">
        <v>120</v>
      </c>
      <c r="H776" t="s">
        <v>917</v>
      </c>
      <c r="I776" t="s">
        <v>1512</v>
      </c>
      <c r="J776" t="s">
        <v>1509</v>
      </c>
      <c r="K776" t="s">
        <v>1510</v>
      </c>
      <c r="L776" t="s">
        <v>28</v>
      </c>
    </row>
    <row r="777" spans="1:12" x14ac:dyDescent="0.35">
      <c r="A777">
        <v>324</v>
      </c>
      <c r="B777" s="23" t="s">
        <v>1514</v>
      </c>
      <c r="C777" t="s">
        <v>30</v>
      </c>
      <c r="D777" t="s">
        <v>38</v>
      </c>
      <c r="E777" t="s">
        <v>15</v>
      </c>
      <c r="G777" t="s">
        <v>120</v>
      </c>
      <c r="H777" t="s">
        <v>917</v>
      </c>
      <c r="I777" t="s">
        <v>1512</v>
      </c>
      <c r="J777" t="s">
        <v>1509</v>
      </c>
      <c r="K777" t="s">
        <v>1510</v>
      </c>
      <c r="L777" t="s">
        <v>28</v>
      </c>
    </row>
    <row r="778" spans="1:12" x14ac:dyDescent="0.35">
      <c r="A778">
        <v>324</v>
      </c>
      <c r="B778" s="23" t="s">
        <v>1515</v>
      </c>
      <c r="C778" t="s">
        <v>30</v>
      </c>
      <c r="D778" t="s">
        <v>38</v>
      </c>
      <c r="E778" t="s">
        <v>15</v>
      </c>
      <c r="G778" t="s">
        <v>120</v>
      </c>
      <c r="H778" t="s">
        <v>917</v>
      </c>
      <c r="I778" t="s">
        <v>1512</v>
      </c>
      <c r="J778" t="s">
        <v>1509</v>
      </c>
      <c r="K778" t="s">
        <v>1510</v>
      </c>
      <c r="L778" t="s">
        <v>28</v>
      </c>
    </row>
    <row r="779" spans="1:12" x14ac:dyDescent="0.35">
      <c r="A779">
        <v>324</v>
      </c>
      <c r="B779" s="23" t="s">
        <v>1516</v>
      </c>
      <c r="C779" t="s">
        <v>30</v>
      </c>
      <c r="D779" t="s">
        <v>34</v>
      </c>
      <c r="E779" t="s">
        <v>15</v>
      </c>
      <c r="G779" t="s">
        <v>120</v>
      </c>
      <c r="H779" t="s">
        <v>917</v>
      </c>
      <c r="I779" t="s">
        <v>1512</v>
      </c>
      <c r="J779" t="s">
        <v>1509</v>
      </c>
      <c r="K779" t="s">
        <v>1510</v>
      </c>
      <c r="L779" t="s">
        <v>28</v>
      </c>
    </row>
    <row r="780" spans="1:12" x14ac:dyDescent="0.35">
      <c r="A780">
        <v>324</v>
      </c>
      <c r="B780" s="9" t="s">
        <v>1517</v>
      </c>
      <c r="C780" t="s">
        <v>33</v>
      </c>
      <c r="D780" t="s">
        <v>34</v>
      </c>
      <c r="E780" t="s">
        <v>15</v>
      </c>
      <c r="G780" t="s">
        <v>120</v>
      </c>
      <c r="H780" t="s">
        <v>917</v>
      </c>
      <c r="I780" t="s">
        <v>1512</v>
      </c>
      <c r="J780" t="s">
        <v>1509</v>
      </c>
      <c r="K780" t="s">
        <v>1510</v>
      </c>
      <c r="L780" t="s">
        <v>28</v>
      </c>
    </row>
    <row r="781" spans="1:12" x14ac:dyDescent="0.35">
      <c r="A781">
        <v>324</v>
      </c>
      <c r="B781" s="2" t="s">
        <v>1518</v>
      </c>
      <c r="C781" t="s">
        <v>33</v>
      </c>
      <c r="D781" t="s">
        <v>38</v>
      </c>
      <c r="E781" t="s">
        <v>15</v>
      </c>
      <c r="G781" t="s">
        <v>120</v>
      </c>
      <c r="H781" t="s">
        <v>917</v>
      </c>
      <c r="I781" t="s">
        <v>1512</v>
      </c>
      <c r="J781" t="s">
        <v>1509</v>
      </c>
      <c r="K781" t="s">
        <v>1510</v>
      </c>
      <c r="L781" t="s">
        <v>28</v>
      </c>
    </row>
    <row r="782" spans="1:12" x14ac:dyDescent="0.35">
      <c r="A782">
        <v>324</v>
      </c>
      <c r="B782" s="16" t="s">
        <v>1519</v>
      </c>
      <c r="C782" t="s">
        <v>22</v>
      </c>
      <c r="D782" t="s">
        <v>1490</v>
      </c>
      <c r="E782" t="s">
        <v>15</v>
      </c>
      <c r="G782" t="s">
        <v>120</v>
      </c>
      <c r="H782" t="s">
        <v>917</v>
      </c>
      <c r="I782" t="s">
        <v>1512</v>
      </c>
      <c r="J782" t="s">
        <v>1509</v>
      </c>
      <c r="K782" t="s">
        <v>1510</v>
      </c>
      <c r="L782" t="s">
        <v>28</v>
      </c>
    </row>
    <row r="783" spans="1:12" x14ac:dyDescent="0.35">
      <c r="A783">
        <v>324</v>
      </c>
      <c r="B783" s="9" t="s">
        <v>1520</v>
      </c>
      <c r="C783" t="s">
        <v>33</v>
      </c>
      <c r="D783" t="s">
        <v>34</v>
      </c>
      <c r="E783" t="s">
        <v>15</v>
      </c>
      <c r="G783" t="s">
        <v>120</v>
      </c>
      <c r="H783" t="s">
        <v>917</v>
      </c>
      <c r="I783" t="s">
        <v>1512</v>
      </c>
      <c r="J783" t="s">
        <v>1509</v>
      </c>
      <c r="K783" t="s">
        <v>1510</v>
      </c>
      <c r="L783" t="s">
        <v>28</v>
      </c>
    </row>
    <row r="784" spans="1:12" x14ac:dyDescent="0.35">
      <c r="A784">
        <v>324</v>
      </c>
      <c r="B784" s="16" t="s">
        <v>1521</v>
      </c>
      <c r="C784" t="s">
        <v>22</v>
      </c>
      <c r="D784" t="s">
        <v>1490</v>
      </c>
      <c r="E784" t="s">
        <v>15</v>
      </c>
      <c r="G784" t="s">
        <v>120</v>
      </c>
      <c r="H784" t="s">
        <v>917</v>
      </c>
      <c r="I784" t="s">
        <v>1512</v>
      </c>
      <c r="J784" t="s">
        <v>1509</v>
      </c>
      <c r="K784" t="s">
        <v>1510</v>
      </c>
      <c r="L784" t="s">
        <v>28</v>
      </c>
    </row>
    <row r="785" spans="1:12" x14ac:dyDescent="0.35">
      <c r="A785">
        <v>335</v>
      </c>
      <c r="B785" s="15" t="s">
        <v>1522</v>
      </c>
      <c r="C785" t="s">
        <v>49</v>
      </c>
      <c r="D785" t="s">
        <v>1523</v>
      </c>
      <c r="E785" t="s">
        <v>15</v>
      </c>
      <c r="F785" t="s">
        <v>35</v>
      </c>
      <c r="G785" t="s">
        <v>671</v>
      </c>
      <c r="H785" t="s">
        <v>1524</v>
      </c>
      <c r="J785" t="s">
        <v>1525</v>
      </c>
      <c r="K785" t="s">
        <v>1526</v>
      </c>
      <c r="L785" t="s">
        <v>28</v>
      </c>
    </row>
    <row r="786" spans="1:12" x14ac:dyDescent="0.35">
      <c r="A786">
        <v>344</v>
      </c>
      <c r="B786" s="23" t="s">
        <v>1527</v>
      </c>
      <c r="C786" t="s">
        <v>30</v>
      </c>
      <c r="D786" t="s">
        <v>157</v>
      </c>
      <c r="E786" t="s">
        <v>15</v>
      </c>
      <c r="G786" t="s">
        <v>1528</v>
      </c>
      <c r="H786" t="s">
        <v>1177</v>
      </c>
      <c r="I786" t="s">
        <v>386</v>
      </c>
      <c r="J786" t="s">
        <v>1529</v>
      </c>
      <c r="L786" t="s">
        <v>28</v>
      </c>
    </row>
    <row r="787" spans="1:12" x14ac:dyDescent="0.35">
      <c r="A787">
        <v>351</v>
      </c>
      <c r="B787" s="2" t="s">
        <v>144</v>
      </c>
      <c r="C787" t="s">
        <v>33</v>
      </c>
      <c r="D787" t="s">
        <v>205</v>
      </c>
      <c r="E787" t="s">
        <v>15</v>
      </c>
      <c r="F787" t="s">
        <v>35</v>
      </c>
      <c r="G787" t="s">
        <v>362</v>
      </c>
      <c r="H787" t="s">
        <v>27</v>
      </c>
      <c r="I787" t="s">
        <v>27</v>
      </c>
      <c r="J787" t="s">
        <v>1530</v>
      </c>
      <c r="L787" t="s">
        <v>28</v>
      </c>
    </row>
    <row r="788" spans="1:12" x14ac:dyDescent="0.35">
      <c r="A788">
        <v>351</v>
      </c>
      <c r="B788" s="8" t="s">
        <v>411</v>
      </c>
      <c r="C788" t="s">
        <v>33</v>
      </c>
      <c r="D788" t="s">
        <v>899</v>
      </c>
      <c r="E788" t="s">
        <v>15</v>
      </c>
      <c r="F788" t="s">
        <v>35</v>
      </c>
      <c r="G788" t="s">
        <v>362</v>
      </c>
      <c r="H788" t="s">
        <v>27</v>
      </c>
      <c r="I788" t="s">
        <v>27</v>
      </c>
      <c r="J788" t="s">
        <v>1530</v>
      </c>
      <c r="L788" t="s">
        <v>28</v>
      </c>
    </row>
    <row r="789" spans="1:12" x14ac:dyDescent="0.35">
      <c r="A789">
        <v>351</v>
      </c>
      <c r="B789" s="4" t="s">
        <v>1531</v>
      </c>
      <c r="C789" t="s">
        <v>33</v>
      </c>
      <c r="D789" t="s">
        <v>1532</v>
      </c>
      <c r="E789" t="s">
        <v>15</v>
      </c>
      <c r="F789" t="s">
        <v>35</v>
      </c>
      <c r="G789" t="s">
        <v>362</v>
      </c>
      <c r="H789" t="s">
        <v>27</v>
      </c>
      <c r="I789" t="s">
        <v>27</v>
      </c>
      <c r="J789" t="s">
        <v>1530</v>
      </c>
      <c r="L789" t="s">
        <v>28</v>
      </c>
    </row>
    <row r="790" spans="1:12" x14ac:dyDescent="0.35">
      <c r="A790">
        <v>351</v>
      </c>
      <c r="B790" t="s">
        <v>1533</v>
      </c>
      <c r="C790" t="s">
        <v>33</v>
      </c>
      <c r="D790" t="s">
        <v>34</v>
      </c>
      <c r="E790" t="s">
        <v>15</v>
      </c>
      <c r="F790" t="s">
        <v>35</v>
      </c>
      <c r="G790" t="s">
        <v>362</v>
      </c>
      <c r="H790" t="s">
        <v>27</v>
      </c>
      <c r="I790" t="s">
        <v>27</v>
      </c>
      <c r="J790" t="s">
        <v>1530</v>
      </c>
      <c r="L790" t="s">
        <v>28</v>
      </c>
    </row>
    <row r="791" spans="1:12" x14ac:dyDescent="0.35">
      <c r="A791">
        <v>422</v>
      </c>
      <c r="B791" t="s">
        <v>1534</v>
      </c>
      <c r="C791" t="s">
        <v>13</v>
      </c>
      <c r="D791" t="s">
        <v>34</v>
      </c>
      <c r="E791" t="s">
        <v>15</v>
      </c>
      <c r="F791" t="s">
        <v>13</v>
      </c>
      <c r="G791" t="s">
        <v>981</v>
      </c>
      <c r="H791" t="s">
        <v>1535</v>
      </c>
      <c r="I791" t="s">
        <v>386</v>
      </c>
      <c r="J791" t="s">
        <v>1536</v>
      </c>
      <c r="L791" t="s">
        <v>28</v>
      </c>
    </row>
    <row r="792" spans="1:12" x14ac:dyDescent="0.35">
      <c r="A792">
        <v>422</v>
      </c>
      <c r="B792" s="41" t="s">
        <v>1537</v>
      </c>
      <c r="C792" t="s">
        <v>13</v>
      </c>
      <c r="E792" t="s">
        <v>15</v>
      </c>
      <c r="F792" t="s">
        <v>13</v>
      </c>
      <c r="G792" t="s">
        <v>16</v>
      </c>
      <c r="H792" t="s">
        <v>1535</v>
      </c>
      <c r="I792" t="s">
        <v>386</v>
      </c>
      <c r="J792" t="s">
        <v>1538</v>
      </c>
      <c r="L792" t="s">
        <v>28</v>
      </c>
    </row>
    <row r="793" spans="1:12" x14ac:dyDescent="0.35">
      <c r="A793">
        <v>422</v>
      </c>
      <c r="B793" s="16" t="s">
        <v>1539</v>
      </c>
      <c r="C793" t="s">
        <v>13</v>
      </c>
      <c r="D793" t="s">
        <v>288</v>
      </c>
      <c r="E793" t="s">
        <v>15</v>
      </c>
      <c r="F793" t="s">
        <v>13</v>
      </c>
      <c r="G793" t="s">
        <v>16</v>
      </c>
      <c r="H793" t="s">
        <v>1540</v>
      </c>
      <c r="I793" t="s">
        <v>27</v>
      </c>
      <c r="J793" t="s">
        <v>401</v>
      </c>
      <c r="L793" t="s">
        <v>28</v>
      </c>
    </row>
    <row r="794" spans="1:12" x14ac:dyDescent="0.35">
      <c r="A794">
        <v>423</v>
      </c>
      <c r="B794" s="16" t="s">
        <v>1541</v>
      </c>
      <c r="C794" t="s">
        <v>13</v>
      </c>
      <c r="D794" t="s">
        <v>34</v>
      </c>
      <c r="E794" t="s">
        <v>15</v>
      </c>
      <c r="F794" t="s">
        <v>13</v>
      </c>
      <c r="G794" t="s">
        <v>16</v>
      </c>
      <c r="H794" t="s">
        <v>1542</v>
      </c>
      <c r="I794" t="s">
        <v>27</v>
      </c>
      <c r="J794" t="s">
        <v>1543</v>
      </c>
      <c r="L794" t="s">
        <v>28</v>
      </c>
    </row>
    <row r="795" spans="1:12" x14ac:dyDescent="0.35">
      <c r="A795">
        <v>423</v>
      </c>
      <c r="B795" s="16" t="s">
        <v>1220</v>
      </c>
      <c r="C795" t="s">
        <v>13</v>
      </c>
      <c r="D795" t="s">
        <v>34</v>
      </c>
      <c r="E795" t="s">
        <v>15</v>
      </c>
      <c r="F795" t="s">
        <v>13</v>
      </c>
      <c r="G795" t="s">
        <v>16</v>
      </c>
      <c r="H795" t="s">
        <v>1542</v>
      </c>
      <c r="I795" t="s">
        <v>27</v>
      </c>
      <c r="J795" t="s">
        <v>1543</v>
      </c>
      <c r="L795" t="s">
        <v>28</v>
      </c>
    </row>
    <row r="796" spans="1:12" x14ac:dyDescent="0.35">
      <c r="A796">
        <v>423</v>
      </c>
      <c r="B796" s="16" t="s">
        <v>1544</v>
      </c>
      <c r="C796" t="s">
        <v>13</v>
      </c>
      <c r="D796" t="s">
        <v>34</v>
      </c>
      <c r="E796" t="s">
        <v>15</v>
      </c>
      <c r="F796" t="s">
        <v>13</v>
      </c>
      <c r="G796" t="s">
        <v>16</v>
      </c>
      <c r="H796" t="s">
        <v>1542</v>
      </c>
      <c r="I796" t="s">
        <v>27</v>
      </c>
      <c r="J796" t="s">
        <v>1543</v>
      </c>
      <c r="L796" t="s">
        <v>28</v>
      </c>
    </row>
    <row r="797" spans="1:12" x14ac:dyDescent="0.35">
      <c r="A797">
        <v>423</v>
      </c>
      <c r="B797" s="43" t="s">
        <v>1545</v>
      </c>
      <c r="C797" t="s">
        <v>13</v>
      </c>
      <c r="E797" t="s">
        <v>15</v>
      </c>
      <c r="F797" t="s">
        <v>13</v>
      </c>
      <c r="G797" t="s">
        <v>16</v>
      </c>
      <c r="H797" t="s">
        <v>1542</v>
      </c>
      <c r="I797" t="s">
        <v>27</v>
      </c>
      <c r="J797" t="s">
        <v>1543</v>
      </c>
      <c r="L797" t="s">
        <v>28</v>
      </c>
    </row>
    <row r="798" spans="1:12" x14ac:dyDescent="0.35">
      <c r="A798">
        <v>432</v>
      </c>
      <c r="B798" s="16" t="s">
        <v>1546</v>
      </c>
      <c r="C798" t="s">
        <v>22</v>
      </c>
      <c r="D798" t="s">
        <v>1547</v>
      </c>
      <c r="E798" t="s">
        <v>15</v>
      </c>
      <c r="F798" t="s">
        <v>22</v>
      </c>
      <c r="G798" t="s">
        <v>120</v>
      </c>
      <c r="H798" t="s">
        <v>795</v>
      </c>
      <c r="I798" t="s">
        <v>348</v>
      </c>
      <c r="J798" t="s">
        <v>1548</v>
      </c>
      <c r="L798" t="s">
        <v>28</v>
      </c>
    </row>
    <row r="799" spans="1:12" x14ac:dyDescent="0.35">
      <c r="A799">
        <v>432</v>
      </c>
      <c r="B799" s="18" t="s">
        <v>1549</v>
      </c>
      <c r="C799" t="s">
        <v>22</v>
      </c>
      <c r="D799" t="s">
        <v>1550</v>
      </c>
      <c r="E799" t="s">
        <v>15</v>
      </c>
      <c r="F799" t="s">
        <v>22</v>
      </c>
      <c r="G799" t="s">
        <v>120</v>
      </c>
      <c r="H799" t="s">
        <v>795</v>
      </c>
      <c r="I799" t="s">
        <v>348</v>
      </c>
      <c r="J799" t="s">
        <v>1548</v>
      </c>
      <c r="L799" t="s">
        <v>28</v>
      </c>
    </row>
    <row r="800" spans="1:12" x14ac:dyDescent="0.35">
      <c r="A800">
        <v>432</v>
      </c>
      <c r="B800" s="17" t="s">
        <v>1551</v>
      </c>
      <c r="C800" t="s">
        <v>22</v>
      </c>
      <c r="D800" t="s">
        <v>1552</v>
      </c>
      <c r="E800" t="s">
        <v>15</v>
      </c>
      <c r="F800" t="s">
        <v>22</v>
      </c>
      <c r="G800" t="s">
        <v>120</v>
      </c>
      <c r="H800" t="s">
        <v>795</v>
      </c>
      <c r="I800" t="s">
        <v>348</v>
      </c>
      <c r="J800" t="s">
        <v>1548</v>
      </c>
      <c r="L800" t="s">
        <v>28</v>
      </c>
    </row>
    <row r="801" spans="1:12" x14ac:dyDescent="0.35">
      <c r="A801">
        <v>455</v>
      </c>
      <c r="B801" s="15" t="s">
        <v>1553</v>
      </c>
      <c r="C801" t="s">
        <v>49</v>
      </c>
      <c r="D801" t="s">
        <v>34</v>
      </c>
      <c r="E801" t="s">
        <v>15</v>
      </c>
      <c r="F801" t="s">
        <v>24</v>
      </c>
      <c r="G801" t="s">
        <v>362</v>
      </c>
      <c r="H801" t="s">
        <v>820</v>
      </c>
      <c r="I801" t="s">
        <v>163</v>
      </c>
      <c r="J801" t="s">
        <v>1554</v>
      </c>
      <c r="L801" t="s">
        <v>20</v>
      </c>
    </row>
    <row r="802" spans="1:12" x14ac:dyDescent="0.35">
      <c r="A802">
        <v>455</v>
      </c>
      <c r="B802" s="15" t="s">
        <v>1555</v>
      </c>
      <c r="C802" t="s">
        <v>49</v>
      </c>
      <c r="D802" t="s">
        <v>34</v>
      </c>
      <c r="E802" t="s">
        <v>15</v>
      </c>
      <c r="F802" t="s">
        <v>24</v>
      </c>
      <c r="G802" t="s">
        <v>362</v>
      </c>
      <c r="H802" t="s">
        <v>820</v>
      </c>
      <c r="I802" t="s">
        <v>163</v>
      </c>
      <c r="J802" t="s">
        <v>1554</v>
      </c>
      <c r="L802" t="s">
        <v>20</v>
      </c>
    </row>
    <row r="803" spans="1:12" x14ac:dyDescent="0.35">
      <c r="A803">
        <v>455</v>
      </c>
      <c r="B803" s="15" t="s">
        <v>1556</v>
      </c>
      <c r="C803" t="s">
        <v>49</v>
      </c>
      <c r="D803" t="s">
        <v>34</v>
      </c>
      <c r="E803" t="s">
        <v>15</v>
      </c>
      <c r="F803" t="s">
        <v>24</v>
      </c>
      <c r="G803" t="s">
        <v>362</v>
      </c>
      <c r="H803" t="s">
        <v>820</v>
      </c>
      <c r="I803" t="s">
        <v>163</v>
      </c>
      <c r="J803" t="s">
        <v>1554</v>
      </c>
      <c r="L803" t="s">
        <v>20</v>
      </c>
    </row>
    <row r="804" spans="1:12" x14ac:dyDescent="0.35">
      <c r="A804">
        <v>460</v>
      </c>
      <c r="B804" s="9" t="s">
        <v>1557</v>
      </c>
      <c r="C804" t="s">
        <v>33</v>
      </c>
      <c r="D804" t="s">
        <v>34</v>
      </c>
      <c r="E804" t="s">
        <v>15</v>
      </c>
      <c r="F804" t="s">
        <v>33</v>
      </c>
      <c r="G804" t="s">
        <v>362</v>
      </c>
      <c r="H804" t="s">
        <v>27</v>
      </c>
      <c r="I804" t="s">
        <v>27</v>
      </c>
      <c r="J804" t="s">
        <v>1558</v>
      </c>
      <c r="L804" t="s">
        <v>28</v>
      </c>
    </row>
    <row r="805" spans="1:12" x14ac:dyDescent="0.35">
      <c r="A805">
        <v>460</v>
      </c>
      <c r="B805" s="9" t="s">
        <v>1559</v>
      </c>
      <c r="C805" t="s">
        <v>33</v>
      </c>
      <c r="D805" t="s">
        <v>34</v>
      </c>
      <c r="E805" t="s">
        <v>15</v>
      </c>
      <c r="F805" t="s">
        <v>33</v>
      </c>
      <c r="G805" t="s">
        <v>362</v>
      </c>
      <c r="H805" t="s">
        <v>27</v>
      </c>
      <c r="I805" t="s">
        <v>27</v>
      </c>
      <c r="J805" t="s">
        <v>1558</v>
      </c>
      <c r="L805" t="s">
        <v>28</v>
      </c>
    </row>
    <row r="806" spans="1:12" x14ac:dyDescent="0.35">
      <c r="A806">
        <v>479</v>
      </c>
      <c r="B806" s="23" t="s">
        <v>402</v>
      </c>
      <c r="C806" t="s">
        <v>30</v>
      </c>
      <c r="D806" t="s">
        <v>1560</v>
      </c>
      <c r="E806" t="s">
        <v>15</v>
      </c>
      <c r="F806" t="s">
        <v>35</v>
      </c>
      <c r="G806" t="s">
        <v>120</v>
      </c>
      <c r="H806" t="s">
        <v>1561</v>
      </c>
      <c r="J806" t="s">
        <v>1562</v>
      </c>
      <c r="L806" t="s">
        <v>133</v>
      </c>
    </row>
    <row r="807" spans="1:12" x14ac:dyDescent="0.35">
      <c r="A807">
        <v>479</v>
      </c>
      <c r="B807" s="23" t="s">
        <v>1563</v>
      </c>
      <c r="C807" t="s">
        <v>30</v>
      </c>
      <c r="D807" t="s">
        <v>1564</v>
      </c>
      <c r="E807" t="s">
        <v>15</v>
      </c>
      <c r="F807" t="s">
        <v>35</v>
      </c>
      <c r="G807" t="s">
        <v>120</v>
      </c>
      <c r="H807" t="s">
        <v>1561</v>
      </c>
      <c r="J807" t="s">
        <v>1562</v>
      </c>
      <c r="L807" t="s">
        <v>133</v>
      </c>
    </row>
    <row r="808" spans="1:12" x14ac:dyDescent="0.35">
      <c r="A808">
        <v>482</v>
      </c>
      <c r="B808" s="7" t="s">
        <v>1565</v>
      </c>
      <c r="C808" t="s">
        <v>30</v>
      </c>
      <c r="D808" t="s">
        <v>1566</v>
      </c>
      <c r="E808" t="s">
        <v>15</v>
      </c>
      <c r="F808" t="s">
        <v>35</v>
      </c>
      <c r="G808" t="s">
        <v>1240</v>
      </c>
      <c r="H808" t="s">
        <v>1567</v>
      </c>
      <c r="J808" t="s">
        <v>1568</v>
      </c>
      <c r="L808" t="s">
        <v>94</v>
      </c>
    </row>
    <row r="809" spans="1:12" x14ac:dyDescent="0.35">
      <c r="A809">
        <v>482</v>
      </c>
      <c r="B809" s="23" t="s">
        <v>402</v>
      </c>
      <c r="C809" t="s">
        <v>30</v>
      </c>
      <c r="D809" t="s">
        <v>1566</v>
      </c>
      <c r="E809" t="s">
        <v>15</v>
      </c>
      <c r="F809" t="s">
        <v>35</v>
      </c>
      <c r="G809" t="s">
        <v>1240</v>
      </c>
      <c r="H809" t="s">
        <v>1569</v>
      </c>
      <c r="I809" t="s">
        <v>266</v>
      </c>
      <c r="J809" t="s">
        <v>1570</v>
      </c>
      <c r="L809" t="s">
        <v>94</v>
      </c>
    </row>
    <row r="810" spans="1:12" x14ac:dyDescent="0.35">
      <c r="A810">
        <v>482</v>
      </c>
      <c r="B810" s="7" t="s">
        <v>1571</v>
      </c>
      <c r="C810" t="s">
        <v>30</v>
      </c>
      <c r="D810" t="s">
        <v>1566</v>
      </c>
      <c r="E810" t="s">
        <v>15</v>
      </c>
      <c r="F810" t="s">
        <v>35</v>
      </c>
      <c r="G810" t="s">
        <v>1160</v>
      </c>
      <c r="H810" t="s">
        <v>1567</v>
      </c>
      <c r="J810" t="s">
        <v>1568</v>
      </c>
      <c r="L810" t="s">
        <v>94</v>
      </c>
    </row>
    <row r="811" spans="1:12" x14ac:dyDescent="0.35">
      <c r="A811">
        <v>482</v>
      </c>
      <c r="B811" s="23" t="s">
        <v>1572</v>
      </c>
      <c r="C811" t="s">
        <v>30</v>
      </c>
      <c r="D811" t="s">
        <v>1566</v>
      </c>
      <c r="E811" t="s">
        <v>15</v>
      </c>
      <c r="F811" t="s">
        <v>35</v>
      </c>
      <c r="G811" t="s">
        <v>120</v>
      </c>
      <c r="H811" t="s">
        <v>1569</v>
      </c>
      <c r="I811" t="s">
        <v>266</v>
      </c>
      <c r="J811" t="s">
        <v>1570</v>
      </c>
      <c r="L811" t="s">
        <v>94</v>
      </c>
    </row>
    <row r="812" spans="1:12" x14ac:dyDescent="0.35">
      <c r="A812">
        <v>484</v>
      </c>
      <c r="B812" s="2" t="s">
        <v>1573</v>
      </c>
      <c r="C812" t="s">
        <v>33</v>
      </c>
      <c r="D812" t="s">
        <v>38</v>
      </c>
      <c r="E812" t="s">
        <v>15</v>
      </c>
      <c r="F812" t="s">
        <v>33</v>
      </c>
      <c r="G812" t="s">
        <v>120</v>
      </c>
      <c r="H812" t="s">
        <v>1574</v>
      </c>
      <c r="J812" t="s">
        <v>1575</v>
      </c>
      <c r="L812" t="s">
        <v>28</v>
      </c>
    </row>
    <row r="813" spans="1:12" x14ac:dyDescent="0.35">
      <c r="A813">
        <v>484</v>
      </c>
      <c r="B813" t="s">
        <v>1576</v>
      </c>
      <c r="C813" t="s">
        <v>33</v>
      </c>
      <c r="D813" t="s">
        <v>1577</v>
      </c>
      <c r="E813" t="s">
        <v>15</v>
      </c>
      <c r="F813" t="s">
        <v>33</v>
      </c>
      <c r="G813" t="s">
        <v>120</v>
      </c>
      <c r="H813" t="s">
        <v>1574</v>
      </c>
      <c r="J813" t="s">
        <v>1575</v>
      </c>
      <c r="L813" t="s">
        <v>28</v>
      </c>
    </row>
    <row r="814" spans="1:12" x14ac:dyDescent="0.35">
      <c r="A814">
        <v>484</v>
      </c>
      <c r="B814" s="12" t="s">
        <v>1578</v>
      </c>
      <c r="C814" t="s">
        <v>33</v>
      </c>
      <c r="D814" t="s">
        <v>1579</v>
      </c>
      <c r="E814" t="s">
        <v>15</v>
      </c>
      <c r="F814" t="s">
        <v>33</v>
      </c>
      <c r="G814" t="s">
        <v>120</v>
      </c>
      <c r="H814" t="s">
        <v>1574</v>
      </c>
      <c r="J814" t="s">
        <v>1575</v>
      </c>
      <c r="L814" t="s">
        <v>28</v>
      </c>
    </row>
    <row r="815" spans="1:12" x14ac:dyDescent="0.35">
      <c r="A815">
        <v>484</v>
      </c>
      <c r="B815" t="s">
        <v>1580</v>
      </c>
      <c r="C815" t="s">
        <v>33</v>
      </c>
      <c r="D815" t="s">
        <v>1579</v>
      </c>
      <c r="E815" t="s">
        <v>15</v>
      </c>
      <c r="F815" t="s">
        <v>33</v>
      </c>
      <c r="G815" t="s">
        <v>120</v>
      </c>
      <c r="H815" t="s">
        <v>1574</v>
      </c>
      <c r="J815" t="s">
        <v>1575</v>
      </c>
      <c r="L815" t="s">
        <v>28</v>
      </c>
    </row>
    <row r="816" spans="1:12" x14ac:dyDescent="0.35">
      <c r="A816">
        <v>484</v>
      </c>
      <c r="B816" s="12" t="s">
        <v>1581</v>
      </c>
      <c r="C816" t="s">
        <v>33</v>
      </c>
      <c r="D816" t="s">
        <v>1582</v>
      </c>
      <c r="E816" t="s">
        <v>15</v>
      </c>
      <c r="F816" t="s">
        <v>33</v>
      </c>
      <c r="G816" t="s">
        <v>120</v>
      </c>
      <c r="H816" t="s">
        <v>1574</v>
      </c>
      <c r="J816" t="s">
        <v>1575</v>
      </c>
      <c r="L816" t="s">
        <v>28</v>
      </c>
    </row>
    <row r="817" spans="1:12" x14ac:dyDescent="0.35">
      <c r="A817">
        <v>484</v>
      </c>
      <c r="B817" t="s">
        <v>1583</v>
      </c>
      <c r="C817" t="s">
        <v>33</v>
      </c>
      <c r="E817" t="s">
        <v>15</v>
      </c>
      <c r="F817" t="s">
        <v>33</v>
      </c>
      <c r="G817" t="s">
        <v>120</v>
      </c>
      <c r="H817" t="s">
        <v>1574</v>
      </c>
      <c r="J817" t="s">
        <v>1575</v>
      </c>
      <c r="L817" t="s">
        <v>28</v>
      </c>
    </row>
    <row r="818" spans="1:12" x14ac:dyDescent="0.35">
      <c r="A818">
        <v>484</v>
      </c>
      <c r="B818" t="s">
        <v>1584</v>
      </c>
      <c r="C818" t="s">
        <v>33</v>
      </c>
      <c r="E818" t="s">
        <v>15</v>
      </c>
      <c r="F818" t="s">
        <v>33</v>
      </c>
      <c r="G818" t="s">
        <v>120</v>
      </c>
      <c r="H818" t="s">
        <v>1574</v>
      </c>
      <c r="J818" t="s">
        <v>1575</v>
      </c>
      <c r="L818" t="s">
        <v>28</v>
      </c>
    </row>
    <row r="819" spans="1:12" x14ac:dyDescent="0.35">
      <c r="A819">
        <v>506</v>
      </c>
      <c r="B819" s="23" t="s">
        <v>1585</v>
      </c>
      <c r="C819" t="s">
        <v>30</v>
      </c>
      <c r="D819" t="s">
        <v>34</v>
      </c>
      <c r="E819" t="s">
        <v>15</v>
      </c>
      <c r="F819" t="s">
        <v>35</v>
      </c>
      <c r="G819" t="s">
        <v>1586</v>
      </c>
      <c r="H819" t="s">
        <v>1587</v>
      </c>
      <c r="J819" t="s">
        <v>1588</v>
      </c>
      <c r="L819" t="s">
        <v>28</v>
      </c>
    </row>
    <row r="820" spans="1:12" x14ac:dyDescent="0.35">
      <c r="A820">
        <v>506</v>
      </c>
      <c r="B820" s="23" t="s">
        <v>1589</v>
      </c>
      <c r="C820" t="s">
        <v>30</v>
      </c>
      <c r="D820" t="s">
        <v>1590</v>
      </c>
      <c r="E820" t="s">
        <v>15</v>
      </c>
      <c r="F820" t="s">
        <v>35</v>
      </c>
      <c r="G820" t="s">
        <v>1586</v>
      </c>
      <c r="H820" t="s">
        <v>1587</v>
      </c>
      <c r="J820" t="s">
        <v>1591</v>
      </c>
      <c r="L820" t="s">
        <v>28</v>
      </c>
    </row>
    <row r="821" spans="1:12" x14ac:dyDescent="0.35">
      <c r="A821">
        <v>506</v>
      </c>
      <c r="B821" s="2" t="s">
        <v>1592</v>
      </c>
      <c r="C821" t="s">
        <v>33</v>
      </c>
      <c r="D821" t="s">
        <v>38</v>
      </c>
      <c r="E821" t="s">
        <v>15</v>
      </c>
      <c r="F821" t="s">
        <v>35</v>
      </c>
      <c r="G821" t="s">
        <v>1586</v>
      </c>
      <c r="H821" t="s">
        <v>1587</v>
      </c>
      <c r="J821" t="s">
        <v>1591</v>
      </c>
      <c r="L821" t="s">
        <v>28</v>
      </c>
    </row>
    <row r="822" spans="1:12" x14ac:dyDescent="0.35">
      <c r="A822">
        <v>506</v>
      </c>
      <c r="B822" s="23" t="s">
        <v>1593</v>
      </c>
      <c r="C822" t="s">
        <v>30</v>
      </c>
      <c r="D822" t="s">
        <v>1594</v>
      </c>
      <c r="E822" t="s">
        <v>15</v>
      </c>
      <c r="F822" t="s">
        <v>35</v>
      </c>
      <c r="G822" t="s">
        <v>1586</v>
      </c>
      <c r="H822" t="s">
        <v>1587</v>
      </c>
      <c r="J822" t="s">
        <v>1595</v>
      </c>
      <c r="L822" t="s">
        <v>28</v>
      </c>
    </row>
    <row r="823" spans="1:12" x14ac:dyDescent="0.35">
      <c r="A823">
        <v>506</v>
      </c>
      <c r="B823" s="5" t="s">
        <v>1596</v>
      </c>
      <c r="C823" t="s">
        <v>49</v>
      </c>
      <c r="D823" t="s">
        <v>1597</v>
      </c>
      <c r="E823" t="s">
        <v>15</v>
      </c>
      <c r="F823" t="s">
        <v>35</v>
      </c>
      <c r="G823" t="s">
        <v>1586</v>
      </c>
      <c r="J823" t="s">
        <v>1598</v>
      </c>
      <c r="L823" t="s">
        <v>28</v>
      </c>
    </row>
    <row r="824" spans="1:12" x14ac:dyDescent="0.35">
      <c r="A824">
        <v>510</v>
      </c>
      <c r="B824" s="15" t="s">
        <v>1599</v>
      </c>
      <c r="C824" t="s">
        <v>49</v>
      </c>
      <c r="D824" t="s">
        <v>1600</v>
      </c>
      <c r="E824" t="s">
        <v>15</v>
      </c>
      <c r="F824" t="s">
        <v>24</v>
      </c>
      <c r="G824" t="s">
        <v>120</v>
      </c>
      <c r="H824" t="s">
        <v>1601</v>
      </c>
      <c r="I824" t="s">
        <v>163</v>
      </c>
      <c r="J824" t="s">
        <v>1602</v>
      </c>
      <c r="L824" t="s">
        <v>45</v>
      </c>
    </row>
    <row r="825" spans="1:12" x14ac:dyDescent="0.35">
      <c r="A825">
        <v>510</v>
      </c>
      <c r="B825" s="24" t="s">
        <v>1603</v>
      </c>
      <c r="C825" t="s">
        <v>30</v>
      </c>
      <c r="D825" t="s">
        <v>34</v>
      </c>
      <c r="E825" t="s">
        <v>15</v>
      </c>
      <c r="F825" t="s">
        <v>24</v>
      </c>
      <c r="G825" t="s">
        <v>120</v>
      </c>
      <c r="H825" t="s">
        <v>1601</v>
      </c>
      <c r="I825" t="s">
        <v>163</v>
      </c>
      <c r="J825" t="s">
        <v>1602</v>
      </c>
      <c r="L825" t="s">
        <v>45</v>
      </c>
    </row>
    <row r="826" spans="1:12" x14ac:dyDescent="0.35">
      <c r="A826">
        <v>510</v>
      </c>
      <c r="B826" s="2" t="s">
        <v>220</v>
      </c>
      <c r="C826" t="s">
        <v>33</v>
      </c>
      <c r="D826" t="s">
        <v>38</v>
      </c>
      <c r="E826" t="s">
        <v>15</v>
      </c>
      <c r="F826" t="s">
        <v>33</v>
      </c>
      <c r="G826" t="s">
        <v>120</v>
      </c>
      <c r="H826" t="s">
        <v>1601</v>
      </c>
      <c r="I826" t="s">
        <v>163</v>
      </c>
      <c r="J826" t="s">
        <v>1604</v>
      </c>
      <c r="L826" t="s">
        <v>45</v>
      </c>
    </row>
    <row r="827" spans="1:12" x14ac:dyDescent="0.35">
      <c r="A827">
        <v>510</v>
      </c>
      <c r="B827" s="4" t="s">
        <v>1605</v>
      </c>
      <c r="C827" t="s">
        <v>33</v>
      </c>
      <c r="D827" t="s">
        <v>38</v>
      </c>
      <c r="E827" t="s">
        <v>15</v>
      </c>
      <c r="F827" t="s">
        <v>33</v>
      </c>
      <c r="G827" t="s">
        <v>120</v>
      </c>
      <c r="H827" t="s">
        <v>1601</v>
      </c>
      <c r="I827" t="s">
        <v>163</v>
      </c>
      <c r="J827" t="s">
        <v>1604</v>
      </c>
      <c r="L827" t="s">
        <v>45</v>
      </c>
    </row>
    <row r="828" spans="1:12" x14ac:dyDescent="0.35">
      <c r="A828">
        <v>514</v>
      </c>
      <c r="B828" s="2" t="s">
        <v>12</v>
      </c>
      <c r="C828" t="s">
        <v>13</v>
      </c>
      <c r="D828" t="s">
        <v>1606</v>
      </c>
      <c r="E828" t="s">
        <v>15</v>
      </c>
      <c r="F828" t="s">
        <v>13</v>
      </c>
      <c r="G828" t="s">
        <v>16</v>
      </c>
      <c r="H828" t="s">
        <v>1607</v>
      </c>
      <c r="I828" t="s">
        <v>386</v>
      </c>
      <c r="J828" t="s">
        <v>1608</v>
      </c>
      <c r="L828" t="s">
        <v>28</v>
      </c>
    </row>
    <row r="829" spans="1:12" x14ac:dyDescent="0.35">
      <c r="A829">
        <v>514</v>
      </c>
      <c r="B829" s="3" t="s">
        <v>1609</v>
      </c>
      <c r="C829" t="s">
        <v>33</v>
      </c>
      <c r="D829" t="s">
        <v>34</v>
      </c>
      <c r="E829" t="s">
        <v>15</v>
      </c>
      <c r="F829" t="s">
        <v>33</v>
      </c>
      <c r="G829" t="s">
        <v>120</v>
      </c>
      <c r="H829" t="s">
        <v>1610</v>
      </c>
      <c r="I829" t="s">
        <v>386</v>
      </c>
      <c r="J829" t="s">
        <v>1611</v>
      </c>
      <c r="L829" t="s">
        <v>28</v>
      </c>
    </row>
    <row r="830" spans="1:12" x14ac:dyDescent="0.35">
      <c r="A830">
        <v>515</v>
      </c>
      <c r="B830" s="5" t="s">
        <v>405</v>
      </c>
      <c r="C830" t="s">
        <v>33</v>
      </c>
      <c r="D830" t="s">
        <v>1612</v>
      </c>
      <c r="E830" t="s">
        <v>15</v>
      </c>
      <c r="F830" t="s">
        <v>33</v>
      </c>
      <c r="G830" t="s">
        <v>362</v>
      </c>
      <c r="H830" t="s">
        <v>1613</v>
      </c>
      <c r="J830" t="s">
        <v>154</v>
      </c>
      <c r="L830" t="s">
        <v>28</v>
      </c>
    </row>
    <row r="831" spans="1:12" x14ac:dyDescent="0.35">
      <c r="A831">
        <v>515</v>
      </c>
      <c r="B831" s="2" t="s">
        <v>144</v>
      </c>
      <c r="C831" t="s">
        <v>33</v>
      </c>
      <c r="D831" t="s">
        <v>38</v>
      </c>
      <c r="E831" t="s">
        <v>15</v>
      </c>
      <c r="F831" t="s">
        <v>33</v>
      </c>
      <c r="G831" t="s">
        <v>362</v>
      </c>
      <c r="H831" t="s">
        <v>1613</v>
      </c>
      <c r="J831" t="s">
        <v>154</v>
      </c>
      <c r="L831" t="s">
        <v>28</v>
      </c>
    </row>
    <row r="832" spans="1:12" x14ac:dyDescent="0.35">
      <c r="A832">
        <v>515</v>
      </c>
      <c r="B832" s="23" t="s">
        <v>1614</v>
      </c>
      <c r="C832" t="s">
        <v>30</v>
      </c>
      <c r="D832" t="s">
        <v>160</v>
      </c>
      <c r="E832" t="s">
        <v>15</v>
      </c>
      <c r="F832" t="s">
        <v>1615</v>
      </c>
      <c r="G832" t="s">
        <v>362</v>
      </c>
      <c r="H832" t="s">
        <v>1613</v>
      </c>
      <c r="J832" t="s">
        <v>1616</v>
      </c>
      <c r="L832" t="s">
        <v>28</v>
      </c>
    </row>
    <row r="833" spans="1:12" x14ac:dyDescent="0.35">
      <c r="A833">
        <v>515</v>
      </c>
      <c r="B833" s="23" t="s">
        <v>161</v>
      </c>
      <c r="C833" t="s">
        <v>30</v>
      </c>
      <c r="D833" t="s">
        <v>34</v>
      </c>
      <c r="E833" t="s">
        <v>15</v>
      </c>
      <c r="F833" t="s">
        <v>1615</v>
      </c>
      <c r="G833" t="s">
        <v>362</v>
      </c>
      <c r="H833" t="s">
        <v>1613</v>
      </c>
      <c r="J833" t="s">
        <v>1616</v>
      </c>
      <c r="L833" t="s">
        <v>28</v>
      </c>
    </row>
    <row r="834" spans="1:12" x14ac:dyDescent="0.35">
      <c r="A834">
        <v>515</v>
      </c>
      <c r="B834" s="23" t="s">
        <v>1617</v>
      </c>
      <c r="C834" t="s">
        <v>30</v>
      </c>
      <c r="D834" t="s">
        <v>1618</v>
      </c>
      <c r="E834" t="s">
        <v>15</v>
      </c>
      <c r="F834" t="s">
        <v>1615</v>
      </c>
      <c r="G834" t="s">
        <v>362</v>
      </c>
      <c r="H834" t="s">
        <v>1613</v>
      </c>
      <c r="J834" t="s">
        <v>1616</v>
      </c>
      <c r="L834" t="s">
        <v>28</v>
      </c>
    </row>
    <row r="835" spans="1:12" x14ac:dyDescent="0.35">
      <c r="A835">
        <v>515</v>
      </c>
      <c r="B835" s="23" t="s">
        <v>1619</v>
      </c>
      <c r="C835" t="s">
        <v>30</v>
      </c>
      <c r="D835" t="s">
        <v>1618</v>
      </c>
      <c r="E835" t="s">
        <v>15</v>
      </c>
      <c r="F835" t="s">
        <v>1615</v>
      </c>
      <c r="G835" t="s">
        <v>362</v>
      </c>
      <c r="H835" t="s">
        <v>1613</v>
      </c>
      <c r="J835" t="s">
        <v>1616</v>
      </c>
      <c r="L835" t="s">
        <v>28</v>
      </c>
    </row>
    <row r="836" spans="1:12" x14ac:dyDescent="0.35">
      <c r="A836">
        <v>515</v>
      </c>
      <c r="B836" s="23" t="s">
        <v>1620</v>
      </c>
      <c r="C836" t="s">
        <v>30</v>
      </c>
      <c r="D836" t="s">
        <v>1618</v>
      </c>
      <c r="E836" t="s">
        <v>15</v>
      </c>
      <c r="F836" t="s">
        <v>1615</v>
      </c>
      <c r="G836" t="s">
        <v>362</v>
      </c>
      <c r="H836" t="s">
        <v>1613</v>
      </c>
      <c r="J836" t="s">
        <v>154</v>
      </c>
      <c r="L836" t="s">
        <v>28</v>
      </c>
    </row>
    <row r="837" spans="1:12" x14ac:dyDescent="0.35">
      <c r="A837">
        <v>515</v>
      </c>
      <c r="B837" s="23" t="s">
        <v>1621</v>
      </c>
      <c r="C837" t="s">
        <v>30</v>
      </c>
      <c r="D837" t="s">
        <v>1618</v>
      </c>
      <c r="E837" t="s">
        <v>15</v>
      </c>
      <c r="F837" t="s">
        <v>1615</v>
      </c>
      <c r="G837" t="s">
        <v>362</v>
      </c>
      <c r="H837" t="s">
        <v>1613</v>
      </c>
      <c r="J837" t="s">
        <v>154</v>
      </c>
      <c r="L837" t="s">
        <v>28</v>
      </c>
    </row>
    <row r="838" spans="1:12" x14ac:dyDescent="0.35">
      <c r="A838">
        <v>515</v>
      </c>
      <c r="B838" s="23" t="s">
        <v>1622</v>
      </c>
      <c r="C838" t="s">
        <v>30</v>
      </c>
      <c r="D838" t="s">
        <v>1618</v>
      </c>
      <c r="E838" t="s">
        <v>15</v>
      </c>
      <c r="F838" t="s">
        <v>1615</v>
      </c>
      <c r="G838" t="s">
        <v>362</v>
      </c>
      <c r="H838" t="s">
        <v>1613</v>
      </c>
      <c r="J838" t="s">
        <v>154</v>
      </c>
      <c r="L838" t="s">
        <v>28</v>
      </c>
    </row>
    <row r="839" spans="1:12" x14ac:dyDescent="0.35">
      <c r="A839">
        <v>515</v>
      </c>
      <c r="B839" s="23" t="s">
        <v>1623</v>
      </c>
      <c r="C839" t="s">
        <v>30</v>
      </c>
      <c r="D839" t="s">
        <v>34</v>
      </c>
      <c r="E839" t="s">
        <v>15</v>
      </c>
      <c r="F839" t="s">
        <v>594</v>
      </c>
      <c r="G839" t="s">
        <v>362</v>
      </c>
      <c r="H839" t="s">
        <v>1613</v>
      </c>
      <c r="J839" t="s">
        <v>154</v>
      </c>
      <c r="L839" t="s">
        <v>28</v>
      </c>
    </row>
    <row r="840" spans="1:12" x14ac:dyDescent="0.35">
      <c r="A840">
        <v>515</v>
      </c>
      <c r="B840" s="23" t="s">
        <v>1624</v>
      </c>
      <c r="C840" t="s">
        <v>30</v>
      </c>
      <c r="D840" t="s">
        <v>1625</v>
      </c>
      <c r="E840" t="s">
        <v>15</v>
      </c>
      <c r="F840" t="s">
        <v>1615</v>
      </c>
      <c r="G840" t="s">
        <v>362</v>
      </c>
      <c r="H840" t="s">
        <v>1613</v>
      </c>
      <c r="J840" t="s">
        <v>1626</v>
      </c>
      <c r="L840" t="s">
        <v>28</v>
      </c>
    </row>
    <row r="841" spans="1:12" x14ac:dyDescent="0.35">
      <c r="A841">
        <v>515</v>
      </c>
      <c r="B841" s="23" t="s">
        <v>1627</v>
      </c>
      <c r="C841" t="s">
        <v>30</v>
      </c>
      <c r="D841" t="s">
        <v>1628</v>
      </c>
      <c r="E841" t="s">
        <v>15</v>
      </c>
      <c r="F841" t="s">
        <v>1615</v>
      </c>
      <c r="G841" t="s">
        <v>362</v>
      </c>
      <c r="H841" t="s">
        <v>1613</v>
      </c>
      <c r="J841" t="s">
        <v>1626</v>
      </c>
      <c r="L841" t="s">
        <v>28</v>
      </c>
    </row>
    <row r="842" spans="1:12" x14ac:dyDescent="0.35">
      <c r="A842">
        <v>515</v>
      </c>
      <c r="B842" s="23" t="s">
        <v>1629</v>
      </c>
      <c r="C842" t="s">
        <v>30</v>
      </c>
      <c r="D842" t="s">
        <v>781</v>
      </c>
      <c r="E842" t="s">
        <v>15</v>
      </c>
      <c r="F842" t="s">
        <v>1615</v>
      </c>
      <c r="G842" t="s">
        <v>362</v>
      </c>
      <c r="H842" t="s">
        <v>1613</v>
      </c>
      <c r="J842" t="s">
        <v>1626</v>
      </c>
      <c r="L842" t="s">
        <v>28</v>
      </c>
    </row>
    <row r="843" spans="1:12" x14ac:dyDescent="0.35">
      <c r="A843">
        <v>515</v>
      </c>
      <c r="B843" s="23" t="s">
        <v>1630</v>
      </c>
      <c r="C843" t="s">
        <v>30</v>
      </c>
      <c r="D843" t="s">
        <v>34</v>
      </c>
      <c r="E843" t="s">
        <v>15</v>
      </c>
      <c r="F843" t="s">
        <v>1615</v>
      </c>
      <c r="G843" t="s">
        <v>362</v>
      </c>
      <c r="H843" t="s">
        <v>1613</v>
      </c>
      <c r="J843" t="s">
        <v>1626</v>
      </c>
      <c r="L843" t="s">
        <v>28</v>
      </c>
    </row>
    <row r="844" spans="1:12" x14ac:dyDescent="0.35">
      <c r="A844">
        <v>551</v>
      </c>
      <c r="B844" t="s">
        <v>1631</v>
      </c>
      <c r="C844" t="s">
        <v>13</v>
      </c>
      <c r="D844" t="s">
        <v>1632</v>
      </c>
      <c r="E844" t="s">
        <v>15</v>
      </c>
      <c r="F844" t="s">
        <v>13</v>
      </c>
      <c r="G844" t="s">
        <v>1633</v>
      </c>
      <c r="H844" t="s">
        <v>1634</v>
      </c>
      <c r="I844" t="s">
        <v>386</v>
      </c>
      <c r="J844" t="s">
        <v>1635</v>
      </c>
      <c r="L844" t="s">
        <v>20</v>
      </c>
    </row>
    <row r="845" spans="1:12" x14ac:dyDescent="0.35">
      <c r="A845">
        <v>551</v>
      </c>
      <c r="B845" t="s">
        <v>1636</v>
      </c>
      <c r="C845" t="s">
        <v>13</v>
      </c>
      <c r="D845" t="s">
        <v>34</v>
      </c>
      <c r="E845" t="s">
        <v>15</v>
      </c>
      <c r="F845" t="s">
        <v>13</v>
      </c>
      <c r="G845" t="s">
        <v>1633</v>
      </c>
      <c r="H845" t="s">
        <v>1634</v>
      </c>
      <c r="I845" t="s">
        <v>386</v>
      </c>
      <c r="J845" t="s">
        <v>1635</v>
      </c>
      <c r="L845" t="s">
        <v>20</v>
      </c>
    </row>
    <row r="846" spans="1:12" x14ac:dyDescent="0.35">
      <c r="A846">
        <v>551</v>
      </c>
      <c r="B846" t="s">
        <v>1637</v>
      </c>
      <c r="C846" t="s">
        <v>13</v>
      </c>
      <c r="D846" t="s">
        <v>1632</v>
      </c>
      <c r="E846" t="s">
        <v>15</v>
      </c>
      <c r="F846" t="s">
        <v>13</v>
      </c>
      <c r="G846" t="s">
        <v>1633</v>
      </c>
      <c r="H846" t="s">
        <v>1634</v>
      </c>
      <c r="I846" t="s">
        <v>386</v>
      </c>
      <c r="J846" t="s">
        <v>401</v>
      </c>
      <c r="L846" t="s">
        <v>20</v>
      </c>
    </row>
    <row r="847" spans="1:12" x14ac:dyDescent="0.35">
      <c r="A847">
        <v>851</v>
      </c>
      <c r="B847" s="5" t="s">
        <v>1638</v>
      </c>
      <c r="C847" t="s">
        <v>33</v>
      </c>
      <c r="D847" t="s">
        <v>1639</v>
      </c>
      <c r="E847" t="s">
        <v>15</v>
      </c>
      <c r="F847" t="s">
        <v>33</v>
      </c>
      <c r="G847" t="s">
        <v>120</v>
      </c>
      <c r="H847" t="s">
        <v>470</v>
      </c>
      <c r="I847" t="s">
        <v>386</v>
      </c>
      <c r="J847" t="s">
        <v>1640</v>
      </c>
      <c r="L847" t="s">
        <v>45</v>
      </c>
    </row>
    <row r="848" spans="1:12" x14ac:dyDescent="0.35">
      <c r="A848">
        <v>936</v>
      </c>
      <c r="B848" s="43" t="s">
        <v>1641</v>
      </c>
      <c r="C848" t="s">
        <v>13</v>
      </c>
      <c r="D848" t="s">
        <v>1642</v>
      </c>
      <c r="E848" t="s">
        <v>15</v>
      </c>
      <c r="F848" t="s">
        <v>57</v>
      </c>
      <c r="G848" t="s">
        <v>1643</v>
      </c>
      <c r="H848" t="s">
        <v>1135</v>
      </c>
      <c r="J848" t="s">
        <v>1644</v>
      </c>
      <c r="L848" t="s">
        <v>20</v>
      </c>
    </row>
    <row r="849" spans="1:12" x14ac:dyDescent="0.35">
      <c r="A849">
        <v>936</v>
      </c>
      <c r="B849" s="12" t="s">
        <v>1645</v>
      </c>
      <c r="C849" t="s">
        <v>30</v>
      </c>
      <c r="D849" t="s">
        <v>1642</v>
      </c>
      <c r="E849" t="s">
        <v>15</v>
      </c>
      <c r="F849" t="s">
        <v>57</v>
      </c>
      <c r="G849" t="s">
        <v>1643</v>
      </c>
      <c r="H849" t="s">
        <v>1135</v>
      </c>
      <c r="J849" t="s">
        <v>1646</v>
      </c>
      <c r="L849" t="s">
        <v>20</v>
      </c>
    </row>
    <row r="850" spans="1:12" x14ac:dyDescent="0.35">
      <c r="A850">
        <v>936</v>
      </c>
      <c r="B850" s="12" t="s">
        <v>1647</v>
      </c>
      <c r="C850" t="s">
        <v>30</v>
      </c>
      <c r="D850" t="s">
        <v>1642</v>
      </c>
      <c r="E850" t="s">
        <v>15</v>
      </c>
      <c r="F850" t="s">
        <v>57</v>
      </c>
      <c r="G850" t="s">
        <v>1643</v>
      </c>
      <c r="H850" t="s">
        <v>1135</v>
      </c>
      <c r="J850" t="s">
        <v>1648</v>
      </c>
      <c r="L850" t="s">
        <v>20</v>
      </c>
    </row>
    <row r="851" spans="1:12" x14ac:dyDescent="0.35">
      <c r="A851">
        <v>369</v>
      </c>
      <c r="B851" s="15" t="s">
        <v>1649</v>
      </c>
      <c r="C851" t="s">
        <v>49</v>
      </c>
      <c r="D851" t="s">
        <v>34</v>
      </c>
      <c r="E851" t="s">
        <v>15</v>
      </c>
      <c r="F851" t="s">
        <v>24</v>
      </c>
      <c r="G851" t="s">
        <v>362</v>
      </c>
      <c r="H851" t="s">
        <v>1650</v>
      </c>
      <c r="J851" t="s">
        <v>1651</v>
      </c>
      <c r="K851" t="s">
        <v>1652</v>
      </c>
      <c r="L851" t="s">
        <v>28</v>
      </c>
    </row>
    <row r="852" spans="1:12" x14ac:dyDescent="0.35">
      <c r="A852">
        <v>347</v>
      </c>
      <c r="B852" s="3" t="s">
        <v>1653</v>
      </c>
      <c r="C852" t="s">
        <v>33</v>
      </c>
      <c r="D852" t="s">
        <v>34</v>
      </c>
      <c r="E852" t="s">
        <v>15</v>
      </c>
      <c r="F852" t="s">
        <v>33</v>
      </c>
      <c r="G852" t="s">
        <v>1654</v>
      </c>
      <c r="H852" t="s">
        <v>644</v>
      </c>
      <c r="J852" t="s">
        <v>1655</v>
      </c>
      <c r="K852" t="s">
        <v>1090</v>
      </c>
      <c r="L852" t="s">
        <v>28</v>
      </c>
    </row>
    <row r="853" spans="1:12" x14ac:dyDescent="0.35">
      <c r="A853">
        <v>347</v>
      </c>
      <c r="B853" s="16" t="s">
        <v>80</v>
      </c>
      <c r="C853" t="s">
        <v>22</v>
      </c>
      <c r="D853" t="s">
        <v>1656</v>
      </c>
      <c r="E853" t="s">
        <v>15</v>
      </c>
      <c r="F853" t="s">
        <v>22</v>
      </c>
      <c r="G853" t="s">
        <v>1654</v>
      </c>
      <c r="H853" t="s">
        <v>644</v>
      </c>
      <c r="J853" t="s">
        <v>1657</v>
      </c>
      <c r="L853" t="s">
        <v>28</v>
      </c>
    </row>
    <row r="854" spans="1:12" x14ac:dyDescent="0.35">
      <c r="A854">
        <v>347</v>
      </c>
      <c r="B854" s="17" t="s">
        <v>1658</v>
      </c>
      <c r="C854" t="s">
        <v>22</v>
      </c>
      <c r="D854" t="s">
        <v>1659</v>
      </c>
      <c r="E854" t="s">
        <v>15</v>
      </c>
      <c r="F854" t="s">
        <v>22</v>
      </c>
      <c r="G854" t="s">
        <v>1654</v>
      </c>
      <c r="H854" t="s">
        <v>644</v>
      </c>
      <c r="J854" t="s">
        <v>1660</v>
      </c>
      <c r="L854" t="s">
        <v>28</v>
      </c>
    </row>
    <row r="855" spans="1:12" x14ac:dyDescent="0.35">
      <c r="A855">
        <v>329</v>
      </c>
      <c r="B855" s="23" t="s">
        <v>402</v>
      </c>
      <c r="C855" t="s">
        <v>30</v>
      </c>
      <c r="D855" t="s">
        <v>798</v>
      </c>
      <c r="E855" t="s">
        <v>15</v>
      </c>
      <c r="F855" t="s">
        <v>35</v>
      </c>
      <c r="G855" t="s">
        <v>1661</v>
      </c>
      <c r="H855" t="s">
        <v>1662</v>
      </c>
      <c r="J855" t="s">
        <v>1663</v>
      </c>
      <c r="K855" t="s">
        <v>1664</v>
      </c>
      <c r="L855" t="s">
        <v>28</v>
      </c>
    </row>
    <row r="856" spans="1:12" x14ac:dyDescent="0.35">
      <c r="A856">
        <v>329</v>
      </c>
      <c r="B856" s="23" t="s">
        <v>535</v>
      </c>
      <c r="C856" t="s">
        <v>30</v>
      </c>
      <c r="D856" t="s">
        <v>157</v>
      </c>
      <c r="E856" t="s">
        <v>15</v>
      </c>
      <c r="F856" t="s">
        <v>35</v>
      </c>
      <c r="G856" t="s">
        <v>1661</v>
      </c>
      <c r="H856" t="s">
        <v>1662</v>
      </c>
      <c r="J856" t="s">
        <v>1663</v>
      </c>
      <c r="K856" t="s">
        <v>1664</v>
      </c>
      <c r="L856" t="s">
        <v>28</v>
      </c>
    </row>
    <row r="857" spans="1:12" x14ac:dyDescent="0.35">
      <c r="A857">
        <v>329</v>
      </c>
      <c r="B857" s="23" t="s">
        <v>335</v>
      </c>
      <c r="C857" t="s">
        <v>30</v>
      </c>
      <c r="D857" t="s">
        <v>157</v>
      </c>
      <c r="E857" t="s">
        <v>15</v>
      </c>
      <c r="F857" t="s">
        <v>35</v>
      </c>
      <c r="G857" t="s">
        <v>1661</v>
      </c>
      <c r="H857" t="s">
        <v>1662</v>
      </c>
      <c r="J857" t="s">
        <v>1663</v>
      </c>
      <c r="K857" t="s">
        <v>1664</v>
      </c>
      <c r="L857" t="s">
        <v>28</v>
      </c>
    </row>
    <row r="858" spans="1:12" x14ac:dyDescent="0.35">
      <c r="A858">
        <v>329</v>
      </c>
      <c r="B858" s="25" t="s">
        <v>1665</v>
      </c>
      <c r="C858" t="s">
        <v>30</v>
      </c>
      <c r="D858" t="s">
        <v>157</v>
      </c>
      <c r="E858" t="s">
        <v>15</v>
      </c>
      <c r="F858" t="s">
        <v>35</v>
      </c>
      <c r="G858" t="s">
        <v>1661</v>
      </c>
      <c r="H858" t="s">
        <v>1662</v>
      </c>
      <c r="J858" t="s">
        <v>1663</v>
      </c>
      <c r="K858" t="s">
        <v>1664</v>
      </c>
      <c r="L858" t="s">
        <v>28</v>
      </c>
    </row>
    <row r="859" spans="1:12" x14ac:dyDescent="0.35">
      <c r="A859">
        <v>329</v>
      </c>
      <c r="B859" s="12" t="s">
        <v>1666</v>
      </c>
      <c r="C859" t="s">
        <v>33</v>
      </c>
      <c r="D859" t="s">
        <v>157</v>
      </c>
      <c r="E859" t="s">
        <v>15</v>
      </c>
      <c r="F859" t="s">
        <v>35</v>
      </c>
      <c r="G859" t="s">
        <v>1661</v>
      </c>
      <c r="H859" t="s">
        <v>1662</v>
      </c>
      <c r="J859" t="s">
        <v>1663</v>
      </c>
      <c r="K859" t="s">
        <v>1664</v>
      </c>
      <c r="L859" t="s">
        <v>28</v>
      </c>
    </row>
    <row r="860" spans="1:12" x14ac:dyDescent="0.35">
      <c r="A860">
        <v>329</v>
      </c>
      <c r="B860" s="25" t="s">
        <v>1667</v>
      </c>
      <c r="C860" t="s">
        <v>30</v>
      </c>
      <c r="D860" t="s">
        <v>196</v>
      </c>
      <c r="E860" t="s">
        <v>15</v>
      </c>
      <c r="F860" t="s">
        <v>35</v>
      </c>
      <c r="G860" t="s">
        <v>1661</v>
      </c>
      <c r="H860" t="s">
        <v>1662</v>
      </c>
      <c r="J860" t="s">
        <v>1663</v>
      </c>
      <c r="K860" t="s">
        <v>1664</v>
      </c>
      <c r="L860" t="s">
        <v>28</v>
      </c>
    </row>
    <row r="861" spans="1:12" x14ac:dyDescent="0.35">
      <c r="A861">
        <v>329</v>
      </c>
      <c r="B861" s="6" t="s">
        <v>1668</v>
      </c>
      <c r="C861" t="s">
        <v>33</v>
      </c>
      <c r="D861" t="s">
        <v>196</v>
      </c>
      <c r="E861" t="s">
        <v>15</v>
      </c>
      <c r="F861" t="s">
        <v>35</v>
      </c>
      <c r="G861" t="s">
        <v>1661</v>
      </c>
      <c r="H861" t="s">
        <v>1662</v>
      </c>
      <c r="J861" t="s">
        <v>1663</v>
      </c>
      <c r="K861" t="s">
        <v>1664</v>
      </c>
      <c r="L861" t="s">
        <v>28</v>
      </c>
    </row>
    <row r="862" spans="1:12" x14ac:dyDescent="0.35">
      <c r="A862">
        <v>329</v>
      </c>
      <c r="B862" s="6" t="s">
        <v>1669</v>
      </c>
      <c r="C862" t="s">
        <v>33</v>
      </c>
      <c r="D862" t="s">
        <v>196</v>
      </c>
      <c r="E862" t="s">
        <v>15</v>
      </c>
      <c r="F862" t="s">
        <v>35</v>
      </c>
      <c r="G862" t="s">
        <v>1661</v>
      </c>
      <c r="H862" t="s">
        <v>1662</v>
      </c>
      <c r="J862" t="s">
        <v>1663</v>
      </c>
      <c r="K862" t="s">
        <v>1664</v>
      </c>
      <c r="L862" t="s">
        <v>28</v>
      </c>
    </row>
    <row r="863" spans="1:12" x14ac:dyDescent="0.35">
      <c r="A863">
        <v>329</v>
      </c>
      <c r="B863" s="25" t="s">
        <v>1670</v>
      </c>
      <c r="C863" t="s">
        <v>30</v>
      </c>
      <c r="D863" t="s">
        <v>1659</v>
      </c>
      <c r="E863" t="s">
        <v>15</v>
      </c>
      <c r="F863" t="s">
        <v>35</v>
      </c>
      <c r="G863" t="s">
        <v>1661</v>
      </c>
      <c r="H863" t="s">
        <v>1662</v>
      </c>
      <c r="J863" t="s">
        <v>1663</v>
      </c>
      <c r="K863" t="s">
        <v>1664</v>
      </c>
      <c r="L863" t="s">
        <v>28</v>
      </c>
    </row>
    <row r="864" spans="1:12" x14ac:dyDescent="0.35">
      <c r="A864">
        <v>323</v>
      </c>
      <c r="B864" s="23" t="s">
        <v>107</v>
      </c>
      <c r="C864" t="s">
        <v>30</v>
      </c>
      <c r="D864" t="s">
        <v>108</v>
      </c>
      <c r="E864" t="s">
        <v>15</v>
      </c>
      <c r="F864" t="s">
        <v>35</v>
      </c>
      <c r="G864" t="s">
        <v>1671</v>
      </c>
      <c r="H864" t="s">
        <v>248</v>
      </c>
      <c r="J864" t="s">
        <v>1672</v>
      </c>
      <c r="K864" t="s">
        <v>1664</v>
      </c>
      <c r="L864" t="s">
        <v>28</v>
      </c>
    </row>
    <row r="865" spans="1:12" x14ac:dyDescent="0.35">
      <c r="A865">
        <v>323</v>
      </c>
      <c r="B865" s="23" t="s">
        <v>1673</v>
      </c>
      <c r="C865" t="s">
        <v>30</v>
      </c>
      <c r="D865" t="s">
        <v>34</v>
      </c>
      <c r="E865" t="s">
        <v>15</v>
      </c>
      <c r="F865" t="s">
        <v>35</v>
      </c>
      <c r="G865" t="s">
        <v>1671</v>
      </c>
      <c r="H865" t="s">
        <v>248</v>
      </c>
      <c r="J865" t="s">
        <v>1672</v>
      </c>
      <c r="K865" t="s">
        <v>1664</v>
      </c>
      <c r="L865" t="s">
        <v>28</v>
      </c>
    </row>
    <row r="866" spans="1:12" x14ac:dyDescent="0.35">
      <c r="A866">
        <v>323</v>
      </c>
      <c r="B866" s="23" t="s">
        <v>1674</v>
      </c>
      <c r="C866" t="s">
        <v>30</v>
      </c>
      <c r="D866" t="s">
        <v>38</v>
      </c>
      <c r="E866" t="s">
        <v>15</v>
      </c>
      <c r="F866" t="s">
        <v>35</v>
      </c>
      <c r="G866" t="s">
        <v>1671</v>
      </c>
      <c r="H866" t="s">
        <v>248</v>
      </c>
      <c r="J866" t="s">
        <v>1672</v>
      </c>
      <c r="K866" t="s">
        <v>1664</v>
      </c>
      <c r="L866" t="s">
        <v>28</v>
      </c>
    </row>
    <row r="867" spans="1:12" x14ac:dyDescent="0.35">
      <c r="A867">
        <v>305</v>
      </c>
      <c r="B867" s="16" t="s">
        <v>1675</v>
      </c>
      <c r="C867" t="s">
        <v>22</v>
      </c>
      <c r="D867" t="s">
        <v>1656</v>
      </c>
      <c r="E867" t="s">
        <v>15</v>
      </c>
      <c r="F867" t="s">
        <v>24</v>
      </c>
      <c r="G867" t="s">
        <v>1676</v>
      </c>
      <c r="H867" t="s">
        <v>589</v>
      </c>
      <c r="I867" t="s">
        <v>266</v>
      </c>
      <c r="J867" t="s">
        <v>1677</v>
      </c>
      <c r="K867" t="s">
        <v>1678</v>
      </c>
      <c r="L867" t="s">
        <v>20</v>
      </c>
    </row>
    <row r="868" spans="1:12" x14ac:dyDescent="0.35">
      <c r="A868">
        <v>305</v>
      </c>
      <c r="B868" s="3" t="s">
        <v>1559</v>
      </c>
      <c r="C868" t="s">
        <v>33</v>
      </c>
      <c r="D868" t="s">
        <v>34</v>
      </c>
      <c r="E868" t="s">
        <v>15</v>
      </c>
      <c r="F868" t="s">
        <v>33</v>
      </c>
      <c r="G868" t="s">
        <v>1676</v>
      </c>
      <c r="H868" t="s">
        <v>589</v>
      </c>
      <c r="I868" t="s">
        <v>266</v>
      </c>
      <c r="J868" t="s">
        <v>1677</v>
      </c>
      <c r="L868" t="s">
        <v>20</v>
      </c>
    </row>
    <row r="869" spans="1:12" x14ac:dyDescent="0.35">
      <c r="A869">
        <v>305</v>
      </c>
      <c r="B869" s="3" t="s">
        <v>1559</v>
      </c>
      <c r="C869" t="s">
        <v>33</v>
      </c>
      <c r="D869" t="s">
        <v>34</v>
      </c>
      <c r="E869" t="s">
        <v>15</v>
      </c>
      <c r="F869" t="s">
        <v>24</v>
      </c>
      <c r="G869" t="s">
        <v>1676</v>
      </c>
      <c r="H869" t="s">
        <v>589</v>
      </c>
      <c r="I869" t="s">
        <v>266</v>
      </c>
      <c r="J869" t="s">
        <v>1679</v>
      </c>
      <c r="K869" t="s">
        <v>1680</v>
      </c>
      <c r="L869" t="s">
        <v>20</v>
      </c>
    </row>
    <row r="870" spans="1:12" x14ac:dyDescent="0.35">
      <c r="A870">
        <v>305</v>
      </c>
      <c r="B870" s="3" t="s">
        <v>1681</v>
      </c>
      <c r="C870" t="s">
        <v>33</v>
      </c>
      <c r="D870" t="s">
        <v>34</v>
      </c>
      <c r="E870" t="s">
        <v>15</v>
      </c>
      <c r="F870" t="s">
        <v>24</v>
      </c>
      <c r="G870" t="s">
        <v>1676</v>
      </c>
      <c r="H870" t="s">
        <v>589</v>
      </c>
      <c r="I870" t="s">
        <v>266</v>
      </c>
      <c r="J870" t="s">
        <v>1682</v>
      </c>
      <c r="L870" t="s">
        <v>20</v>
      </c>
    </row>
    <row r="871" spans="1:12" x14ac:dyDescent="0.35">
      <c r="A871">
        <v>302</v>
      </c>
      <c r="B871" s="5" t="s">
        <v>150</v>
      </c>
      <c r="C871" t="s">
        <v>33</v>
      </c>
      <c r="D871" t="s">
        <v>108</v>
      </c>
      <c r="E871" t="s">
        <v>15</v>
      </c>
      <c r="F871" t="s">
        <v>35</v>
      </c>
      <c r="G871" t="s">
        <v>1683</v>
      </c>
      <c r="H871" t="s">
        <v>1684</v>
      </c>
      <c r="J871" t="s">
        <v>1685</v>
      </c>
      <c r="K871" t="s">
        <v>1686</v>
      </c>
      <c r="L871" t="s">
        <v>45</v>
      </c>
    </row>
  </sheetData>
  <autoFilter ref="A1:L87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C160A-48A0-4A43-B467-95B75AB60184}">
  <dimension ref="A1:C54"/>
  <sheetViews>
    <sheetView workbookViewId="0">
      <selection activeCell="B54" sqref="B54"/>
    </sheetView>
  </sheetViews>
  <sheetFormatPr defaultColWidth="9.1796875" defaultRowHeight="14" x14ac:dyDescent="0.3"/>
  <cols>
    <col min="1" max="1" width="18.54296875" style="14" bestFit="1" customWidth="1"/>
    <col min="2" max="2" width="105" style="14" bestFit="1" customWidth="1"/>
    <col min="3" max="3" width="11.26953125" style="14" bestFit="1" customWidth="1"/>
    <col min="4" max="16384" width="9.1796875" style="14"/>
  </cols>
  <sheetData>
    <row r="1" spans="1:3" x14ac:dyDescent="0.3">
      <c r="A1" s="55" t="s">
        <v>1709</v>
      </c>
      <c r="B1" s="55" t="s">
        <v>1708</v>
      </c>
      <c r="C1" s="55" t="s">
        <v>1694</v>
      </c>
    </row>
    <row r="2" spans="1:3" x14ac:dyDescent="0.3">
      <c r="A2" s="46" t="s">
        <v>30</v>
      </c>
      <c r="B2" s="44" t="s">
        <v>1702</v>
      </c>
      <c r="C2" s="22">
        <v>138</v>
      </c>
    </row>
    <row r="3" spans="1:3" x14ac:dyDescent="0.3">
      <c r="A3" s="46" t="s">
        <v>1687</v>
      </c>
      <c r="B3" s="27" t="s">
        <v>352</v>
      </c>
      <c r="C3" s="22">
        <v>95</v>
      </c>
    </row>
    <row r="4" spans="1:3" x14ac:dyDescent="0.3">
      <c r="A4" s="46" t="s">
        <v>1687</v>
      </c>
      <c r="B4" s="28" t="s">
        <v>144</v>
      </c>
      <c r="C4" s="22">
        <v>61</v>
      </c>
    </row>
    <row r="5" spans="1:3" x14ac:dyDescent="0.3">
      <c r="A5" s="46" t="s">
        <v>22</v>
      </c>
      <c r="B5" s="49" t="s">
        <v>91</v>
      </c>
      <c r="C5" s="22">
        <v>58</v>
      </c>
    </row>
    <row r="6" spans="1:3" x14ac:dyDescent="0.3">
      <c r="A6" s="46" t="s">
        <v>1687</v>
      </c>
      <c r="B6" s="30" t="s">
        <v>1690</v>
      </c>
      <c r="C6" s="22">
        <v>30</v>
      </c>
    </row>
    <row r="7" spans="1:3" x14ac:dyDescent="0.3">
      <c r="A7" s="46" t="s">
        <v>1687</v>
      </c>
      <c r="B7" s="31" t="s">
        <v>405</v>
      </c>
      <c r="C7" s="22">
        <v>30</v>
      </c>
    </row>
    <row r="8" spans="1:3" x14ac:dyDescent="0.3">
      <c r="A8" s="46" t="s">
        <v>22</v>
      </c>
      <c r="B8" s="50" t="s">
        <v>22</v>
      </c>
      <c r="C8" s="22">
        <v>29</v>
      </c>
    </row>
    <row r="9" spans="1:3" x14ac:dyDescent="0.3">
      <c r="A9" s="46" t="s">
        <v>30</v>
      </c>
      <c r="B9" s="38" t="s">
        <v>1703</v>
      </c>
      <c r="C9" s="22">
        <v>29</v>
      </c>
    </row>
    <row r="10" spans="1:3" x14ac:dyDescent="0.3">
      <c r="A10" s="46" t="s">
        <v>1687</v>
      </c>
      <c r="B10" s="29" t="s">
        <v>145</v>
      </c>
      <c r="C10" s="22">
        <v>26</v>
      </c>
    </row>
    <row r="11" spans="1:3" x14ac:dyDescent="0.3">
      <c r="A11" s="46" t="s">
        <v>13</v>
      </c>
      <c r="B11" s="28" t="s">
        <v>12</v>
      </c>
      <c r="C11" s="22">
        <v>26</v>
      </c>
    </row>
    <row r="12" spans="1:3" x14ac:dyDescent="0.3">
      <c r="A12" s="46" t="s">
        <v>1695</v>
      </c>
      <c r="B12" s="38" t="s">
        <v>49</v>
      </c>
      <c r="C12" s="22">
        <v>24</v>
      </c>
    </row>
    <row r="13" spans="1:3" x14ac:dyDescent="0.3">
      <c r="A13" s="46" t="s">
        <v>13</v>
      </c>
      <c r="B13" s="48" t="s">
        <v>1706</v>
      </c>
      <c r="C13" s="22">
        <v>23</v>
      </c>
    </row>
    <row r="14" spans="1:3" x14ac:dyDescent="0.3">
      <c r="A14" s="46" t="s">
        <v>30</v>
      </c>
      <c r="B14" s="45" t="s">
        <v>1701</v>
      </c>
      <c r="C14" s="22">
        <v>16</v>
      </c>
    </row>
    <row r="15" spans="1:3" x14ac:dyDescent="0.3">
      <c r="A15" s="46" t="s">
        <v>1687</v>
      </c>
      <c r="B15" s="32" t="s">
        <v>411</v>
      </c>
      <c r="C15" s="22">
        <v>15</v>
      </c>
    </row>
    <row r="16" spans="1:3" x14ac:dyDescent="0.3">
      <c r="A16" s="46" t="s">
        <v>22</v>
      </c>
      <c r="B16" s="51" t="s">
        <v>24</v>
      </c>
      <c r="C16" s="22">
        <v>14</v>
      </c>
    </row>
    <row r="17" spans="1:3" ht="15" customHeight="1" x14ac:dyDescent="0.3">
      <c r="A17" s="46" t="s">
        <v>13</v>
      </c>
      <c r="B17" s="47" t="s">
        <v>1705</v>
      </c>
      <c r="C17" s="22">
        <v>14</v>
      </c>
    </row>
    <row r="18" spans="1:3" x14ac:dyDescent="0.3">
      <c r="A18" s="46" t="s">
        <v>30</v>
      </c>
      <c r="B18" s="30" t="s">
        <v>1699</v>
      </c>
      <c r="C18" s="22">
        <v>13</v>
      </c>
    </row>
    <row r="19" spans="1:3" x14ac:dyDescent="0.3">
      <c r="A19" s="46" t="s">
        <v>30</v>
      </c>
      <c r="B19" s="29" t="s">
        <v>119</v>
      </c>
      <c r="C19" s="22">
        <v>13</v>
      </c>
    </row>
    <row r="20" spans="1:3" x14ac:dyDescent="0.3">
      <c r="A20" s="46" t="s">
        <v>13</v>
      </c>
      <c r="B20" s="49" t="s">
        <v>1707</v>
      </c>
      <c r="C20" s="22">
        <v>13</v>
      </c>
    </row>
    <row r="21" spans="1:3" x14ac:dyDescent="0.3">
      <c r="A21" s="46" t="s">
        <v>30</v>
      </c>
      <c r="B21" s="36" t="s">
        <v>1704</v>
      </c>
      <c r="C21" s="22">
        <v>12</v>
      </c>
    </row>
    <row r="22" spans="1:3" x14ac:dyDescent="0.3">
      <c r="A22" s="46" t="s">
        <v>30</v>
      </c>
      <c r="B22" s="39" t="s">
        <v>175</v>
      </c>
      <c r="C22" s="22">
        <v>11</v>
      </c>
    </row>
    <row r="23" spans="1:3" ht="14.25" customHeight="1" x14ac:dyDescent="0.3">
      <c r="A23" s="46" t="s">
        <v>22</v>
      </c>
      <c r="B23" s="52" t="s">
        <v>1696</v>
      </c>
      <c r="C23" s="22">
        <v>10</v>
      </c>
    </row>
    <row r="24" spans="1:3" x14ac:dyDescent="0.3">
      <c r="A24" s="46" t="s">
        <v>30</v>
      </c>
      <c r="B24" s="40" t="s">
        <v>1700</v>
      </c>
      <c r="C24" s="22">
        <v>10</v>
      </c>
    </row>
    <row r="25" spans="1:3" x14ac:dyDescent="0.3">
      <c r="A25" s="46" t="s">
        <v>1695</v>
      </c>
      <c r="B25" s="31" t="s">
        <v>1596</v>
      </c>
      <c r="C25" s="22">
        <v>7</v>
      </c>
    </row>
    <row r="26" spans="1:3" x14ac:dyDescent="0.3">
      <c r="A26" s="46" t="s">
        <v>22</v>
      </c>
      <c r="B26" s="54" t="s">
        <v>1698</v>
      </c>
      <c r="C26" s="22">
        <v>7</v>
      </c>
    </row>
    <row r="27" spans="1:3" x14ac:dyDescent="0.3">
      <c r="A27" s="46" t="s">
        <v>1687</v>
      </c>
      <c r="B27" s="33" t="s">
        <v>1691</v>
      </c>
      <c r="C27" s="22">
        <v>6</v>
      </c>
    </row>
    <row r="28" spans="1:3" x14ac:dyDescent="0.3">
      <c r="A28" s="46" t="s">
        <v>1687</v>
      </c>
      <c r="B28" s="34" t="s">
        <v>1688</v>
      </c>
      <c r="C28" s="22">
        <v>6</v>
      </c>
    </row>
    <row r="29" spans="1:3" x14ac:dyDescent="0.3">
      <c r="A29" s="46" t="s">
        <v>1687</v>
      </c>
      <c r="B29" s="36" t="s">
        <v>1692</v>
      </c>
      <c r="C29" s="22">
        <v>5</v>
      </c>
    </row>
    <row r="30" spans="1:3" x14ac:dyDescent="0.3">
      <c r="A30" s="46" t="s">
        <v>1687</v>
      </c>
      <c r="B30" s="35" t="s">
        <v>1689</v>
      </c>
      <c r="C30" s="22">
        <v>4</v>
      </c>
    </row>
    <row r="31" spans="1:3" x14ac:dyDescent="0.3">
      <c r="A31" s="46" t="s">
        <v>1687</v>
      </c>
      <c r="B31" s="37" t="s">
        <v>1693</v>
      </c>
      <c r="C31" s="22">
        <v>2</v>
      </c>
    </row>
    <row r="32" spans="1:3" x14ac:dyDescent="0.3">
      <c r="A32" s="46" t="s">
        <v>22</v>
      </c>
      <c r="B32" s="53" t="s">
        <v>1697</v>
      </c>
      <c r="C32" s="22">
        <v>2</v>
      </c>
    </row>
    <row r="44" spans="2:2" x14ac:dyDescent="0.3">
      <c r="B44" s="14" t="s">
        <v>3496</v>
      </c>
    </row>
    <row r="54" spans="2:2" ht="15" x14ac:dyDescent="0.4">
      <c r="B54" s="83" t="s">
        <v>3497</v>
      </c>
    </row>
  </sheetData>
  <autoFilter ref="A1:C32" xr:uid="{A6AC160A-48A0-4A43-B467-95B75AB60184}">
    <sortState xmlns:xlrd2="http://schemas.microsoft.com/office/spreadsheetml/2017/richdata2" ref="A2:C32">
      <sortCondition descending="1" ref="C1:C32"/>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7A705-E177-414C-A52A-13B92BC8688A}">
  <sheetPr filterMode="1"/>
  <dimension ref="A1:K788"/>
  <sheetViews>
    <sheetView workbookViewId="0">
      <selection activeCell="B109" sqref="B109"/>
    </sheetView>
  </sheetViews>
  <sheetFormatPr defaultRowHeight="14.5" x14ac:dyDescent="0.35"/>
  <cols>
    <col min="2" max="2" width="29.26953125" customWidth="1"/>
    <col min="3" max="3" width="22.36328125" bestFit="1" customWidth="1"/>
  </cols>
  <sheetData>
    <row r="1" spans="1:11" s="1" customFormat="1" x14ac:dyDescent="0.35">
      <c r="A1" s="1" t="s">
        <v>0</v>
      </c>
      <c r="B1" s="1" t="s">
        <v>1</v>
      </c>
      <c r="C1" s="1" t="s">
        <v>2</v>
      </c>
      <c r="D1" s="1" t="s">
        <v>3</v>
      </c>
      <c r="E1" s="1" t="s">
        <v>4</v>
      </c>
      <c r="F1" s="1" t="s">
        <v>5</v>
      </c>
      <c r="G1" s="1" t="s">
        <v>6</v>
      </c>
      <c r="H1" s="1" t="s">
        <v>7</v>
      </c>
      <c r="I1" s="1" t="s">
        <v>8</v>
      </c>
      <c r="J1" s="1" t="s">
        <v>9</v>
      </c>
      <c r="K1" s="1" t="s">
        <v>10</v>
      </c>
    </row>
    <row r="2" spans="1:11" hidden="1" x14ac:dyDescent="0.35">
      <c r="A2">
        <v>17</v>
      </c>
      <c r="B2" t="s">
        <v>1710</v>
      </c>
      <c r="C2" t="s">
        <v>1711</v>
      </c>
      <c r="D2" t="s">
        <v>1712</v>
      </c>
      <c r="E2" t="s">
        <v>1713</v>
      </c>
      <c r="F2" t="s">
        <v>1714</v>
      </c>
      <c r="G2" t="s">
        <v>63</v>
      </c>
      <c r="H2" t="s">
        <v>1715</v>
      </c>
      <c r="J2" t="s">
        <v>1716</v>
      </c>
    </row>
    <row r="3" spans="1:11" hidden="1" x14ac:dyDescent="0.35">
      <c r="A3">
        <v>17</v>
      </c>
      <c r="B3" s="17" t="s">
        <v>1717</v>
      </c>
      <c r="C3" t="s">
        <v>1374</v>
      </c>
      <c r="D3" t="s">
        <v>1718</v>
      </c>
      <c r="E3" t="s">
        <v>1713</v>
      </c>
      <c r="F3" t="s">
        <v>1374</v>
      </c>
      <c r="G3" t="s">
        <v>63</v>
      </c>
      <c r="H3" t="s">
        <v>1715</v>
      </c>
      <c r="J3" t="s">
        <v>1719</v>
      </c>
    </row>
    <row r="4" spans="1:11" hidden="1" x14ac:dyDescent="0.35">
      <c r="A4">
        <v>17</v>
      </c>
      <c r="B4" s="59" t="s">
        <v>1720</v>
      </c>
      <c r="C4" t="s">
        <v>1374</v>
      </c>
      <c r="D4" t="s">
        <v>1721</v>
      </c>
      <c r="E4" t="s">
        <v>1713</v>
      </c>
      <c r="F4" t="s">
        <v>1374</v>
      </c>
      <c r="G4" t="s">
        <v>63</v>
      </c>
      <c r="H4" t="s">
        <v>1715</v>
      </c>
      <c r="J4" t="s">
        <v>1722</v>
      </c>
    </row>
    <row r="5" spans="1:11" hidden="1" x14ac:dyDescent="0.35">
      <c r="A5">
        <v>17</v>
      </c>
      <c r="B5" s="59" t="s">
        <v>1723</v>
      </c>
      <c r="C5" t="s">
        <v>1374</v>
      </c>
      <c r="D5" t="s">
        <v>1724</v>
      </c>
      <c r="E5" t="s">
        <v>1713</v>
      </c>
      <c r="F5" t="s">
        <v>1374</v>
      </c>
      <c r="G5" t="s">
        <v>63</v>
      </c>
      <c r="H5" t="s">
        <v>1715</v>
      </c>
      <c r="J5" t="s">
        <v>1722</v>
      </c>
    </row>
    <row r="6" spans="1:11" hidden="1" x14ac:dyDescent="0.35">
      <c r="A6">
        <v>84</v>
      </c>
      <c r="B6" s="17" t="s">
        <v>1725</v>
      </c>
      <c r="C6" t="s">
        <v>1374</v>
      </c>
      <c r="D6" t="s">
        <v>1726</v>
      </c>
      <c r="E6" t="s">
        <v>1713</v>
      </c>
      <c r="F6" t="s">
        <v>1374</v>
      </c>
      <c r="G6" t="s">
        <v>42</v>
      </c>
      <c r="H6" t="s">
        <v>1727</v>
      </c>
      <c r="J6" t="s">
        <v>154</v>
      </c>
    </row>
    <row r="7" spans="1:11" hidden="1" x14ac:dyDescent="0.35">
      <c r="A7">
        <v>187</v>
      </c>
      <c r="B7" t="s">
        <v>1728</v>
      </c>
      <c r="C7" t="s">
        <v>1711</v>
      </c>
      <c r="D7" t="s">
        <v>1729</v>
      </c>
      <c r="E7" t="s">
        <v>1713</v>
      </c>
      <c r="F7" t="s">
        <v>1714</v>
      </c>
      <c r="G7" t="s">
        <v>63</v>
      </c>
      <c r="H7" t="s">
        <v>1730</v>
      </c>
      <c r="J7" t="s">
        <v>1731</v>
      </c>
    </row>
    <row r="8" spans="1:11" hidden="1" x14ac:dyDescent="0.35">
      <c r="A8">
        <v>187</v>
      </c>
      <c r="B8" t="s">
        <v>1710</v>
      </c>
      <c r="C8" t="s">
        <v>1711</v>
      </c>
      <c r="D8" t="s">
        <v>1732</v>
      </c>
      <c r="E8" t="s">
        <v>1713</v>
      </c>
      <c r="F8" t="s">
        <v>1714</v>
      </c>
      <c r="G8" t="s">
        <v>63</v>
      </c>
      <c r="H8" t="s">
        <v>1730</v>
      </c>
      <c r="J8" t="s">
        <v>1731</v>
      </c>
    </row>
    <row r="9" spans="1:11" hidden="1" x14ac:dyDescent="0.35">
      <c r="A9">
        <v>287</v>
      </c>
      <c r="B9" s="67" t="s">
        <v>1733</v>
      </c>
      <c r="C9" t="s">
        <v>137</v>
      </c>
      <c r="D9" t="s">
        <v>1734</v>
      </c>
      <c r="E9" t="s">
        <v>1713</v>
      </c>
      <c r="F9" t="s">
        <v>57</v>
      </c>
      <c r="G9" t="s">
        <v>25</v>
      </c>
      <c r="H9" t="s">
        <v>178</v>
      </c>
      <c r="J9" t="s">
        <v>179</v>
      </c>
    </row>
    <row r="10" spans="1:11" hidden="1" x14ac:dyDescent="0.35">
      <c r="A10">
        <v>287</v>
      </c>
      <c r="B10" s="59" t="s">
        <v>1735</v>
      </c>
      <c r="C10" t="s">
        <v>1374</v>
      </c>
      <c r="D10" t="s">
        <v>1736</v>
      </c>
      <c r="E10" t="s">
        <v>1713</v>
      </c>
      <c r="F10" t="s">
        <v>1374</v>
      </c>
      <c r="G10" t="s">
        <v>25</v>
      </c>
      <c r="H10" t="s">
        <v>178</v>
      </c>
      <c r="J10" t="s">
        <v>179</v>
      </c>
    </row>
    <row r="11" spans="1:11" hidden="1" x14ac:dyDescent="0.35">
      <c r="A11">
        <v>398</v>
      </c>
      <c r="B11" t="s">
        <v>1737</v>
      </c>
      <c r="C11" t="s">
        <v>1711</v>
      </c>
      <c r="D11" t="s">
        <v>210</v>
      </c>
      <c r="E11" t="s">
        <v>1713</v>
      </c>
      <c r="F11" t="s">
        <v>1714</v>
      </c>
      <c r="G11" t="s">
        <v>63</v>
      </c>
      <c r="H11" t="s">
        <v>236</v>
      </c>
      <c r="J11" t="s">
        <v>237</v>
      </c>
    </row>
    <row r="12" spans="1:11" hidden="1" x14ac:dyDescent="0.35">
      <c r="A12">
        <v>398</v>
      </c>
      <c r="B12" s="17" t="s">
        <v>1717</v>
      </c>
      <c r="C12" t="s">
        <v>1374</v>
      </c>
      <c r="D12" t="s">
        <v>1718</v>
      </c>
      <c r="E12" t="s">
        <v>1713</v>
      </c>
      <c r="F12" t="s">
        <v>1374</v>
      </c>
      <c r="G12" t="s">
        <v>63</v>
      </c>
      <c r="H12" t="s">
        <v>236</v>
      </c>
      <c r="J12" t="s">
        <v>237</v>
      </c>
    </row>
    <row r="13" spans="1:11" hidden="1" x14ac:dyDescent="0.35">
      <c r="A13">
        <v>398</v>
      </c>
      <c r="B13" s="62" t="s">
        <v>1738</v>
      </c>
      <c r="C13" t="s">
        <v>766</v>
      </c>
      <c r="D13" t="s">
        <v>34</v>
      </c>
      <c r="E13" t="s">
        <v>1713</v>
      </c>
      <c r="F13" t="s">
        <v>766</v>
      </c>
      <c r="G13" t="s">
        <v>63</v>
      </c>
      <c r="H13" t="s">
        <v>236</v>
      </c>
      <c r="J13" t="s">
        <v>237</v>
      </c>
    </row>
    <row r="14" spans="1:11" hidden="1" x14ac:dyDescent="0.35">
      <c r="A14">
        <v>398</v>
      </c>
      <c r="B14" s="19" t="s">
        <v>1739</v>
      </c>
      <c r="C14" t="s">
        <v>1374</v>
      </c>
      <c r="D14" t="s">
        <v>34</v>
      </c>
      <c r="E14" t="s">
        <v>1713</v>
      </c>
      <c r="F14" t="s">
        <v>1374</v>
      </c>
      <c r="G14" t="s">
        <v>63</v>
      </c>
      <c r="H14" t="s">
        <v>236</v>
      </c>
      <c r="J14" t="s">
        <v>237</v>
      </c>
    </row>
    <row r="15" spans="1:11" hidden="1" x14ac:dyDescent="0.35">
      <c r="A15">
        <v>398</v>
      </c>
      <c r="B15" s="59" t="s">
        <v>1740</v>
      </c>
      <c r="C15" t="s">
        <v>1374</v>
      </c>
      <c r="D15" t="s">
        <v>1741</v>
      </c>
      <c r="E15" t="s">
        <v>1713</v>
      </c>
      <c r="F15" t="s">
        <v>1374</v>
      </c>
      <c r="G15" t="s">
        <v>63</v>
      </c>
      <c r="H15" t="s">
        <v>236</v>
      </c>
      <c r="J15" t="s">
        <v>237</v>
      </c>
    </row>
    <row r="16" spans="1:11" hidden="1" x14ac:dyDescent="0.35">
      <c r="A16">
        <v>438</v>
      </c>
      <c r="B16" s="2" t="s">
        <v>1742</v>
      </c>
      <c r="C16" t="s">
        <v>766</v>
      </c>
      <c r="D16" t="s">
        <v>1743</v>
      </c>
      <c r="E16" t="s">
        <v>1713</v>
      </c>
      <c r="F16" t="s">
        <v>766</v>
      </c>
      <c r="G16" t="s">
        <v>247</v>
      </c>
      <c r="H16" t="s">
        <v>1744</v>
      </c>
      <c r="J16" t="s">
        <v>1745</v>
      </c>
    </row>
    <row r="17" spans="1:10" hidden="1" x14ac:dyDescent="0.35">
      <c r="A17">
        <v>438</v>
      </c>
      <c r="B17" s="58" t="s">
        <v>1746</v>
      </c>
      <c r="C17" t="s">
        <v>766</v>
      </c>
      <c r="D17" t="s">
        <v>1747</v>
      </c>
      <c r="E17" t="s">
        <v>1713</v>
      </c>
      <c r="F17" t="s">
        <v>766</v>
      </c>
      <c r="G17" t="s">
        <v>247</v>
      </c>
      <c r="H17" t="s">
        <v>1744</v>
      </c>
      <c r="J17" t="s">
        <v>1745</v>
      </c>
    </row>
    <row r="18" spans="1:10" hidden="1" x14ac:dyDescent="0.35">
      <c r="A18">
        <v>438</v>
      </c>
      <c r="B18" s="24" t="s">
        <v>1748</v>
      </c>
      <c r="C18" t="s">
        <v>766</v>
      </c>
      <c r="D18" t="s">
        <v>1749</v>
      </c>
      <c r="E18" t="s">
        <v>1713</v>
      </c>
      <c r="F18" t="s">
        <v>766</v>
      </c>
      <c r="G18" t="s">
        <v>247</v>
      </c>
      <c r="H18" t="s">
        <v>1744</v>
      </c>
      <c r="J18" t="s">
        <v>1745</v>
      </c>
    </row>
    <row r="19" spans="1:10" hidden="1" x14ac:dyDescent="0.35">
      <c r="A19">
        <v>438</v>
      </c>
      <c r="B19" s="64" t="s">
        <v>1750</v>
      </c>
      <c r="C19" t="s">
        <v>766</v>
      </c>
      <c r="D19" t="s">
        <v>1751</v>
      </c>
      <c r="E19" t="s">
        <v>1713</v>
      </c>
      <c r="F19" t="s">
        <v>766</v>
      </c>
      <c r="G19" t="s">
        <v>247</v>
      </c>
      <c r="H19" t="s">
        <v>1744</v>
      </c>
      <c r="J19" t="s">
        <v>1745</v>
      </c>
    </row>
    <row r="20" spans="1:10" hidden="1" x14ac:dyDescent="0.35">
      <c r="A20">
        <v>438</v>
      </c>
      <c r="B20" s="64" t="s">
        <v>1752</v>
      </c>
      <c r="C20" t="s">
        <v>766</v>
      </c>
      <c r="D20" t="s">
        <v>1751</v>
      </c>
      <c r="E20" t="s">
        <v>1713</v>
      </c>
      <c r="F20" t="s">
        <v>766</v>
      </c>
      <c r="G20" t="s">
        <v>247</v>
      </c>
      <c r="H20" t="s">
        <v>1744</v>
      </c>
      <c r="J20" t="s">
        <v>1745</v>
      </c>
    </row>
    <row r="21" spans="1:10" hidden="1" x14ac:dyDescent="0.35">
      <c r="A21">
        <v>438</v>
      </c>
      <c r="B21" s="64" t="s">
        <v>1753</v>
      </c>
      <c r="C21" t="s">
        <v>766</v>
      </c>
      <c r="D21" t="s">
        <v>1749</v>
      </c>
      <c r="E21" t="s">
        <v>1713</v>
      </c>
      <c r="F21" t="s">
        <v>766</v>
      </c>
      <c r="G21" t="s">
        <v>247</v>
      </c>
      <c r="H21" t="s">
        <v>1744</v>
      </c>
      <c r="J21" t="s">
        <v>1745</v>
      </c>
    </row>
    <row r="22" spans="1:10" hidden="1" x14ac:dyDescent="0.35">
      <c r="A22">
        <v>438</v>
      </c>
      <c r="B22" s="64" t="s">
        <v>1754</v>
      </c>
      <c r="C22" t="s">
        <v>766</v>
      </c>
      <c r="D22" t="s">
        <v>1749</v>
      </c>
      <c r="E22" t="s">
        <v>1713</v>
      </c>
      <c r="F22" t="s">
        <v>766</v>
      </c>
      <c r="G22" t="s">
        <v>247</v>
      </c>
      <c r="H22" t="s">
        <v>1744</v>
      </c>
      <c r="J22" t="s">
        <v>1745</v>
      </c>
    </row>
    <row r="23" spans="1:10" hidden="1" x14ac:dyDescent="0.35">
      <c r="A23">
        <v>438</v>
      </c>
      <c r="B23" s="19" t="s">
        <v>1755</v>
      </c>
      <c r="C23" t="s">
        <v>766</v>
      </c>
      <c r="D23" t="s">
        <v>1756</v>
      </c>
      <c r="E23" t="s">
        <v>1713</v>
      </c>
      <c r="F23" t="s">
        <v>766</v>
      </c>
      <c r="G23" t="s">
        <v>247</v>
      </c>
      <c r="H23" t="s">
        <v>1744</v>
      </c>
      <c r="J23" t="s">
        <v>1745</v>
      </c>
    </row>
    <row r="24" spans="1:10" hidden="1" x14ac:dyDescent="0.35">
      <c r="A24">
        <v>438</v>
      </c>
      <c r="B24" t="s">
        <v>1757</v>
      </c>
      <c r="C24" t="s">
        <v>137</v>
      </c>
      <c r="D24" t="s">
        <v>34</v>
      </c>
      <c r="E24" t="s">
        <v>1713</v>
      </c>
      <c r="F24" t="s">
        <v>137</v>
      </c>
      <c r="G24" t="s">
        <v>247</v>
      </c>
      <c r="H24" t="s">
        <v>1744</v>
      </c>
      <c r="J24" t="s">
        <v>1745</v>
      </c>
    </row>
    <row r="25" spans="1:10" hidden="1" x14ac:dyDescent="0.35">
      <c r="A25">
        <v>438</v>
      </c>
      <c r="B25" s="67" t="s">
        <v>1758</v>
      </c>
      <c r="C25" t="s">
        <v>137</v>
      </c>
      <c r="D25" t="s">
        <v>1759</v>
      </c>
      <c r="E25" t="s">
        <v>1713</v>
      </c>
      <c r="F25" t="s">
        <v>57</v>
      </c>
      <c r="G25" t="s">
        <v>247</v>
      </c>
      <c r="H25" t="s">
        <v>1744</v>
      </c>
      <c r="J25" t="s">
        <v>1745</v>
      </c>
    </row>
    <row r="26" spans="1:10" hidden="1" x14ac:dyDescent="0.35">
      <c r="A26">
        <v>438</v>
      </c>
      <c r="B26" s="67" t="s">
        <v>1760</v>
      </c>
      <c r="C26" t="s">
        <v>137</v>
      </c>
      <c r="D26" t="s">
        <v>1761</v>
      </c>
      <c r="E26" t="s">
        <v>1713</v>
      </c>
      <c r="F26" t="s">
        <v>57</v>
      </c>
      <c r="G26" t="s">
        <v>247</v>
      </c>
      <c r="H26" t="s">
        <v>1744</v>
      </c>
      <c r="J26" t="s">
        <v>1745</v>
      </c>
    </row>
    <row r="27" spans="1:10" hidden="1" x14ac:dyDescent="0.35">
      <c r="A27">
        <v>438</v>
      </c>
      <c r="B27" s="67" t="s">
        <v>1762</v>
      </c>
      <c r="C27" t="s">
        <v>137</v>
      </c>
      <c r="D27" t="s">
        <v>1763</v>
      </c>
      <c r="E27" t="s">
        <v>1713</v>
      </c>
      <c r="F27" t="s">
        <v>57</v>
      </c>
      <c r="G27" t="s">
        <v>247</v>
      </c>
      <c r="H27" t="s">
        <v>1744</v>
      </c>
      <c r="J27" t="s">
        <v>1745</v>
      </c>
    </row>
    <row r="28" spans="1:10" hidden="1" x14ac:dyDescent="0.35">
      <c r="A28">
        <v>566</v>
      </c>
      <c r="B28" t="s">
        <v>1764</v>
      </c>
      <c r="C28" t="s">
        <v>1711</v>
      </c>
      <c r="D28" t="s">
        <v>157</v>
      </c>
      <c r="E28" t="s">
        <v>1713</v>
      </c>
      <c r="F28" t="s">
        <v>1714</v>
      </c>
      <c r="G28" t="s">
        <v>63</v>
      </c>
      <c r="H28" t="s">
        <v>1765</v>
      </c>
      <c r="J28" t="s">
        <v>312</v>
      </c>
    </row>
    <row r="29" spans="1:10" hidden="1" x14ac:dyDescent="0.35">
      <c r="A29">
        <v>566</v>
      </c>
      <c r="B29" s="24" t="s">
        <v>1766</v>
      </c>
      <c r="C29" t="s">
        <v>1374</v>
      </c>
      <c r="D29" t="s">
        <v>38</v>
      </c>
      <c r="E29" t="s">
        <v>1713</v>
      </c>
      <c r="F29" t="s">
        <v>1374</v>
      </c>
      <c r="G29" t="s">
        <v>1767</v>
      </c>
      <c r="H29" t="s">
        <v>1768</v>
      </c>
      <c r="J29" t="s">
        <v>312</v>
      </c>
    </row>
    <row r="30" spans="1:10" hidden="1" x14ac:dyDescent="0.35">
      <c r="A30">
        <v>566</v>
      </c>
      <c r="B30" s="59" t="s">
        <v>1769</v>
      </c>
      <c r="C30" t="s">
        <v>1374</v>
      </c>
      <c r="D30" t="s">
        <v>1770</v>
      </c>
      <c r="E30" t="s">
        <v>1713</v>
      </c>
      <c r="F30" t="s">
        <v>1374</v>
      </c>
      <c r="G30" t="s">
        <v>63</v>
      </c>
      <c r="H30" t="s">
        <v>1771</v>
      </c>
      <c r="J30" t="s">
        <v>312</v>
      </c>
    </row>
    <row r="31" spans="1:10" hidden="1" x14ac:dyDescent="0.35">
      <c r="A31">
        <v>566</v>
      </c>
      <c r="B31" s="67" t="s">
        <v>1733</v>
      </c>
      <c r="C31" t="s">
        <v>137</v>
      </c>
      <c r="D31" t="s">
        <v>1734</v>
      </c>
      <c r="E31" t="s">
        <v>1713</v>
      </c>
      <c r="F31" t="s">
        <v>57</v>
      </c>
      <c r="G31" t="s">
        <v>63</v>
      </c>
      <c r="H31" t="s">
        <v>77</v>
      </c>
      <c r="J31" t="s">
        <v>312</v>
      </c>
    </row>
    <row r="32" spans="1:10" hidden="1" x14ac:dyDescent="0.35">
      <c r="A32">
        <v>10</v>
      </c>
      <c r="B32" t="s">
        <v>1772</v>
      </c>
      <c r="C32" t="s">
        <v>1711</v>
      </c>
      <c r="D32" t="s">
        <v>1773</v>
      </c>
      <c r="E32" t="s">
        <v>1713</v>
      </c>
      <c r="F32" t="s">
        <v>1714</v>
      </c>
      <c r="G32" t="s">
        <v>1774</v>
      </c>
      <c r="H32" t="s">
        <v>338</v>
      </c>
      <c r="J32" t="s">
        <v>1775</v>
      </c>
    </row>
    <row r="33" spans="1:11" x14ac:dyDescent="0.35">
      <c r="A33">
        <v>52</v>
      </c>
      <c r="B33" t="s">
        <v>1776</v>
      </c>
      <c r="C33" t="s">
        <v>1777</v>
      </c>
      <c r="D33" t="s">
        <v>1778</v>
      </c>
      <c r="E33" t="s">
        <v>1713</v>
      </c>
      <c r="F33" t="s">
        <v>35</v>
      </c>
      <c r="G33" t="s">
        <v>1779</v>
      </c>
      <c r="H33" t="s">
        <v>360</v>
      </c>
      <c r="I33" t="s">
        <v>266</v>
      </c>
      <c r="J33" t="s">
        <v>361</v>
      </c>
      <c r="K33" t="s">
        <v>1780</v>
      </c>
    </row>
    <row r="34" spans="1:11" hidden="1" x14ac:dyDescent="0.35">
      <c r="A34">
        <v>52</v>
      </c>
      <c r="B34" s="19" t="s">
        <v>1781</v>
      </c>
      <c r="C34" t="s">
        <v>766</v>
      </c>
      <c r="D34" t="s">
        <v>1782</v>
      </c>
      <c r="E34" t="s">
        <v>1713</v>
      </c>
      <c r="F34" t="s">
        <v>766</v>
      </c>
      <c r="G34" t="s">
        <v>1779</v>
      </c>
      <c r="H34" t="s">
        <v>360</v>
      </c>
      <c r="I34" t="s">
        <v>266</v>
      </c>
      <c r="J34" t="s">
        <v>1783</v>
      </c>
    </row>
    <row r="35" spans="1:11" hidden="1" x14ac:dyDescent="0.35">
      <c r="A35">
        <v>52</v>
      </c>
      <c r="B35" s="64" t="s">
        <v>1784</v>
      </c>
      <c r="C35" t="s">
        <v>766</v>
      </c>
      <c r="D35" t="s">
        <v>34</v>
      </c>
      <c r="E35" t="s">
        <v>1713</v>
      </c>
      <c r="F35" t="s">
        <v>766</v>
      </c>
      <c r="G35" t="s">
        <v>1779</v>
      </c>
      <c r="H35" t="s">
        <v>360</v>
      </c>
      <c r="I35" t="s">
        <v>266</v>
      </c>
      <c r="J35" t="s">
        <v>1783</v>
      </c>
    </row>
    <row r="36" spans="1:11" hidden="1" x14ac:dyDescent="0.35">
      <c r="A36">
        <v>52</v>
      </c>
      <c r="B36" s="63" t="s">
        <v>1785</v>
      </c>
      <c r="C36" t="s">
        <v>766</v>
      </c>
      <c r="E36" t="s">
        <v>1713</v>
      </c>
      <c r="F36" t="s">
        <v>766</v>
      </c>
      <c r="G36" t="s">
        <v>1779</v>
      </c>
      <c r="H36" t="s">
        <v>360</v>
      </c>
      <c r="I36" t="s">
        <v>266</v>
      </c>
      <c r="J36" t="s">
        <v>1783</v>
      </c>
    </row>
    <row r="37" spans="1:11" hidden="1" x14ac:dyDescent="0.35">
      <c r="A37">
        <v>65</v>
      </c>
      <c r="B37" t="s">
        <v>1786</v>
      </c>
      <c r="C37" t="s">
        <v>1711</v>
      </c>
      <c r="D37" t="s">
        <v>1787</v>
      </c>
      <c r="E37" t="s">
        <v>1713</v>
      </c>
      <c r="F37" t="s">
        <v>1714</v>
      </c>
      <c r="G37" t="s">
        <v>364</v>
      </c>
      <c r="H37" t="s">
        <v>365</v>
      </c>
      <c r="I37" t="s">
        <v>163</v>
      </c>
      <c r="J37" t="s">
        <v>1788</v>
      </c>
      <c r="K37" t="s">
        <v>1789</v>
      </c>
    </row>
    <row r="38" spans="1:11" hidden="1" x14ac:dyDescent="0.35">
      <c r="A38">
        <v>674</v>
      </c>
      <c r="B38" s="19" t="s">
        <v>1790</v>
      </c>
      <c r="C38" t="s">
        <v>766</v>
      </c>
      <c r="D38" t="s">
        <v>1756</v>
      </c>
      <c r="E38" t="s">
        <v>1713</v>
      </c>
      <c r="F38" t="s">
        <v>766</v>
      </c>
      <c r="G38" t="s">
        <v>120</v>
      </c>
      <c r="H38" t="s">
        <v>1791</v>
      </c>
      <c r="J38" t="s">
        <v>401</v>
      </c>
    </row>
    <row r="39" spans="1:11" hidden="1" x14ac:dyDescent="0.35">
      <c r="A39">
        <v>674</v>
      </c>
      <c r="B39" s="64" t="s">
        <v>1792</v>
      </c>
      <c r="C39" t="s">
        <v>766</v>
      </c>
      <c r="D39" t="s">
        <v>1756</v>
      </c>
      <c r="E39" t="s">
        <v>1713</v>
      </c>
      <c r="F39" t="s">
        <v>766</v>
      </c>
      <c r="G39" t="s">
        <v>120</v>
      </c>
      <c r="H39" t="s">
        <v>1791</v>
      </c>
      <c r="J39" t="s">
        <v>401</v>
      </c>
    </row>
    <row r="40" spans="1:11" hidden="1" x14ac:dyDescent="0.35">
      <c r="A40">
        <v>674</v>
      </c>
      <c r="B40" s="63" t="s">
        <v>1793</v>
      </c>
      <c r="C40" t="s">
        <v>766</v>
      </c>
      <c r="D40" t="s">
        <v>1794</v>
      </c>
      <c r="E40" t="s">
        <v>1713</v>
      </c>
      <c r="F40" t="s">
        <v>766</v>
      </c>
      <c r="G40" t="s">
        <v>120</v>
      </c>
      <c r="H40" t="s">
        <v>1791</v>
      </c>
      <c r="J40" t="s">
        <v>401</v>
      </c>
    </row>
    <row r="41" spans="1:11" hidden="1" x14ac:dyDescent="0.35">
      <c r="A41">
        <v>674</v>
      </c>
      <c r="B41" s="2" t="s">
        <v>1742</v>
      </c>
      <c r="C41" t="s">
        <v>766</v>
      </c>
      <c r="D41" t="s">
        <v>1743</v>
      </c>
      <c r="E41" t="s">
        <v>1713</v>
      </c>
      <c r="F41" t="s">
        <v>766</v>
      </c>
      <c r="G41" t="s">
        <v>120</v>
      </c>
      <c r="H41" t="s">
        <v>1791</v>
      </c>
      <c r="J41" t="s">
        <v>401</v>
      </c>
    </row>
    <row r="42" spans="1:11" hidden="1" x14ac:dyDescent="0.35">
      <c r="A42">
        <v>811</v>
      </c>
      <c r="B42" s="13" t="s">
        <v>1795</v>
      </c>
      <c r="C42" t="s">
        <v>1374</v>
      </c>
      <c r="D42" t="s">
        <v>1796</v>
      </c>
      <c r="E42" t="s">
        <v>1713</v>
      </c>
      <c r="F42" t="s">
        <v>1374</v>
      </c>
      <c r="G42" t="s">
        <v>508</v>
      </c>
      <c r="H42" t="s">
        <v>519</v>
      </c>
      <c r="I42" t="s">
        <v>386</v>
      </c>
      <c r="J42" t="s">
        <v>520</v>
      </c>
    </row>
    <row r="43" spans="1:11" hidden="1" x14ac:dyDescent="0.35">
      <c r="A43">
        <v>811</v>
      </c>
      <c r="B43" s="59" t="s">
        <v>1797</v>
      </c>
      <c r="C43" t="s">
        <v>1374</v>
      </c>
      <c r="D43" t="s">
        <v>34</v>
      </c>
      <c r="E43" t="s">
        <v>1713</v>
      </c>
      <c r="F43" t="s">
        <v>1374</v>
      </c>
      <c r="G43" t="s">
        <v>508</v>
      </c>
      <c r="H43" t="s">
        <v>1798</v>
      </c>
      <c r="I43" t="s">
        <v>386</v>
      </c>
      <c r="J43" t="s">
        <v>520</v>
      </c>
    </row>
    <row r="44" spans="1:11" hidden="1" x14ac:dyDescent="0.35">
      <c r="A44">
        <v>811</v>
      </c>
      <c r="B44" s="2" t="s">
        <v>1742</v>
      </c>
      <c r="C44" t="s">
        <v>766</v>
      </c>
      <c r="D44" t="s">
        <v>1743</v>
      </c>
      <c r="E44" t="s">
        <v>1713</v>
      </c>
      <c r="F44" t="s">
        <v>766</v>
      </c>
      <c r="G44" t="s">
        <v>508</v>
      </c>
      <c r="H44" t="s">
        <v>1798</v>
      </c>
      <c r="I44" t="s">
        <v>386</v>
      </c>
      <c r="J44" t="s">
        <v>503</v>
      </c>
    </row>
    <row r="45" spans="1:11" hidden="1" x14ac:dyDescent="0.35">
      <c r="A45">
        <v>811</v>
      </c>
      <c r="B45" s="58" t="s">
        <v>1799</v>
      </c>
      <c r="C45" t="s">
        <v>766</v>
      </c>
      <c r="D45" t="s">
        <v>1800</v>
      </c>
      <c r="E45" t="s">
        <v>1713</v>
      </c>
      <c r="F45" t="s">
        <v>766</v>
      </c>
      <c r="G45" t="s">
        <v>508</v>
      </c>
      <c r="H45" t="s">
        <v>1798</v>
      </c>
      <c r="I45" t="s">
        <v>386</v>
      </c>
      <c r="J45" t="s">
        <v>503</v>
      </c>
    </row>
    <row r="46" spans="1:11" hidden="1" x14ac:dyDescent="0.35">
      <c r="A46">
        <v>811</v>
      </c>
      <c r="B46" s="19" t="s">
        <v>1801</v>
      </c>
      <c r="C46" t="s">
        <v>766</v>
      </c>
      <c r="D46" t="s">
        <v>34</v>
      </c>
      <c r="E46" t="s">
        <v>1713</v>
      </c>
      <c r="F46" t="s">
        <v>766</v>
      </c>
      <c r="G46" t="s">
        <v>508</v>
      </c>
      <c r="H46" t="s">
        <v>1798</v>
      </c>
      <c r="I46" t="s">
        <v>386</v>
      </c>
      <c r="J46" t="s">
        <v>503</v>
      </c>
    </row>
    <row r="47" spans="1:11" hidden="1" x14ac:dyDescent="0.35">
      <c r="A47">
        <v>811</v>
      </c>
      <c r="B47" s="64" t="s">
        <v>1802</v>
      </c>
      <c r="C47" t="s">
        <v>766</v>
      </c>
      <c r="D47" t="s">
        <v>34</v>
      </c>
      <c r="E47" t="s">
        <v>1713</v>
      </c>
      <c r="F47" t="s">
        <v>766</v>
      </c>
      <c r="G47" t="s">
        <v>508</v>
      </c>
      <c r="H47" t="s">
        <v>1798</v>
      </c>
      <c r="I47" t="s">
        <v>386</v>
      </c>
      <c r="J47" t="s">
        <v>503</v>
      </c>
    </row>
    <row r="48" spans="1:11" hidden="1" x14ac:dyDescent="0.35">
      <c r="A48">
        <v>841</v>
      </c>
      <c r="B48" s="59" t="s">
        <v>1803</v>
      </c>
      <c r="C48" t="s">
        <v>1374</v>
      </c>
      <c r="D48" t="s">
        <v>34</v>
      </c>
      <c r="E48" t="s">
        <v>1713</v>
      </c>
      <c r="F48" t="s">
        <v>1374</v>
      </c>
      <c r="G48" t="s">
        <v>120</v>
      </c>
      <c r="H48" t="s">
        <v>546</v>
      </c>
      <c r="I48" t="s">
        <v>348</v>
      </c>
      <c r="J48" t="s">
        <v>547</v>
      </c>
    </row>
    <row r="49" spans="1:11" hidden="1" x14ac:dyDescent="0.35">
      <c r="A49">
        <v>849</v>
      </c>
      <c r="B49" s="13" t="s">
        <v>1795</v>
      </c>
      <c r="C49" t="s">
        <v>1374</v>
      </c>
      <c r="D49" t="s">
        <v>1796</v>
      </c>
      <c r="E49" t="s">
        <v>1713</v>
      </c>
      <c r="F49" t="s">
        <v>1374</v>
      </c>
      <c r="G49" t="s">
        <v>120</v>
      </c>
      <c r="H49" t="s">
        <v>1804</v>
      </c>
      <c r="I49" t="s">
        <v>266</v>
      </c>
      <c r="J49" t="s">
        <v>1805</v>
      </c>
    </row>
    <row r="50" spans="1:11" hidden="1" x14ac:dyDescent="0.35">
      <c r="A50">
        <v>849</v>
      </c>
      <c r="B50" s="13" t="s">
        <v>1806</v>
      </c>
      <c r="C50" t="s">
        <v>1374</v>
      </c>
      <c r="D50" t="s">
        <v>1796</v>
      </c>
      <c r="E50" t="s">
        <v>1713</v>
      </c>
      <c r="F50" t="s">
        <v>1374</v>
      </c>
      <c r="G50" t="s">
        <v>120</v>
      </c>
      <c r="H50" t="s">
        <v>1804</v>
      </c>
      <c r="I50" t="s">
        <v>266</v>
      </c>
      <c r="J50" t="s">
        <v>1807</v>
      </c>
    </row>
    <row r="51" spans="1:11" x14ac:dyDescent="0.35">
      <c r="A51">
        <v>885</v>
      </c>
      <c r="B51" t="s">
        <v>1808</v>
      </c>
      <c r="C51" t="s">
        <v>1777</v>
      </c>
      <c r="D51" t="s">
        <v>1809</v>
      </c>
      <c r="E51" t="s">
        <v>1713</v>
      </c>
      <c r="F51" t="s">
        <v>594</v>
      </c>
      <c r="G51" t="s">
        <v>16</v>
      </c>
      <c r="H51" t="s">
        <v>595</v>
      </c>
      <c r="I51" t="s">
        <v>386</v>
      </c>
      <c r="J51" t="s">
        <v>590</v>
      </c>
      <c r="K51" t="s">
        <v>596</v>
      </c>
    </row>
    <row r="52" spans="1:11" hidden="1" x14ac:dyDescent="0.35">
      <c r="A52">
        <v>892</v>
      </c>
      <c r="B52" s="2" t="s">
        <v>1742</v>
      </c>
      <c r="C52" t="s">
        <v>766</v>
      </c>
      <c r="D52" t="s">
        <v>1743</v>
      </c>
      <c r="E52" t="s">
        <v>1713</v>
      </c>
      <c r="F52" t="s">
        <v>766</v>
      </c>
      <c r="G52" t="s">
        <v>600</v>
      </c>
      <c r="H52" t="s">
        <v>564</v>
      </c>
      <c r="J52" t="s">
        <v>601</v>
      </c>
    </row>
    <row r="53" spans="1:11" hidden="1" x14ac:dyDescent="0.35">
      <c r="A53">
        <v>892</v>
      </c>
      <c r="B53" s="19" t="s">
        <v>1801</v>
      </c>
      <c r="C53" t="s">
        <v>766</v>
      </c>
      <c r="D53" t="s">
        <v>34</v>
      </c>
      <c r="E53" t="s">
        <v>1713</v>
      </c>
      <c r="F53" t="s">
        <v>766</v>
      </c>
      <c r="G53" t="s">
        <v>600</v>
      </c>
      <c r="H53" t="s">
        <v>564</v>
      </c>
      <c r="J53" t="s">
        <v>601</v>
      </c>
    </row>
    <row r="54" spans="1:11" hidden="1" x14ac:dyDescent="0.35">
      <c r="A54">
        <v>892</v>
      </c>
      <c r="B54" s="17" t="s">
        <v>1717</v>
      </c>
      <c r="C54" t="s">
        <v>1374</v>
      </c>
      <c r="D54" t="s">
        <v>1718</v>
      </c>
      <c r="E54" t="s">
        <v>1713</v>
      </c>
      <c r="F54" t="s">
        <v>1374</v>
      </c>
      <c r="G54" t="s">
        <v>600</v>
      </c>
      <c r="H54" t="s">
        <v>564</v>
      </c>
      <c r="J54" t="s">
        <v>601</v>
      </c>
    </row>
    <row r="55" spans="1:11" hidden="1" x14ac:dyDescent="0.35">
      <c r="A55">
        <v>19</v>
      </c>
      <c r="B55" s="19" t="s">
        <v>1738</v>
      </c>
      <c r="C55" t="s">
        <v>766</v>
      </c>
      <c r="D55" t="s">
        <v>1756</v>
      </c>
      <c r="E55" t="s">
        <v>1713</v>
      </c>
      <c r="F55" t="s">
        <v>766</v>
      </c>
      <c r="G55" t="s">
        <v>1810</v>
      </c>
      <c r="H55" t="s">
        <v>1811</v>
      </c>
      <c r="I55" t="s">
        <v>266</v>
      </c>
      <c r="J55" t="s">
        <v>753</v>
      </c>
    </row>
    <row r="56" spans="1:11" hidden="1" x14ac:dyDescent="0.35">
      <c r="A56">
        <v>19</v>
      </c>
      <c r="B56" s="64" t="s">
        <v>1784</v>
      </c>
      <c r="C56" t="s">
        <v>766</v>
      </c>
      <c r="D56" t="s">
        <v>1756</v>
      </c>
      <c r="E56" t="s">
        <v>1713</v>
      </c>
      <c r="F56" t="s">
        <v>766</v>
      </c>
      <c r="G56" t="s">
        <v>1810</v>
      </c>
      <c r="H56" t="s">
        <v>1811</v>
      </c>
      <c r="I56" t="s">
        <v>266</v>
      </c>
      <c r="J56" t="s">
        <v>753</v>
      </c>
    </row>
    <row r="57" spans="1:11" hidden="1" x14ac:dyDescent="0.35">
      <c r="A57">
        <v>19</v>
      </c>
      <c r="B57" s="63" t="s">
        <v>1785</v>
      </c>
      <c r="C57" t="s">
        <v>766</v>
      </c>
      <c r="D57" t="s">
        <v>647</v>
      </c>
      <c r="E57" t="s">
        <v>1713</v>
      </c>
      <c r="F57" t="s">
        <v>766</v>
      </c>
      <c r="G57" t="s">
        <v>1810</v>
      </c>
      <c r="H57" t="s">
        <v>1811</v>
      </c>
      <c r="I57" t="s">
        <v>266</v>
      </c>
      <c r="J57" t="s">
        <v>753</v>
      </c>
    </row>
    <row r="58" spans="1:11" hidden="1" x14ac:dyDescent="0.35">
      <c r="A58">
        <v>19</v>
      </c>
      <c r="B58" s="19" t="s">
        <v>1812</v>
      </c>
      <c r="C58" t="s">
        <v>766</v>
      </c>
      <c r="D58" t="s">
        <v>34</v>
      </c>
      <c r="E58" t="s">
        <v>1713</v>
      </c>
      <c r="F58" t="s">
        <v>766</v>
      </c>
      <c r="G58" t="s">
        <v>1810</v>
      </c>
      <c r="H58" t="s">
        <v>1811</v>
      </c>
      <c r="I58" t="s">
        <v>266</v>
      </c>
      <c r="J58" t="s">
        <v>753</v>
      </c>
    </row>
    <row r="59" spans="1:11" hidden="1" x14ac:dyDescent="0.35">
      <c r="A59">
        <v>19</v>
      </c>
      <c r="B59" s="17" t="s">
        <v>1813</v>
      </c>
      <c r="C59" t="s">
        <v>137</v>
      </c>
      <c r="D59" t="s">
        <v>1814</v>
      </c>
      <c r="E59" t="s">
        <v>1713</v>
      </c>
      <c r="F59" t="s">
        <v>137</v>
      </c>
      <c r="G59" t="s">
        <v>1810</v>
      </c>
      <c r="H59" t="s">
        <v>1811</v>
      </c>
      <c r="I59" t="s">
        <v>266</v>
      </c>
      <c r="J59" t="s">
        <v>1815</v>
      </c>
    </row>
    <row r="60" spans="1:11" hidden="1" x14ac:dyDescent="0.35">
      <c r="A60">
        <v>19</v>
      </c>
      <c r="B60" s="6" t="s">
        <v>1816</v>
      </c>
      <c r="C60" t="s">
        <v>766</v>
      </c>
      <c r="D60" t="s">
        <v>1817</v>
      </c>
      <c r="E60" t="s">
        <v>1713</v>
      </c>
      <c r="F60" t="s">
        <v>57</v>
      </c>
      <c r="G60" t="s">
        <v>1810</v>
      </c>
      <c r="H60" t="s">
        <v>1811</v>
      </c>
      <c r="I60" t="s">
        <v>266</v>
      </c>
      <c r="J60" t="s">
        <v>753</v>
      </c>
    </row>
    <row r="61" spans="1:11" hidden="1" x14ac:dyDescent="0.35">
      <c r="A61">
        <v>19</v>
      </c>
      <c r="B61" s="6" t="s">
        <v>1818</v>
      </c>
      <c r="C61" t="s">
        <v>766</v>
      </c>
      <c r="D61" t="s">
        <v>1817</v>
      </c>
      <c r="E61" t="s">
        <v>1713</v>
      </c>
      <c r="F61" t="s">
        <v>57</v>
      </c>
      <c r="G61" t="s">
        <v>1810</v>
      </c>
      <c r="H61" t="s">
        <v>1811</v>
      </c>
      <c r="I61" t="s">
        <v>266</v>
      </c>
      <c r="J61" t="s">
        <v>1815</v>
      </c>
    </row>
    <row r="62" spans="1:11" hidden="1" x14ac:dyDescent="0.35">
      <c r="A62">
        <v>19</v>
      </c>
      <c r="B62" t="s">
        <v>1819</v>
      </c>
      <c r="C62" t="s">
        <v>137</v>
      </c>
      <c r="E62" t="s">
        <v>1713</v>
      </c>
      <c r="F62" t="s">
        <v>137</v>
      </c>
      <c r="G62" t="s">
        <v>1810</v>
      </c>
      <c r="H62" t="s">
        <v>1811</v>
      </c>
      <c r="I62" t="s">
        <v>266</v>
      </c>
      <c r="J62" t="s">
        <v>1820</v>
      </c>
    </row>
    <row r="63" spans="1:11" hidden="1" x14ac:dyDescent="0.35">
      <c r="A63">
        <v>19</v>
      </c>
      <c r="B63" s="67" t="s">
        <v>1821</v>
      </c>
      <c r="C63" t="s">
        <v>137</v>
      </c>
      <c r="D63" t="s">
        <v>1822</v>
      </c>
      <c r="E63" t="s">
        <v>1713</v>
      </c>
      <c r="F63" t="s">
        <v>57</v>
      </c>
      <c r="G63" t="s">
        <v>1810</v>
      </c>
      <c r="H63" t="s">
        <v>1811</v>
      </c>
      <c r="I63" t="s">
        <v>266</v>
      </c>
      <c r="J63" t="s">
        <v>1815</v>
      </c>
    </row>
    <row r="64" spans="1:11" hidden="1" x14ac:dyDescent="0.35">
      <c r="A64">
        <v>19</v>
      </c>
      <c r="B64" s="64" t="s">
        <v>1823</v>
      </c>
      <c r="C64" t="s">
        <v>766</v>
      </c>
      <c r="D64" t="s">
        <v>1817</v>
      </c>
      <c r="E64" t="s">
        <v>1713</v>
      </c>
      <c r="F64" t="s">
        <v>766</v>
      </c>
      <c r="G64" t="s">
        <v>1810</v>
      </c>
      <c r="H64" t="s">
        <v>1811</v>
      </c>
      <c r="I64" t="s">
        <v>266</v>
      </c>
      <c r="J64" t="s">
        <v>753</v>
      </c>
    </row>
    <row r="65" spans="1:10" hidden="1" x14ac:dyDescent="0.35">
      <c r="A65">
        <v>66</v>
      </c>
      <c r="B65" s="19" t="s">
        <v>1824</v>
      </c>
      <c r="C65" t="s">
        <v>766</v>
      </c>
      <c r="D65" t="s">
        <v>1825</v>
      </c>
      <c r="E65" t="s">
        <v>1713</v>
      </c>
      <c r="F65" t="s">
        <v>766</v>
      </c>
      <c r="G65" t="s">
        <v>1810</v>
      </c>
      <c r="H65" t="s">
        <v>1826</v>
      </c>
      <c r="I65" t="s">
        <v>386</v>
      </c>
      <c r="J65" t="s">
        <v>637</v>
      </c>
    </row>
    <row r="66" spans="1:10" hidden="1" x14ac:dyDescent="0.35">
      <c r="A66">
        <v>66</v>
      </c>
      <c r="B66" s="7" t="s">
        <v>1827</v>
      </c>
      <c r="C66" t="s">
        <v>766</v>
      </c>
      <c r="D66" t="s">
        <v>1828</v>
      </c>
      <c r="E66" t="s">
        <v>1713</v>
      </c>
      <c r="F66" t="s">
        <v>766</v>
      </c>
      <c r="G66" t="s">
        <v>1810</v>
      </c>
      <c r="H66" t="s">
        <v>1826</v>
      </c>
      <c r="I66" t="s">
        <v>386</v>
      </c>
      <c r="J66" t="s">
        <v>637</v>
      </c>
    </row>
    <row r="67" spans="1:10" hidden="1" x14ac:dyDescent="0.35">
      <c r="A67">
        <v>66</v>
      </c>
      <c r="B67" s="63" t="s">
        <v>1793</v>
      </c>
      <c r="C67" t="s">
        <v>766</v>
      </c>
      <c r="D67" t="s">
        <v>647</v>
      </c>
      <c r="E67" t="s">
        <v>1713</v>
      </c>
      <c r="F67" t="s">
        <v>766</v>
      </c>
      <c r="G67" t="s">
        <v>1810</v>
      </c>
      <c r="H67" t="s">
        <v>1826</v>
      </c>
      <c r="I67" t="s">
        <v>386</v>
      </c>
      <c r="J67" t="s">
        <v>637</v>
      </c>
    </row>
    <row r="68" spans="1:10" hidden="1" x14ac:dyDescent="0.35">
      <c r="A68">
        <v>66</v>
      </c>
      <c r="B68" s="19" t="s">
        <v>1829</v>
      </c>
      <c r="C68" t="s">
        <v>766</v>
      </c>
      <c r="D68" t="s">
        <v>1825</v>
      </c>
      <c r="E68" t="s">
        <v>1713</v>
      </c>
      <c r="F68" t="s">
        <v>766</v>
      </c>
      <c r="G68" t="s">
        <v>1810</v>
      </c>
      <c r="H68" t="s">
        <v>1826</v>
      </c>
      <c r="I68" t="s">
        <v>386</v>
      </c>
      <c r="J68" t="s">
        <v>637</v>
      </c>
    </row>
    <row r="69" spans="1:10" hidden="1" x14ac:dyDescent="0.35">
      <c r="A69">
        <v>66</v>
      </c>
      <c r="B69" s="7" t="s">
        <v>1830</v>
      </c>
      <c r="C69" t="s">
        <v>766</v>
      </c>
      <c r="D69" t="s">
        <v>1831</v>
      </c>
      <c r="E69" t="s">
        <v>1713</v>
      </c>
      <c r="F69" t="s">
        <v>766</v>
      </c>
      <c r="G69" t="s">
        <v>1810</v>
      </c>
      <c r="H69" t="s">
        <v>1826</v>
      </c>
      <c r="I69" t="s">
        <v>386</v>
      </c>
      <c r="J69" t="s">
        <v>637</v>
      </c>
    </row>
    <row r="70" spans="1:10" hidden="1" x14ac:dyDescent="0.35">
      <c r="A70">
        <v>66</v>
      </c>
      <c r="B70" s="2" t="s">
        <v>1742</v>
      </c>
      <c r="C70" t="s">
        <v>766</v>
      </c>
      <c r="D70" t="s">
        <v>1743</v>
      </c>
      <c r="E70" t="s">
        <v>1713</v>
      </c>
      <c r="F70" t="s">
        <v>766</v>
      </c>
      <c r="G70" t="s">
        <v>1810</v>
      </c>
      <c r="H70" t="s">
        <v>1826</v>
      </c>
      <c r="I70" t="s">
        <v>386</v>
      </c>
      <c r="J70" t="s">
        <v>637</v>
      </c>
    </row>
    <row r="71" spans="1:10" hidden="1" x14ac:dyDescent="0.35">
      <c r="A71">
        <v>66</v>
      </c>
      <c r="B71" s="17" t="s">
        <v>1832</v>
      </c>
      <c r="C71" t="s">
        <v>137</v>
      </c>
      <c r="D71" t="s">
        <v>1833</v>
      </c>
      <c r="E71" t="s">
        <v>1713</v>
      </c>
      <c r="F71" t="s">
        <v>137</v>
      </c>
      <c r="G71" t="s">
        <v>1810</v>
      </c>
      <c r="H71" t="s">
        <v>1826</v>
      </c>
      <c r="I71" t="s">
        <v>386</v>
      </c>
      <c r="J71" t="s">
        <v>637</v>
      </c>
    </row>
    <row r="72" spans="1:10" hidden="1" x14ac:dyDescent="0.35">
      <c r="A72">
        <v>66</v>
      </c>
      <c r="B72" s="67" t="s">
        <v>1834</v>
      </c>
      <c r="C72" t="s">
        <v>137</v>
      </c>
      <c r="D72" t="s">
        <v>1835</v>
      </c>
      <c r="E72" t="s">
        <v>1713</v>
      </c>
      <c r="F72" t="s">
        <v>57</v>
      </c>
      <c r="G72" t="s">
        <v>1810</v>
      </c>
      <c r="H72" t="s">
        <v>1826</v>
      </c>
      <c r="I72" t="s">
        <v>386</v>
      </c>
      <c r="J72" t="s">
        <v>637</v>
      </c>
    </row>
    <row r="73" spans="1:10" hidden="1" x14ac:dyDescent="0.35">
      <c r="A73">
        <v>66</v>
      </c>
      <c r="B73" s="43" t="s">
        <v>1836</v>
      </c>
      <c r="C73" t="s">
        <v>137</v>
      </c>
      <c r="D73" t="s">
        <v>1837</v>
      </c>
      <c r="E73" t="s">
        <v>1713</v>
      </c>
      <c r="F73" t="s">
        <v>24</v>
      </c>
      <c r="G73" t="s">
        <v>1810</v>
      </c>
      <c r="H73" t="s">
        <v>1826</v>
      </c>
      <c r="I73" t="s">
        <v>386</v>
      </c>
      <c r="J73" t="s">
        <v>637</v>
      </c>
    </row>
    <row r="74" spans="1:10" hidden="1" x14ac:dyDescent="0.35">
      <c r="A74">
        <v>137</v>
      </c>
      <c r="B74" s="43" t="s">
        <v>1838</v>
      </c>
      <c r="C74" t="s">
        <v>137</v>
      </c>
      <c r="D74" t="s">
        <v>225</v>
      </c>
      <c r="E74" t="s">
        <v>1713</v>
      </c>
      <c r="F74" t="s">
        <v>24</v>
      </c>
      <c r="G74" t="s">
        <v>1839</v>
      </c>
      <c r="H74" t="s">
        <v>1840</v>
      </c>
      <c r="I74" t="s">
        <v>163</v>
      </c>
      <c r="J74" t="s">
        <v>1841</v>
      </c>
    </row>
    <row r="75" spans="1:10" hidden="1" x14ac:dyDescent="0.35">
      <c r="A75">
        <v>137</v>
      </c>
      <c r="B75" s="43" t="s">
        <v>1842</v>
      </c>
      <c r="C75" t="s">
        <v>137</v>
      </c>
      <c r="D75" t="s">
        <v>112</v>
      </c>
      <c r="E75" t="s">
        <v>1713</v>
      </c>
      <c r="F75" t="s">
        <v>24</v>
      </c>
      <c r="G75" t="s">
        <v>1839</v>
      </c>
      <c r="H75" t="s">
        <v>1840</v>
      </c>
      <c r="I75" t="s">
        <v>163</v>
      </c>
      <c r="J75" t="s">
        <v>1841</v>
      </c>
    </row>
    <row r="76" spans="1:10" hidden="1" x14ac:dyDescent="0.35">
      <c r="A76">
        <v>137</v>
      </c>
      <c r="B76" s="43" t="s">
        <v>1843</v>
      </c>
      <c r="C76" t="s">
        <v>137</v>
      </c>
      <c r="D76" t="s">
        <v>23</v>
      </c>
      <c r="E76" t="s">
        <v>1713</v>
      </c>
      <c r="F76" t="s">
        <v>22</v>
      </c>
      <c r="G76" t="s">
        <v>1839</v>
      </c>
      <c r="H76" t="s">
        <v>1840</v>
      </c>
      <c r="I76" t="s">
        <v>163</v>
      </c>
      <c r="J76" t="s">
        <v>1841</v>
      </c>
    </row>
    <row r="77" spans="1:10" hidden="1" x14ac:dyDescent="0.35">
      <c r="A77">
        <v>137</v>
      </c>
      <c r="B77" t="s">
        <v>1844</v>
      </c>
      <c r="C77" t="s">
        <v>137</v>
      </c>
      <c r="D77" t="s">
        <v>112</v>
      </c>
      <c r="E77" t="s">
        <v>1713</v>
      </c>
      <c r="F77" t="s">
        <v>22</v>
      </c>
      <c r="G77" t="s">
        <v>1839</v>
      </c>
      <c r="H77" t="s">
        <v>1840</v>
      </c>
      <c r="I77" t="s">
        <v>163</v>
      </c>
      <c r="J77" t="s">
        <v>1841</v>
      </c>
    </row>
    <row r="78" spans="1:10" hidden="1" x14ac:dyDescent="0.35">
      <c r="A78">
        <v>137</v>
      </c>
      <c r="B78" s="67" t="s">
        <v>1733</v>
      </c>
      <c r="C78" t="s">
        <v>137</v>
      </c>
      <c r="D78" t="s">
        <v>1845</v>
      </c>
      <c r="E78" t="s">
        <v>1713</v>
      </c>
      <c r="F78" t="s">
        <v>57</v>
      </c>
      <c r="G78" t="s">
        <v>1839</v>
      </c>
      <c r="H78" t="s">
        <v>1840</v>
      </c>
      <c r="I78" t="s">
        <v>163</v>
      </c>
      <c r="J78" t="s">
        <v>1846</v>
      </c>
    </row>
    <row r="79" spans="1:10" hidden="1" x14ac:dyDescent="0.35">
      <c r="A79">
        <v>137</v>
      </c>
      <c r="B79" s="59" t="s">
        <v>1847</v>
      </c>
      <c r="C79" t="s">
        <v>1374</v>
      </c>
      <c r="D79" t="s">
        <v>1741</v>
      </c>
      <c r="E79" t="s">
        <v>1713</v>
      </c>
      <c r="F79" t="s">
        <v>1374</v>
      </c>
      <c r="G79" t="s">
        <v>1839</v>
      </c>
      <c r="H79" t="s">
        <v>1840</v>
      </c>
      <c r="I79" t="s">
        <v>163</v>
      </c>
      <c r="J79" t="s">
        <v>1841</v>
      </c>
    </row>
    <row r="80" spans="1:10" hidden="1" x14ac:dyDescent="0.35">
      <c r="A80">
        <v>137</v>
      </c>
      <c r="B80" s="59" t="s">
        <v>1848</v>
      </c>
      <c r="C80" t="s">
        <v>1374</v>
      </c>
      <c r="D80" t="s">
        <v>1724</v>
      </c>
      <c r="E80" t="s">
        <v>1713</v>
      </c>
      <c r="F80" t="s">
        <v>1374</v>
      </c>
      <c r="G80" t="s">
        <v>1839</v>
      </c>
      <c r="H80" t="s">
        <v>1840</v>
      </c>
      <c r="I80" t="s">
        <v>163</v>
      </c>
      <c r="J80" t="s">
        <v>1841</v>
      </c>
    </row>
    <row r="81" spans="1:10" hidden="1" x14ac:dyDescent="0.35">
      <c r="A81">
        <v>137</v>
      </c>
      <c r="B81" s="2" t="s">
        <v>1849</v>
      </c>
      <c r="C81" t="s">
        <v>766</v>
      </c>
      <c r="D81" t="s">
        <v>1743</v>
      </c>
      <c r="E81" t="s">
        <v>1713</v>
      </c>
      <c r="F81" t="s">
        <v>766</v>
      </c>
      <c r="G81" t="s">
        <v>1839</v>
      </c>
      <c r="H81" t="s">
        <v>1840</v>
      </c>
      <c r="I81" t="s">
        <v>163</v>
      </c>
      <c r="J81" t="s">
        <v>1846</v>
      </c>
    </row>
    <row r="82" spans="1:10" hidden="1" x14ac:dyDescent="0.35">
      <c r="A82">
        <v>137</v>
      </c>
      <c r="B82" s="58" t="s">
        <v>1799</v>
      </c>
      <c r="C82" t="s">
        <v>766</v>
      </c>
      <c r="D82" t="s">
        <v>1850</v>
      </c>
      <c r="E82" t="s">
        <v>1713</v>
      </c>
      <c r="F82" t="s">
        <v>766</v>
      </c>
      <c r="G82" t="s">
        <v>1839</v>
      </c>
      <c r="H82" t="s">
        <v>1840</v>
      </c>
      <c r="I82" t="s">
        <v>163</v>
      </c>
      <c r="J82" t="s">
        <v>1841</v>
      </c>
    </row>
    <row r="83" spans="1:10" hidden="1" x14ac:dyDescent="0.35">
      <c r="A83">
        <v>137</v>
      </c>
      <c r="B83" s="19" t="s">
        <v>1851</v>
      </c>
      <c r="C83" t="s">
        <v>766</v>
      </c>
      <c r="D83" t="s">
        <v>1852</v>
      </c>
      <c r="E83" t="s">
        <v>1713</v>
      </c>
      <c r="F83" t="s">
        <v>766</v>
      </c>
      <c r="G83" t="s">
        <v>1839</v>
      </c>
      <c r="H83" t="s">
        <v>1840</v>
      </c>
      <c r="I83" t="s">
        <v>163</v>
      </c>
      <c r="J83" t="s">
        <v>1841</v>
      </c>
    </row>
    <row r="84" spans="1:10" hidden="1" x14ac:dyDescent="0.35">
      <c r="A84">
        <v>137</v>
      </c>
      <c r="B84" s="7" t="s">
        <v>1792</v>
      </c>
      <c r="C84" t="s">
        <v>766</v>
      </c>
      <c r="D84" t="s">
        <v>34</v>
      </c>
      <c r="E84" t="s">
        <v>1713</v>
      </c>
      <c r="F84" t="s">
        <v>766</v>
      </c>
      <c r="G84" t="s">
        <v>1839</v>
      </c>
      <c r="H84" t="s">
        <v>1840</v>
      </c>
      <c r="I84" t="s">
        <v>163</v>
      </c>
      <c r="J84" t="s">
        <v>1841</v>
      </c>
    </row>
    <row r="85" spans="1:10" hidden="1" x14ac:dyDescent="0.35">
      <c r="A85">
        <v>137</v>
      </c>
      <c r="B85" s="7" t="s">
        <v>1853</v>
      </c>
      <c r="C85" t="s">
        <v>766</v>
      </c>
      <c r="D85" t="s">
        <v>1751</v>
      </c>
      <c r="E85" t="s">
        <v>1713</v>
      </c>
      <c r="F85" t="s">
        <v>766</v>
      </c>
      <c r="G85" t="s">
        <v>1839</v>
      </c>
      <c r="H85" t="s">
        <v>1840</v>
      </c>
      <c r="I85" t="s">
        <v>163</v>
      </c>
      <c r="J85" t="s">
        <v>1841</v>
      </c>
    </row>
    <row r="86" spans="1:10" hidden="1" x14ac:dyDescent="0.35">
      <c r="A86">
        <v>137</v>
      </c>
      <c r="B86" s="19" t="s">
        <v>1854</v>
      </c>
      <c r="C86" t="s">
        <v>766</v>
      </c>
      <c r="D86" t="s">
        <v>34</v>
      </c>
      <c r="E86" t="s">
        <v>1713</v>
      </c>
      <c r="F86" t="s">
        <v>766</v>
      </c>
      <c r="G86" t="s">
        <v>1839</v>
      </c>
      <c r="H86" t="s">
        <v>1840</v>
      </c>
      <c r="I86" t="s">
        <v>163</v>
      </c>
      <c r="J86" t="s">
        <v>1841</v>
      </c>
    </row>
    <row r="87" spans="1:10" hidden="1" x14ac:dyDescent="0.35">
      <c r="A87">
        <v>137</v>
      </c>
      <c r="B87" s="17" t="s">
        <v>1832</v>
      </c>
      <c r="C87" t="s">
        <v>137</v>
      </c>
      <c r="D87" t="s">
        <v>1855</v>
      </c>
      <c r="E87" t="s">
        <v>1713</v>
      </c>
      <c r="F87" t="s">
        <v>137</v>
      </c>
      <c r="G87" t="s">
        <v>1839</v>
      </c>
      <c r="H87" t="s">
        <v>1840</v>
      </c>
      <c r="I87" t="s">
        <v>163</v>
      </c>
      <c r="J87" t="s">
        <v>1846</v>
      </c>
    </row>
    <row r="88" spans="1:10" hidden="1" x14ac:dyDescent="0.35">
      <c r="A88">
        <v>137</v>
      </c>
      <c r="B88" s="67" t="s">
        <v>1856</v>
      </c>
      <c r="C88" t="s">
        <v>137</v>
      </c>
      <c r="D88" t="s">
        <v>1857</v>
      </c>
      <c r="E88" t="s">
        <v>1713</v>
      </c>
      <c r="F88" t="s">
        <v>57</v>
      </c>
      <c r="G88" t="s">
        <v>1839</v>
      </c>
      <c r="H88" t="s">
        <v>1840</v>
      </c>
      <c r="I88" t="s">
        <v>163</v>
      </c>
      <c r="J88" t="s">
        <v>1846</v>
      </c>
    </row>
    <row r="89" spans="1:10" hidden="1" x14ac:dyDescent="0.35">
      <c r="A89">
        <v>137</v>
      </c>
      <c r="B89" s="24" t="s">
        <v>1858</v>
      </c>
      <c r="C89" t="s">
        <v>766</v>
      </c>
      <c r="D89" t="s">
        <v>1859</v>
      </c>
      <c r="E89" t="s">
        <v>1713</v>
      </c>
      <c r="F89" t="s">
        <v>766</v>
      </c>
      <c r="G89" t="s">
        <v>1839</v>
      </c>
      <c r="H89" t="s">
        <v>1840</v>
      </c>
      <c r="I89" t="s">
        <v>163</v>
      </c>
      <c r="J89" t="s">
        <v>1841</v>
      </c>
    </row>
    <row r="90" spans="1:10" hidden="1" x14ac:dyDescent="0.35">
      <c r="A90">
        <v>137</v>
      </c>
      <c r="B90" s="24" t="s">
        <v>1860</v>
      </c>
      <c r="C90" t="s">
        <v>766</v>
      </c>
      <c r="D90" t="s">
        <v>1859</v>
      </c>
      <c r="E90" t="s">
        <v>1713</v>
      </c>
      <c r="F90" t="s">
        <v>766</v>
      </c>
      <c r="G90" t="s">
        <v>1839</v>
      </c>
      <c r="H90" t="s">
        <v>1840</v>
      </c>
      <c r="I90" t="s">
        <v>163</v>
      </c>
      <c r="J90" t="s">
        <v>1841</v>
      </c>
    </row>
    <row r="91" spans="1:10" hidden="1" x14ac:dyDescent="0.35">
      <c r="A91">
        <v>155</v>
      </c>
      <c r="B91" s="19" t="s">
        <v>1851</v>
      </c>
      <c r="C91" t="s">
        <v>766</v>
      </c>
      <c r="D91" t="s">
        <v>34</v>
      </c>
      <c r="E91" t="s">
        <v>1713</v>
      </c>
      <c r="F91" t="s">
        <v>766</v>
      </c>
      <c r="G91" t="s">
        <v>1861</v>
      </c>
      <c r="H91" t="s">
        <v>27</v>
      </c>
      <c r="J91" t="s">
        <v>1862</v>
      </c>
    </row>
    <row r="92" spans="1:10" hidden="1" x14ac:dyDescent="0.35">
      <c r="A92">
        <v>155</v>
      </c>
      <c r="B92" s="19" t="s">
        <v>1863</v>
      </c>
      <c r="C92" t="s">
        <v>766</v>
      </c>
      <c r="D92" t="s">
        <v>34</v>
      </c>
      <c r="E92" t="s">
        <v>1713</v>
      </c>
      <c r="F92" t="s">
        <v>766</v>
      </c>
      <c r="G92" t="s">
        <v>1861</v>
      </c>
      <c r="H92" t="s">
        <v>27</v>
      </c>
      <c r="J92" t="s">
        <v>1862</v>
      </c>
    </row>
    <row r="93" spans="1:10" hidden="1" x14ac:dyDescent="0.35">
      <c r="A93">
        <v>155</v>
      </c>
      <c r="B93" s="19" t="s">
        <v>1864</v>
      </c>
      <c r="C93" t="s">
        <v>766</v>
      </c>
      <c r="D93" t="s">
        <v>34</v>
      </c>
      <c r="E93" t="s">
        <v>1713</v>
      </c>
      <c r="F93" t="s">
        <v>766</v>
      </c>
      <c r="G93" t="s">
        <v>1861</v>
      </c>
      <c r="H93" t="s">
        <v>27</v>
      </c>
      <c r="J93" t="s">
        <v>1862</v>
      </c>
    </row>
    <row r="94" spans="1:10" hidden="1" x14ac:dyDescent="0.35">
      <c r="A94">
        <v>155</v>
      </c>
      <c r="B94" s="7" t="s">
        <v>1784</v>
      </c>
      <c r="C94" t="s">
        <v>766</v>
      </c>
      <c r="D94" t="s">
        <v>34</v>
      </c>
      <c r="E94" t="s">
        <v>1713</v>
      </c>
      <c r="F94" t="s">
        <v>766</v>
      </c>
      <c r="G94" t="s">
        <v>1861</v>
      </c>
      <c r="H94" t="s">
        <v>27</v>
      </c>
      <c r="J94" t="s">
        <v>1862</v>
      </c>
    </row>
    <row r="95" spans="1:10" hidden="1" x14ac:dyDescent="0.35">
      <c r="A95">
        <v>155</v>
      </c>
      <c r="B95" s="63" t="s">
        <v>1793</v>
      </c>
      <c r="C95" t="s">
        <v>766</v>
      </c>
      <c r="D95" t="s">
        <v>647</v>
      </c>
      <c r="E95" t="s">
        <v>1713</v>
      </c>
      <c r="F95" t="s">
        <v>766</v>
      </c>
      <c r="G95" t="s">
        <v>1861</v>
      </c>
      <c r="H95" t="s">
        <v>27</v>
      </c>
      <c r="J95" t="s">
        <v>1862</v>
      </c>
    </row>
    <row r="96" spans="1:10" hidden="1" x14ac:dyDescent="0.35">
      <c r="A96">
        <v>155</v>
      </c>
      <c r="B96" s="2" t="s">
        <v>1742</v>
      </c>
      <c r="C96" t="s">
        <v>766</v>
      </c>
      <c r="D96" t="s">
        <v>1743</v>
      </c>
      <c r="E96" t="s">
        <v>1713</v>
      </c>
      <c r="F96" t="s">
        <v>766</v>
      </c>
      <c r="G96" t="s">
        <v>1861</v>
      </c>
      <c r="H96" t="s">
        <v>27</v>
      </c>
      <c r="J96" t="s">
        <v>1862</v>
      </c>
    </row>
    <row r="97" spans="1:10" hidden="1" x14ac:dyDescent="0.35">
      <c r="A97">
        <v>155</v>
      </c>
      <c r="B97" s="58" t="s">
        <v>1799</v>
      </c>
      <c r="C97" t="s">
        <v>766</v>
      </c>
      <c r="D97" t="s">
        <v>1850</v>
      </c>
      <c r="E97" t="s">
        <v>1713</v>
      </c>
      <c r="F97" t="s">
        <v>766</v>
      </c>
      <c r="G97" t="s">
        <v>1861</v>
      </c>
      <c r="H97" t="s">
        <v>27</v>
      </c>
      <c r="J97" t="s">
        <v>1862</v>
      </c>
    </row>
    <row r="98" spans="1:10" hidden="1" x14ac:dyDescent="0.35">
      <c r="A98">
        <v>155</v>
      </c>
      <c r="B98" s="24" t="s">
        <v>1858</v>
      </c>
      <c r="C98" t="s">
        <v>766</v>
      </c>
      <c r="D98" t="s">
        <v>1817</v>
      </c>
      <c r="E98" t="s">
        <v>1713</v>
      </c>
      <c r="F98" t="s">
        <v>766</v>
      </c>
      <c r="G98" t="s">
        <v>1861</v>
      </c>
      <c r="H98" t="s">
        <v>27</v>
      </c>
      <c r="J98" t="s">
        <v>1862</v>
      </c>
    </row>
    <row r="99" spans="1:10" hidden="1" x14ac:dyDescent="0.35">
      <c r="A99">
        <v>169</v>
      </c>
      <c r="B99" s="19" t="s">
        <v>1864</v>
      </c>
      <c r="C99" t="s">
        <v>766</v>
      </c>
      <c r="D99" t="s">
        <v>34</v>
      </c>
      <c r="E99" t="s">
        <v>1713</v>
      </c>
      <c r="F99" t="s">
        <v>766</v>
      </c>
      <c r="G99" t="s">
        <v>1865</v>
      </c>
      <c r="H99" t="s">
        <v>1866</v>
      </c>
      <c r="J99" t="s">
        <v>503</v>
      </c>
    </row>
    <row r="100" spans="1:10" hidden="1" x14ac:dyDescent="0.35">
      <c r="A100">
        <v>169</v>
      </c>
      <c r="B100" s="7" t="s">
        <v>1784</v>
      </c>
      <c r="C100" t="s">
        <v>766</v>
      </c>
      <c r="D100" t="s">
        <v>34</v>
      </c>
      <c r="E100" t="s">
        <v>1713</v>
      </c>
      <c r="F100" t="s">
        <v>766</v>
      </c>
      <c r="G100" t="s">
        <v>1865</v>
      </c>
      <c r="H100" t="s">
        <v>1866</v>
      </c>
      <c r="J100" t="s">
        <v>503</v>
      </c>
    </row>
    <row r="101" spans="1:10" hidden="1" x14ac:dyDescent="0.35">
      <c r="A101">
        <v>169</v>
      </c>
      <c r="B101" s="7" t="s">
        <v>1830</v>
      </c>
      <c r="C101" t="s">
        <v>766</v>
      </c>
      <c r="D101" t="s">
        <v>1817</v>
      </c>
      <c r="E101" t="s">
        <v>1713</v>
      </c>
      <c r="F101" t="s">
        <v>766</v>
      </c>
      <c r="G101" t="s">
        <v>1865</v>
      </c>
      <c r="H101" t="s">
        <v>1866</v>
      </c>
      <c r="J101" t="s">
        <v>503</v>
      </c>
    </row>
    <row r="102" spans="1:10" hidden="1" x14ac:dyDescent="0.35">
      <c r="A102">
        <v>169</v>
      </c>
      <c r="B102" s="2" t="s">
        <v>1742</v>
      </c>
      <c r="C102" t="s">
        <v>766</v>
      </c>
      <c r="D102" t="s">
        <v>1743</v>
      </c>
      <c r="E102" t="s">
        <v>1713</v>
      </c>
      <c r="F102" t="s">
        <v>766</v>
      </c>
      <c r="G102" t="s">
        <v>1865</v>
      </c>
      <c r="H102" t="s">
        <v>1866</v>
      </c>
      <c r="J102" t="s">
        <v>503</v>
      </c>
    </row>
    <row r="103" spans="1:10" hidden="1" x14ac:dyDescent="0.35">
      <c r="A103">
        <v>169</v>
      </c>
      <c r="B103" s="58" t="s">
        <v>1799</v>
      </c>
      <c r="C103" t="s">
        <v>766</v>
      </c>
      <c r="D103" t="s">
        <v>1850</v>
      </c>
      <c r="E103" t="s">
        <v>1713</v>
      </c>
      <c r="F103" t="s">
        <v>766</v>
      </c>
      <c r="G103" t="s">
        <v>1865</v>
      </c>
      <c r="H103" t="s">
        <v>1866</v>
      </c>
      <c r="J103" t="s">
        <v>503</v>
      </c>
    </row>
    <row r="104" spans="1:10" hidden="1" x14ac:dyDescent="0.35">
      <c r="A104">
        <v>169</v>
      </c>
      <c r="B104" s="59" t="s">
        <v>1867</v>
      </c>
      <c r="C104" t="s">
        <v>1374</v>
      </c>
      <c r="D104" t="s">
        <v>1817</v>
      </c>
      <c r="E104" t="s">
        <v>1713</v>
      </c>
      <c r="F104" t="s">
        <v>766</v>
      </c>
      <c r="G104" t="s">
        <v>1865</v>
      </c>
      <c r="H104" t="s">
        <v>1866</v>
      </c>
      <c r="J104" t="s">
        <v>503</v>
      </c>
    </row>
    <row r="105" spans="1:10" hidden="1" x14ac:dyDescent="0.35">
      <c r="A105">
        <v>169</v>
      </c>
      <c r="B105" s="44" t="s">
        <v>1868</v>
      </c>
      <c r="C105" t="s">
        <v>766</v>
      </c>
      <c r="D105" t="s">
        <v>1817</v>
      </c>
      <c r="E105" t="s">
        <v>1713</v>
      </c>
      <c r="F105" t="s">
        <v>766</v>
      </c>
      <c r="G105" t="s">
        <v>1865</v>
      </c>
      <c r="H105" t="s">
        <v>1866</v>
      </c>
      <c r="J105" t="s">
        <v>503</v>
      </c>
    </row>
    <row r="106" spans="1:10" hidden="1" x14ac:dyDescent="0.35">
      <c r="A106">
        <v>169</v>
      </c>
      <c r="B106" s="65" t="s">
        <v>1869</v>
      </c>
      <c r="C106" t="s">
        <v>766</v>
      </c>
      <c r="D106" t="s">
        <v>1817</v>
      </c>
      <c r="E106" t="s">
        <v>1713</v>
      </c>
      <c r="F106" t="s">
        <v>766</v>
      </c>
      <c r="G106" t="s">
        <v>1865</v>
      </c>
      <c r="H106" t="s">
        <v>1866</v>
      </c>
      <c r="J106" t="s">
        <v>503</v>
      </c>
    </row>
    <row r="107" spans="1:10" hidden="1" x14ac:dyDescent="0.35">
      <c r="A107">
        <v>169</v>
      </c>
      <c r="B107" s="67" t="s">
        <v>1870</v>
      </c>
      <c r="C107" t="s">
        <v>137</v>
      </c>
      <c r="D107" t="s">
        <v>1871</v>
      </c>
      <c r="E107" t="s">
        <v>1713</v>
      </c>
      <c r="F107" t="s">
        <v>57</v>
      </c>
      <c r="G107" t="s">
        <v>1865</v>
      </c>
      <c r="H107" t="s">
        <v>1866</v>
      </c>
      <c r="J107" t="s">
        <v>1872</v>
      </c>
    </row>
    <row r="108" spans="1:10" hidden="1" x14ac:dyDescent="0.35">
      <c r="A108">
        <v>169</v>
      </c>
      <c r="B108" s="17" t="s">
        <v>1813</v>
      </c>
      <c r="C108" t="s">
        <v>137</v>
      </c>
      <c r="D108" t="s">
        <v>1873</v>
      </c>
      <c r="E108" t="s">
        <v>1713</v>
      </c>
      <c r="F108" t="s">
        <v>137</v>
      </c>
      <c r="G108" t="s">
        <v>1865</v>
      </c>
      <c r="H108" t="s">
        <v>1866</v>
      </c>
      <c r="J108" t="s">
        <v>1872</v>
      </c>
    </row>
    <row r="109" spans="1:10" x14ac:dyDescent="0.35">
      <c r="A109">
        <v>169</v>
      </c>
      <c r="B109" t="s">
        <v>1874</v>
      </c>
      <c r="C109" t="s">
        <v>1777</v>
      </c>
      <c r="D109" t="s">
        <v>1875</v>
      </c>
      <c r="E109" t="s">
        <v>1713</v>
      </c>
      <c r="F109" t="s">
        <v>57</v>
      </c>
      <c r="G109" t="s">
        <v>1865</v>
      </c>
      <c r="H109" t="s">
        <v>1866</v>
      </c>
      <c r="J109" t="s">
        <v>1872</v>
      </c>
    </row>
    <row r="110" spans="1:10" hidden="1" x14ac:dyDescent="0.35">
      <c r="A110">
        <v>169</v>
      </c>
      <c r="B110" s="67" t="s">
        <v>1876</v>
      </c>
      <c r="C110" t="s">
        <v>137</v>
      </c>
      <c r="D110" t="s">
        <v>112</v>
      </c>
      <c r="E110" t="s">
        <v>1713</v>
      </c>
      <c r="F110" t="s">
        <v>57</v>
      </c>
      <c r="G110" t="s">
        <v>1865</v>
      </c>
      <c r="H110" t="s">
        <v>1866</v>
      </c>
      <c r="J110" t="s">
        <v>1872</v>
      </c>
    </row>
    <row r="111" spans="1:10" hidden="1" x14ac:dyDescent="0.35">
      <c r="A111">
        <v>258</v>
      </c>
      <c r="B111" s="2" t="s">
        <v>1742</v>
      </c>
      <c r="C111" t="s">
        <v>766</v>
      </c>
      <c r="D111" t="s">
        <v>1743</v>
      </c>
      <c r="E111" t="s">
        <v>1713</v>
      </c>
      <c r="F111" t="s">
        <v>766</v>
      </c>
      <c r="G111" t="s">
        <v>1810</v>
      </c>
      <c r="H111" t="s">
        <v>1877</v>
      </c>
      <c r="J111" t="s">
        <v>1878</v>
      </c>
    </row>
    <row r="112" spans="1:10" hidden="1" x14ac:dyDescent="0.35">
      <c r="A112">
        <v>258</v>
      </c>
      <c r="B112" s="59" t="s">
        <v>1797</v>
      </c>
      <c r="C112" t="s">
        <v>1374</v>
      </c>
      <c r="D112" t="s">
        <v>1879</v>
      </c>
      <c r="E112" t="s">
        <v>1713</v>
      </c>
      <c r="F112" t="s">
        <v>1374</v>
      </c>
      <c r="G112" t="s">
        <v>1810</v>
      </c>
      <c r="H112" t="s">
        <v>1877</v>
      </c>
      <c r="J112" t="s">
        <v>1878</v>
      </c>
    </row>
    <row r="113" spans="1:11" hidden="1" x14ac:dyDescent="0.35">
      <c r="A113">
        <v>258</v>
      </c>
      <c r="B113" s="19" t="s">
        <v>1880</v>
      </c>
      <c r="C113" t="s">
        <v>766</v>
      </c>
      <c r="D113" t="s">
        <v>1879</v>
      </c>
      <c r="E113" t="s">
        <v>1713</v>
      </c>
      <c r="F113" t="s">
        <v>766</v>
      </c>
      <c r="G113" t="s">
        <v>1810</v>
      </c>
      <c r="H113" t="s">
        <v>1877</v>
      </c>
      <c r="J113" t="s">
        <v>1878</v>
      </c>
    </row>
    <row r="114" spans="1:11" hidden="1" x14ac:dyDescent="0.35">
      <c r="A114">
        <v>258</v>
      </c>
      <c r="B114" s="7" t="s">
        <v>1881</v>
      </c>
      <c r="C114" t="s">
        <v>766</v>
      </c>
      <c r="D114" t="s">
        <v>1879</v>
      </c>
      <c r="E114" t="s">
        <v>1713</v>
      </c>
      <c r="F114" t="s">
        <v>766</v>
      </c>
      <c r="G114" t="s">
        <v>1810</v>
      </c>
      <c r="H114" t="s">
        <v>1877</v>
      </c>
      <c r="J114" t="s">
        <v>1878</v>
      </c>
    </row>
    <row r="115" spans="1:11" hidden="1" x14ac:dyDescent="0.35">
      <c r="A115">
        <v>258</v>
      </c>
      <c r="B115" s="7" t="s">
        <v>1882</v>
      </c>
      <c r="C115" t="s">
        <v>766</v>
      </c>
      <c r="D115" t="s">
        <v>1879</v>
      </c>
      <c r="E115" t="s">
        <v>1713</v>
      </c>
      <c r="F115" t="s">
        <v>766</v>
      </c>
      <c r="G115" t="s">
        <v>1810</v>
      </c>
      <c r="H115" t="s">
        <v>1877</v>
      </c>
      <c r="J115" t="s">
        <v>1878</v>
      </c>
    </row>
    <row r="116" spans="1:11" hidden="1" x14ac:dyDescent="0.35">
      <c r="A116">
        <v>258</v>
      </c>
      <c r="B116" s="19" t="s">
        <v>1883</v>
      </c>
      <c r="C116" t="s">
        <v>766</v>
      </c>
      <c r="D116" t="s">
        <v>1879</v>
      </c>
      <c r="E116" t="s">
        <v>1713</v>
      </c>
      <c r="F116" t="s">
        <v>766</v>
      </c>
      <c r="G116" t="s">
        <v>1810</v>
      </c>
      <c r="H116" t="s">
        <v>1877</v>
      </c>
      <c r="J116" t="s">
        <v>1878</v>
      </c>
    </row>
    <row r="117" spans="1:11" hidden="1" x14ac:dyDescent="0.35">
      <c r="A117">
        <v>258</v>
      </c>
      <c r="B117" s="6" t="s">
        <v>1884</v>
      </c>
      <c r="C117" t="s">
        <v>766</v>
      </c>
      <c r="D117" t="s">
        <v>1885</v>
      </c>
      <c r="E117" t="s">
        <v>1713</v>
      </c>
      <c r="F117" t="s">
        <v>766</v>
      </c>
      <c r="G117" t="s">
        <v>1810</v>
      </c>
      <c r="H117" t="s">
        <v>1877</v>
      </c>
      <c r="J117" t="s">
        <v>1878</v>
      </c>
    </row>
    <row r="118" spans="1:11" hidden="1" x14ac:dyDescent="0.35">
      <c r="A118">
        <v>258</v>
      </c>
      <c r="B118" s="6" t="s">
        <v>1886</v>
      </c>
      <c r="C118" t="s">
        <v>766</v>
      </c>
      <c r="D118" t="s">
        <v>1885</v>
      </c>
      <c r="E118" t="s">
        <v>1713</v>
      </c>
      <c r="F118" t="s">
        <v>766</v>
      </c>
      <c r="G118" t="s">
        <v>1810</v>
      </c>
      <c r="H118" t="s">
        <v>1877</v>
      </c>
      <c r="J118" t="s">
        <v>1878</v>
      </c>
    </row>
    <row r="119" spans="1:11" hidden="1" x14ac:dyDescent="0.35">
      <c r="A119">
        <v>258</v>
      </c>
      <c r="B119" s="7" t="s">
        <v>1830</v>
      </c>
      <c r="C119" t="s">
        <v>766</v>
      </c>
      <c r="D119" t="s">
        <v>1885</v>
      </c>
      <c r="E119" t="s">
        <v>1713</v>
      </c>
      <c r="F119" t="s">
        <v>766</v>
      </c>
      <c r="G119" t="s">
        <v>1810</v>
      </c>
      <c r="H119" t="s">
        <v>1877</v>
      </c>
      <c r="J119" t="s">
        <v>1878</v>
      </c>
    </row>
    <row r="120" spans="1:11" hidden="1" x14ac:dyDescent="0.35">
      <c r="A120">
        <v>258</v>
      </c>
      <c r="B120" t="s">
        <v>1887</v>
      </c>
      <c r="C120" t="s">
        <v>137</v>
      </c>
      <c r="D120" t="s">
        <v>1888</v>
      </c>
      <c r="E120" t="s">
        <v>1713</v>
      </c>
      <c r="F120" t="s">
        <v>137</v>
      </c>
      <c r="G120" t="s">
        <v>1810</v>
      </c>
      <c r="H120" t="s">
        <v>1877</v>
      </c>
      <c r="J120" t="s">
        <v>1878</v>
      </c>
      <c r="K120" t="s">
        <v>1889</v>
      </c>
    </row>
    <row r="121" spans="1:11" hidden="1" x14ac:dyDescent="0.35">
      <c r="A121">
        <v>258</v>
      </c>
      <c r="B121" t="s">
        <v>1890</v>
      </c>
      <c r="C121" t="s">
        <v>137</v>
      </c>
      <c r="D121" t="s">
        <v>1888</v>
      </c>
      <c r="E121" t="s">
        <v>1713</v>
      </c>
      <c r="F121" t="s">
        <v>137</v>
      </c>
      <c r="G121" t="s">
        <v>1810</v>
      </c>
      <c r="H121" t="s">
        <v>1877</v>
      </c>
      <c r="J121" t="s">
        <v>1878</v>
      </c>
      <c r="K121" t="s">
        <v>1889</v>
      </c>
    </row>
    <row r="122" spans="1:11" hidden="1" x14ac:dyDescent="0.35">
      <c r="A122">
        <v>258</v>
      </c>
      <c r="B122" s="43" t="s">
        <v>1891</v>
      </c>
      <c r="C122" t="s">
        <v>137</v>
      </c>
      <c r="D122" t="s">
        <v>1892</v>
      </c>
      <c r="E122" t="s">
        <v>1713</v>
      </c>
      <c r="F122" t="s">
        <v>22</v>
      </c>
      <c r="G122" t="s">
        <v>1810</v>
      </c>
      <c r="H122" t="s">
        <v>1877</v>
      </c>
      <c r="J122" t="s">
        <v>1878</v>
      </c>
    </row>
    <row r="123" spans="1:11" hidden="1" x14ac:dyDescent="0.35">
      <c r="A123">
        <v>258</v>
      </c>
      <c r="B123" t="s">
        <v>1893</v>
      </c>
      <c r="C123" t="s">
        <v>137</v>
      </c>
      <c r="D123" t="s">
        <v>1894</v>
      </c>
      <c r="E123" t="s">
        <v>1713</v>
      </c>
      <c r="F123" t="s">
        <v>33</v>
      </c>
      <c r="G123" t="s">
        <v>1810</v>
      </c>
      <c r="H123" t="s">
        <v>1877</v>
      </c>
      <c r="J123" t="s">
        <v>1878</v>
      </c>
    </row>
    <row r="124" spans="1:11" hidden="1" x14ac:dyDescent="0.35">
      <c r="A124">
        <v>258</v>
      </c>
      <c r="B124" s="43" t="s">
        <v>1895</v>
      </c>
      <c r="C124" t="s">
        <v>137</v>
      </c>
      <c r="D124" t="s">
        <v>34</v>
      </c>
      <c r="E124" t="s">
        <v>1713</v>
      </c>
      <c r="F124" t="s">
        <v>24</v>
      </c>
      <c r="G124" t="s">
        <v>1810</v>
      </c>
      <c r="H124" t="s">
        <v>1877</v>
      </c>
      <c r="J124" t="s">
        <v>1878</v>
      </c>
    </row>
    <row r="125" spans="1:11" hidden="1" x14ac:dyDescent="0.35">
      <c r="A125">
        <v>258</v>
      </c>
      <c r="B125" s="43" t="s">
        <v>1896</v>
      </c>
      <c r="C125" t="s">
        <v>137</v>
      </c>
      <c r="D125" t="s">
        <v>1897</v>
      </c>
      <c r="E125" t="s">
        <v>1713</v>
      </c>
      <c r="F125" t="s">
        <v>22</v>
      </c>
      <c r="G125" t="s">
        <v>1810</v>
      </c>
      <c r="H125" t="s">
        <v>1877</v>
      </c>
      <c r="J125" t="s">
        <v>1878</v>
      </c>
    </row>
    <row r="126" spans="1:11" hidden="1" x14ac:dyDescent="0.35">
      <c r="A126">
        <v>258</v>
      </c>
      <c r="B126" s="43" t="s">
        <v>1898</v>
      </c>
      <c r="C126" t="s">
        <v>137</v>
      </c>
      <c r="D126" t="s">
        <v>1897</v>
      </c>
      <c r="E126" t="s">
        <v>1713</v>
      </c>
      <c r="F126" t="s">
        <v>22</v>
      </c>
      <c r="G126" t="s">
        <v>1810</v>
      </c>
      <c r="H126" t="s">
        <v>1877</v>
      </c>
      <c r="J126" t="s">
        <v>1878</v>
      </c>
    </row>
    <row r="127" spans="1:11" hidden="1" x14ac:dyDescent="0.35">
      <c r="A127">
        <v>258</v>
      </c>
      <c r="B127" t="s">
        <v>1899</v>
      </c>
      <c r="C127" t="s">
        <v>766</v>
      </c>
      <c r="D127" t="s">
        <v>1900</v>
      </c>
      <c r="E127" t="s">
        <v>1713</v>
      </c>
      <c r="F127" t="s">
        <v>137</v>
      </c>
      <c r="G127" t="s">
        <v>1810</v>
      </c>
      <c r="H127" t="s">
        <v>1877</v>
      </c>
      <c r="J127" t="s">
        <v>1878</v>
      </c>
    </row>
    <row r="128" spans="1:11" hidden="1" x14ac:dyDescent="0.35">
      <c r="A128">
        <v>258</v>
      </c>
      <c r="B128" s="43" t="s">
        <v>1901</v>
      </c>
      <c r="C128" t="s">
        <v>137</v>
      </c>
      <c r="D128" t="s">
        <v>34</v>
      </c>
      <c r="E128" t="s">
        <v>1713</v>
      </c>
      <c r="F128" t="s">
        <v>33</v>
      </c>
      <c r="G128" t="s">
        <v>1810</v>
      </c>
      <c r="H128" t="s">
        <v>1877</v>
      </c>
      <c r="J128" t="s">
        <v>1878</v>
      </c>
    </row>
    <row r="129" spans="1:11" hidden="1" x14ac:dyDescent="0.35">
      <c r="A129">
        <v>259</v>
      </c>
      <c r="B129" s="19" t="s">
        <v>1902</v>
      </c>
      <c r="C129" t="s">
        <v>766</v>
      </c>
      <c r="D129" t="s">
        <v>1903</v>
      </c>
      <c r="E129" t="s">
        <v>1713</v>
      </c>
      <c r="F129" t="s">
        <v>766</v>
      </c>
      <c r="G129" t="s">
        <v>1904</v>
      </c>
      <c r="H129" t="s">
        <v>1905</v>
      </c>
      <c r="J129" t="s">
        <v>1906</v>
      </c>
    </row>
    <row r="130" spans="1:11" hidden="1" x14ac:dyDescent="0.35">
      <c r="A130">
        <v>259</v>
      </c>
      <c r="B130" s="19" t="s">
        <v>1907</v>
      </c>
      <c r="C130" t="s">
        <v>766</v>
      </c>
      <c r="D130" t="s">
        <v>1903</v>
      </c>
      <c r="E130" t="s">
        <v>1713</v>
      </c>
      <c r="F130" t="s">
        <v>766</v>
      </c>
      <c r="G130" t="s">
        <v>1904</v>
      </c>
      <c r="H130" t="s">
        <v>1905</v>
      </c>
      <c r="J130" t="s">
        <v>1906</v>
      </c>
    </row>
    <row r="131" spans="1:11" hidden="1" x14ac:dyDescent="0.35">
      <c r="A131">
        <v>259</v>
      </c>
      <c r="B131" s="19" t="s">
        <v>1908</v>
      </c>
      <c r="C131" t="s">
        <v>766</v>
      </c>
      <c r="D131" t="s">
        <v>1903</v>
      </c>
      <c r="E131" t="s">
        <v>1713</v>
      </c>
      <c r="F131" t="s">
        <v>766</v>
      </c>
      <c r="G131" t="s">
        <v>1904</v>
      </c>
      <c r="H131" t="s">
        <v>1905</v>
      </c>
      <c r="J131" t="s">
        <v>1906</v>
      </c>
    </row>
    <row r="132" spans="1:11" hidden="1" x14ac:dyDescent="0.35">
      <c r="A132">
        <v>259</v>
      </c>
      <c r="B132" t="s">
        <v>1909</v>
      </c>
      <c r="C132" t="s">
        <v>766</v>
      </c>
      <c r="E132" t="s">
        <v>1713</v>
      </c>
      <c r="F132" t="s">
        <v>766</v>
      </c>
      <c r="G132" t="s">
        <v>1904</v>
      </c>
      <c r="H132" t="s">
        <v>1905</v>
      </c>
      <c r="J132" t="s">
        <v>1906</v>
      </c>
      <c r="K132" t="s">
        <v>1910</v>
      </c>
    </row>
    <row r="133" spans="1:11" hidden="1" x14ac:dyDescent="0.35">
      <c r="A133">
        <v>259</v>
      </c>
      <c r="B133" t="s">
        <v>1911</v>
      </c>
      <c r="C133" t="s">
        <v>766</v>
      </c>
      <c r="E133" t="s">
        <v>1713</v>
      </c>
      <c r="F133" t="s">
        <v>766</v>
      </c>
      <c r="G133" t="s">
        <v>1904</v>
      </c>
      <c r="H133" t="s">
        <v>1905</v>
      </c>
      <c r="J133" t="s">
        <v>1906</v>
      </c>
      <c r="K133" t="s">
        <v>1912</v>
      </c>
    </row>
    <row r="134" spans="1:11" hidden="1" x14ac:dyDescent="0.35">
      <c r="A134">
        <v>259</v>
      </c>
      <c r="B134" t="s">
        <v>1913</v>
      </c>
      <c r="C134" t="s">
        <v>766</v>
      </c>
      <c r="D134" t="s">
        <v>1914</v>
      </c>
      <c r="E134" t="s">
        <v>1713</v>
      </c>
      <c r="F134" t="s">
        <v>766</v>
      </c>
      <c r="G134" t="s">
        <v>1904</v>
      </c>
      <c r="H134" t="s">
        <v>1905</v>
      </c>
      <c r="J134" t="s">
        <v>1906</v>
      </c>
    </row>
    <row r="135" spans="1:11" hidden="1" x14ac:dyDescent="0.35">
      <c r="A135">
        <v>259</v>
      </c>
      <c r="B135" t="s">
        <v>1915</v>
      </c>
      <c r="C135" t="s">
        <v>766</v>
      </c>
      <c r="D135" t="s">
        <v>1914</v>
      </c>
      <c r="E135" t="s">
        <v>1713</v>
      </c>
      <c r="F135" t="s">
        <v>766</v>
      </c>
      <c r="G135" t="s">
        <v>1904</v>
      </c>
      <c r="H135" t="s">
        <v>1905</v>
      </c>
      <c r="J135" t="s">
        <v>1906</v>
      </c>
    </row>
    <row r="136" spans="1:11" hidden="1" x14ac:dyDescent="0.35">
      <c r="A136">
        <v>259</v>
      </c>
      <c r="B136" t="s">
        <v>1916</v>
      </c>
      <c r="C136" t="s">
        <v>766</v>
      </c>
      <c r="D136" t="s">
        <v>1914</v>
      </c>
      <c r="E136" t="s">
        <v>1713</v>
      </c>
      <c r="F136" t="s">
        <v>766</v>
      </c>
      <c r="G136" t="s">
        <v>1904</v>
      </c>
      <c r="H136" t="s">
        <v>1905</v>
      </c>
      <c r="J136" t="s">
        <v>1906</v>
      </c>
    </row>
    <row r="137" spans="1:11" hidden="1" x14ac:dyDescent="0.35">
      <c r="A137">
        <v>285</v>
      </c>
      <c r="B137" s="43" t="s">
        <v>1917</v>
      </c>
      <c r="C137" t="s">
        <v>137</v>
      </c>
      <c r="D137" t="s">
        <v>1918</v>
      </c>
      <c r="E137" t="s">
        <v>1713</v>
      </c>
      <c r="F137" t="s">
        <v>22</v>
      </c>
      <c r="G137" t="s">
        <v>1919</v>
      </c>
      <c r="H137" t="s">
        <v>1124</v>
      </c>
      <c r="J137" t="s">
        <v>1920</v>
      </c>
    </row>
    <row r="138" spans="1:11" hidden="1" x14ac:dyDescent="0.35">
      <c r="A138">
        <v>285</v>
      </c>
      <c r="B138" s="43" t="s">
        <v>1921</v>
      </c>
      <c r="C138" t="s">
        <v>137</v>
      </c>
      <c r="D138" t="s">
        <v>1918</v>
      </c>
      <c r="E138" t="s">
        <v>1713</v>
      </c>
      <c r="F138" t="s">
        <v>22</v>
      </c>
      <c r="G138" t="s">
        <v>1919</v>
      </c>
      <c r="H138" t="s">
        <v>1124</v>
      </c>
      <c r="J138" t="s">
        <v>1920</v>
      </c>
    </row>
    <row r="139" spans="1:11" hidden="1" x14ac:dyDescent="0.35">
      <c r="A139">
        <v>285</v>
      </c>
      <c r="B139" s="43" t="s">
        <v>1922</v>
      </c>
      <c r="C139" t="s">
        <v>137</v>
      </c>
      <c r="D139" t="s">
        <v>1918</v>
      </c>
      <c r="E139" t="s">
        <v>1713</v>
      </c>
      <c r="F139" t="s">
        <v>22</v>
      </c>
      <c r="G139" t="s">
        <v>1919</v>
      </c>
      <c r="H139" t="s">
        <v>1124</v>
      </c>
      <c r="J139" t="s">
        <v>1920</v>
      </c>
    </row>
    <row r="140" spans="1:11" hidden="1" x14ac:dyDescent="0.35">
      <c r="A140">
        <v>285</v>
      </c>
      <c r="B140" t="s">
        <v>1923</v>
      </c>
      <c r="C140" t="s">
        <v>137</v>
      </c>
      <c r="D140" t="s">
        <v>765</v>
      </c>
      <c r="E140" t="s">
        <v>1713</v>
      </c>
      <c r="F140" t="s">
        <v>57</v>
      </c>
      <c r="G140" t="s">
        <v>1919</v>
      </c>
      <c r="H140" t="s">
        <v>1124</v>
      </c>
      <c r="J140" t="s">
        <v>1924</v>
      </c>
    </row>
    <row r="141" spans="1:11" hidden="1" x14ac:dyDescent="0.35">
      <c r="A141">
        <v>314</v>
      </c>
      <c r="B141" s="19" t="s">
        <v>1851</v>
      </c>
      <c r="C141" t="s">
        <v>766</v>
      </c>
      <c r="D141" t="s">
        <v>34</v>
      </c>
      <c r="E141" t="s">
        <v>1713</v>
      </c>
      <c r="F141" t="s">
        <v>766</v>
      </c>
      <c r="G141" t="s">
        <v>120</v>
      </c>
      <c r="H141" t="s">
        <v>754</v>
      </c>
      <c r="J141" t="s">
        <v>27</v>
      </c>
    </row>
    <row r="142" spans="1:11" hidden="1" x14ac:dyDescent="0.35">
      <c r="A142">
        <v>314</v>
      </c>
      <c r="B142" s="2" t="s">
        <v>1742</v>
      </c>
      <c r="C142" t="s">
        <v>766</v>
      </c>
      <c r="D142" t="s">
        <v>1743</v>
      </c>
      <c r="E142" t="s">
        <v>1713</v>
      </c>
      <c r="F142" t="s">
        <v>766</v>
      </c>
      <c r="G142" t="s">
        <v>120</v>
      </c>
      <c r="H142" t="s">
        <v>754</v>
      </c>
      <c r="J142" t="s">
        <v>27</v>
      </c>
    </row>
    <row r="143" spans="1:11" hidden="1" x14ac:dyDescent="0.35">
      <c r="A143">
        <v>314</v>
      </c>
      <c r="B143" s="58" t="s">
        <v>1799</v>
      </c>
      <c r="C143" t="s">
        <v>766</v>
      </c>
      <c r="D143" t="s">
        <v>1850</v>
      </c>
      <c r="E143" t="s">
        <v>1713</v>
      </c>
      <c r="F143" t="s">
        <v>766</v>
      </c>
      <c r="G143" t="s">
        <v>120</v>
      </c>
      <c r="H143" t="s">
        <v>754</v>
      </c>
      <c r="J143" t="s">
        <v>27</v>
      </c>
    </row>
    <row r="144" spans="1:11" hidden="1" x14ac:dyDescent="0.35">
      <c r="A144">
        <v>314</v>
      </c>
      <c r="B144" s="35" t="s">
        <v>1925</v>
      </c>
      <c r="C144" t="s">
        <v>766</v>
      </c>
      <c r="D144" t="s">
        <v>34</v>
      </c>
      <c r="E144" t="s">
        <v>1713</v>
      </c>
      <c r="F144" t="s">
        <v>766</v>
      </c>
      <c r="G144" t="s">
        <v>120</v>
      </c>
      <c r="H144" t="s">
        <v>754</v>
      </c>
      <c r="J144" t="s">
        <v>27</v>
      </c>
    </row>
    <row r="145" spans="1:10" hidden="1" x14ac:dyDescent="0.35">
      <c r="A145">
        <v>314</v>
      </c>
      <c r="B145" s="2" t="s">
        <v>1926</v>
      </c>
      <c r="C145" t="s">
        <v>1374</v>
      </c>
      <c r="D145" t="s">
        <v>34</v>
      </c>
      <c r="E145" t="s">
        <v>1713</v>
      </c>
      <c r="F145" t="s">
        <v>1374</v>
      </c>
      <c r="G145" t="s">
        <v>120</v>
      </c>
      <c r="H145" t="s">
        <v>754</v>
      </c>
      <c r="J145" t="s">
        <v>27</v>
      </c>
    </row>
    <row r="146" spans="1:10" hidden="1" x14ac:dyDescent="0.35">
      <c r="A146">
        <v>314</v>
      </c>
      <c r="B146" t="s">
        <v>1728</v>
      </c>
      <c r="C146" t="s">
        <v>1711</v>
      </c>
      <c r="D146" t="s">
        <v>1927</v>
      </c>
      <c r="E146" t="s">
        <v>1713</v>
      </c>
      <c r="F146" t="s">
        <v>1714</v>
      </c>
      <c r="G146" t="s">
        <v>120</v>
      </c>
      <c r="H146" t="s">
        <v>589</v>
      </c>
      <c r="J146" t="s">
        <v>1928</v>
      </c>
    </row>
    <row r="147" spans="1:10" hidden="1" x14ac:dyDescent="0.35">
      <c r="A147">
        <v>314</v>
      </c>
      <c r="B147" t="s">
        <v>1929</v>
      </c>
      <c r="C147" t="s">
        <v>1711</v>
      </c>
      <c r="D147" t="s">
        <v>1930</v>
      </c>
      <c r="E147" t="s">
        <v>1713</v>
      </c>
      <c r="F147" t="s">
        <v>1714</v>
      </c>
      <c r="G147" t="s">
        <v>120</v>
      </c>
      <c r="H147" t="s">
        <v>589</v>
      </c>
      <c r="J147" t="s">
        <v>1928</v>
      </c>
    </row>
    <row r="148" spans="1:10" hidden="1" x14ac:dyDescent="0.35">
      <c r="A148">
        <v>314</v>
      </c>
      <c r="B148" t="s">
        <v>1931</v>
      </c>
      <c r="C148" t="s">
        <v>1711</v>
      </c>
      <c r="D148" t="s">
        <v>196</v>
      </c>
      <c r="E148" t="s">
        <v>1713</v>
      </c>
      <c r="F148" t="s">
        <v>1714</v>
      </c>
      <c r="G148" t="s">
        <v>120</v>
      </c>
      <c r="H148" t="s">
        <v>589</v>
      </c>
      <c r="J148" t="s">
        <v>1928</v>
      </c>
    </row>
    <row r="149" spans="1:10" hidden="1" x14ac:dyDescent="0.35">
      <c r="A149">
        <v>388</v>
      </c>
      <c r="B149" t="s">
        <v>1932</v>
      </c>
      <c r="C149" t="s">
        <v>1711</v>
      </c>
      <c r="D149" t="s">
        <v>1712</v>
      </c>
      <c r="E149" t="s">
        <v>1713</v>
      </c>
      <c r="F149" t="s">
        <v>1714</v>
      </c>
      <c r="G149" t="s">
        <v>1861</v>
      </c>
      <c r="H149" t="s">
        <v>872</v>
      </c>
      <c r="I149" t="s">
        <v>163</v>
      </c>
      <c r="J149" t="s">
        <v>1933</v>
      </c>
    </row>
    <row r="150" spans="1:10" hidden="1" x14ac:dyDescent="0.35">
      <c r="A150">
        <v>388</v>
      </c>
      <c r="B150" t="s">
        <v>1934</v>
      </c>
      <c r="C150" t="s">
        <v>1711</v>
      </c>
      <c r="D150" t="s">
        <v>34</v>
      </c>
      <c r="E150" t="s">
        <v>1713</v>
      </c>
      <c r="F150" t="s">
        <v>1714</v>
      </c>
      <c r="G150" t="s">
        <v>16</v>
      </c>
      <c r="H150" t="s">
        <v>1935</v>
      </c>
      <c r="J150" t="s">
        <v>1936</v>
      </c>
    </row>
    <row r="151" spans="1:10" hidden="1" x14ac:dyDescent="0.35">
      <c r="A151">
        <v>388</v>
      </c>
      <c r="B151" t="s">
        <v>1937</v>
      </c>
      <c r="C151" t="s">
        <v>1711</v>
      </c>
      <c r="D151" t="s">
        <v>1938</v>
      </c>
      <c r="E151" t="s">
        <v>1713</v>
      </c>
      <c r="F151" t="s">
        <v>1714</v>
      </c>
      <c r="G151" t="s">
        <v>16</v>
      </c>
      <c r="H151" t="s">
        <v>1935</v>
      </c>
      <c r="J151" t="s">
        <v>1939</v>
      </c>
    </row>
    <row r="152" spans="1:10" hidden="1" x14ac:dyDescent="0.35">
      <c r="A152">
        <v>399</v>
      </c>
      <c r="B152" s="67" t="s">
        <v>1940</v>
      </c>
      <c r="C152" t="s">
        <v>137</v>
      </c>
      <c r="D152" t="s">
        <v>1941</v>
      </c>
      <c r="E152" t="s">
        <v>1713</v>
      </c>
      <c r="F152" t="s">
        <v>57</v>
      </c>
      <c r="G152" t="s">
        <v>1942</v>
      </c>
      <c r="H152" t="s">
        <v>1943</v>
      </c>
      <c r="J152" t="s">
        <v>503</v>
      </c>
    </row>
    <row r="153" spans="1:10" hidden="1" x14ac:dyDescent="0.35">
      <c r="A153">
        <v>399</v>
      </c>
      <c r="B153" s="67" t="s">
        <v>1944</v>
      </c>
      <c r="C153" t="s">
        <v>137</v>
      </c>
      <c r="D153" t="s">
        <v>1945</v>
      </c>
      <c r="E153" t="s">
        <v>1713</v>
      </c>
      <c r="F153" t="s">
        <v>57</v>
      </c>
      <c r="G153" t="s">
        <v>1942</v>
      </c>
      <c r="H153" t="s">
        <v>1943</v>
      </c>
      <c r="J153" t="s">
        <v>503</v>
      </c>
    </row>
    <row r="154" spans="1:10" hidden="1" x14ac:dyDescent="0.35">
      <c r="A154">
        <v>399</v>
      </c>
      <c r="B154" s="67" t="s">
        <v>1946</v>
      </c>
      <c r="C154" t="s">
        <v>137</v>
      </c>
      <c r="D154" t="s">
        <v>1945</v>
      </c>
      <c r="E154" t="s">
        <v>1713</v>
      </c>
      <c r="F154" t="s">
        <v>57</v>
      </c>
      <c r="G154" t="s">
        <v>1942</v>
      </c>
      <c r="H154" t="s">
        <v>1943</v>
      </c>
      <c r="J154" t="s">
        <v>503</v>
      </c>
    </row>
    <row r="155" spans="1:10" hidden="1" x14ac:dyDescent="0.35">
      <c r="A155">
        <v>399</v>
      </c>
      <c r="B155" s="67" t="s">
        <v>1947</v>
      </c>
      <c r="C155" t="s">
        <v>137</v>
      </c>
      <c r="D155" t="s">
        <v>1945</v>
      </c>
      <c r="E155" t="s">
        <v>1713</v>
      </c>
      <c r="F155" t="s">
        <v>57</v>
      </c>
      <c r="G155" t="s">
        <v>1942</v>
      </c>
      <c r="H155" t="s">
        <v>1943</v>
      </c>
      <c r="J155" t="s">
        <v>503</v>
      </c>
    </row>
    <row r="156" spans="1:10" hidden="1" x14ac:dyDescent="0.35">
      <c r="A156">
        <v>399</v>
      </c>
      <c r="B156" s="67" t="s">
        <v>1948</v>
      </c>
      <c r="C156" t="s">
        <v>137</v>
      </c>
      <c r="D156" t="s">
        <v>1945</v>
      </c>
      <c r="E156" t="s">
        <v>1713</v>
      </c>
      <c r="F156" t="s">
        <v>57</v>
      </c>
      <c r="G156" t="s">
        <v>1942</v>
      </c>
      <c r="H156" t="s">
        <v>1943</v>
      </c>
      <c r="J156" t="s">
        <v>503</v>
      </c>
    </row>
    <row r="157" spans="1:10" hidden="1" x14ac:dyDescent="0.35">
      <c r="A157">
        <v>399</v>
      </c>
      <c r="B157" s="17" t="s">
        <v>1949</v>
      </c>
      <c r="C157" t="s">
        <v>137</v>
      </c>
      <c r="D157" t="s">
        <v>1950</v>
      </c>
      <c r="E157" t="s">
        <v>1713</v>
      </c>
      <c r="F157" t="s">
        <v>137</v>
      </c>
      <c r="G157" t="s">
        <v>1942</v>
      </c>
      <c r="H157" t="s">
        <v>1943</v>
      </c>
      <c r="J157" t="s">
        <v>503</v>
      </c>
    </row>
    <row r="158" spans="1:10" hidden="1" x14ac:dyDescent="0.35">
      <c r="A158">
        <v>399</v>
      </c>
      <c r="B158" s="17" t="s">
        <v>1951</v>
      </c>
      <c r="C158" t="s">
        <v>137</v>
      </c>
      <c r="D158" t="s">
        <v>1950</v>
      </c>
      <c r="E158" t="s">
        <v>1713</v>
      </c>
      <c r="F158" t="s">
        <v>137</v>
      </c>
      <c r="G158" t="s">
        <v>1942</v>
      </c>
      <c r="H158" t="s">
        <v>1943</v>
      </c>
      <c r="J158" t="s">
        <v>503</v>
      </c>
    </row>
    <row r="159" spans="1:10" hidden="1" x14ac:dyDescent="0.35">
      <c r="A159">
        <v>399</v>
      </c>
      <c r="B159" s="17" t="s">
        <v>1952</v>
      </c>
      <c r="C159" t="s">
        <v>137</v>
      </c>
      <c r="D159" t="s">
        <v>1950</v>
      </c>
      <c r="E159" t="s">
        <v>1713</v>
      </c>
      <c r="F159" t="s">
        <v>137</v>
      </c>
      <c r="G159" t="s">
        <v>1942</v>
      </c>
      <c r="H159" t="s">
        <v>1943</v>
      </c>
      <c r="J159" t="s">
        <v>503</v>
      </c>
    </row>
    <row r="160" spans="1:10" hidden="1" x14ac:dyDescent="0.35">
      <c r="A160">
        <v>399</v>
      </c>
      <c r="B160" s="43" t="s">
        <v>1953</v>
      </c>
      <c r="C160" t="s">
        <v>137</v>
      </c>
      <c r="D160" t="s">
        <v>1954</v>
      </c>
      <c r="E160" t="s">
        <v>1713</v>
      </c>
      <c r="F160" t="s">
        <v>137</v>
      </c>
      <c r="G160" t="s">
        <v>1942</v>
      </c>
      <c r="H160" t="s">
        <v>1943</v>
      </c>
      <c r="J160" t="s">
        <v>503</v>
      </c>
    </row>
    <row r="161" spans="1:11" hidden="1" x14ac:dyDescent="0.35">
      <c r="A161">
        <v>399</v>
      </c>
      <c r="B161" s="43" t="s">
        <v>1955</v>
      </c>
      <c r="C161" t="s">
        <v>137</v>
      </c>
      <c r="D161" t="s">
        <v>1039</v>
      </c>
      <c r="E161" t="s">
        <v>1713</v>
      </c>
      <c r="F161" t="s">
        <v>22</v>
      </c>
      <c r="G161" t="s">
        <v>1942</v>
      </c>
      <c r="H161" t="s">
        <v>1943</v>
      </c>
      <c r="J161" t="s">
        <v>503</v>
      </c>
    </row>
    <row r="162" spans="1:11" hidden="1" x14ac:dyDescent="0.35">
      <c r="A162">
        <v>399</v>
      </c>
      <c r="B162" s="43" t="s">
        <v>1956</v>
      </c>
      <c r="C162" t="s">
        <v>137</v>
      </c>
      <c r="D162" t="s">
        <v>1957</v>
      </c>
      <c r="E162" t="s">
        <v>1713</v>
      </c>
      <c r="F162" t="s">
        <v>22</v>
      </c>
      <c r="G162" t="s">
        <v>1942</v>
      </c>
      <c r="H162" t="s">
        <v>1943</v>
      </c>
      <c r="J162" t="s">
        <v>503</v>
      </c>
    </row>
    <row r="163" spans="1:11" hidden="1" x14ac:dyDescent="0.35">
      <c r="A163">
        <v>399</v>
      </c>
      <c r="B163" s="43" t="s">
        <v>1958</v>
      </c>
      <c r="C163" t="s">
        <v>137</v>
      </c>
      <c r="D163" t="s">
        <v>1959</v>
      </c>
      <c r="E163" t="s">
        <v>1713</v>
      </c>
      <c r="F163" t="s">
        <v>22</v>
      </c>
      <c r="G163" t="s">
        <v>1942</v>
      </c>
      <c r="H163" t="s">
        <v>1943</v>
      </c>
      <c r="J163" t="s">
        <v>503</v>
      </c>
    </row>
    <row r="164" spans="1:11" hidden="1" x14ac:dyDescent="0.35">
      <c r="A164">
        <v>399</v>
      </c>
      <c r="B164" s="43" t="s">
        <v>1960</v>
      </c>
      <c r="C164" t="s">
        <v>137</v>
      </c>
      <c r="D164" t="s">
        <v>1005</v>
      </c>
      <c r="E164" t="s">
        <v>1713</v>
      </c>
      <c r="F164" t="s">
        <v>22</v>
      </c>
      <c r="G164" t="s">
        <v>1942</v>
      </c>
      <c r="H164" t="s">
        <v>1943</v>
      </c>
      <c r="J164" t="s">
        <v>503</v>
      </c>
    </row>
    <row r="165" spans="1:11" hidden="1" x14ac:dyDescent="0.35">
      <c r="A165">
        <v>399</v>
      </c>
      <c r="B165" s="43" t="s">
        <v>1961</v>
      </c>
      <c r="C165" t="s">
        <v>137</v>
      </c>
      <c r="D165" t="s">
        <v>1039</v>
      </c>
      <c r="E165" t="s">
        <v>1713</v>
      </c>
      <c r="F165" t="s">
        <v>22</v>
      </c>
      <c r="G165" t="s">
        <v>1942</v>
      </c>
      <c r="H165" t="s">
        <v>1943</v>
      </c>
      <c r="J165" t="s">
        <v>503</v>
      </c>
    </row>
    <row r="166" spans="1:11" hidden="1" x14ac:dyDescent="0.35">
      <c r="A166">
        <v>399</v>
      </c>
      <c r="B166" s="43" t="s">
        <v>1962</v>
      </c>
      <c r="C166" t="s">
        <v>137</v>
      </c>
      <c r="D166" t="s">
        <v>574</v>
      </c>
      <c r="E166" t="s">
        <v>1713</v>
      </c>
      <c r="F166" t="s">
        <v>22</v>
      </c>
      <c r="G166" t="s">
        <v>1942</v>
      </c>
      <c r="H166" t="s">
        <v>1943</v>
      </c>
      <c r="J166" t="s">
        <v>503</v>
      </c>
    </row>
    <row r="167" spans="1:11" hidden="1" x14ac:dyDescent="0.35">
      <c r="A167">
        <v>399</v>
      </c>
      <c r="B167" s="43" t="s">
        <v>1963</v>
      </c>
      <c r="C167" t="s">
        <v>137</v>
      </c>
      <c r="D167" t="s">
        <v>1964</v>
      </c>
      <c r="E167" t="s">
        <v>1713</v>
      </c>
      <c r="F167" t="s">
        <v>22</v>
      </c>
      <c r="G167" t="s">
        <v>1942</v>
      </c>
      <c r="H167" t="s">
        <v>1943</v>
      </c>
      <c r="J167" t="s">
        <v>503</v>
      </c>
    </row>
    <row r="168" spans="1:11" hidden="1" x14ac:dyDescent="0.35">
      <c r="A168">
        <v>399</v>
      </c>
      <c r="B168" s="43" t="s">
        <v>1965</v>
      </c>
      <c r="C168" t="s">
        <v>137</v>
      </c>
      <c r="D168" t="s">
        <v>1005</v>
      </c>
      <c r="E168" t="s">
        <v>1713</v>
      </c>
      <c r="F168" t="s">
        <v>22</v>
      </c>
      <c r="G168" t="s">
        <v>1942</v>
      </c>
      <c r="H168" t="s">
        <v>1943</v>
      </c>
      <c r="J168" t="s">
        <v>503</v>
      </c>
    </row>
    <row r="169" spans="1:11" hidden="1" x14ac:dyDescent="0.35">
      <c r="A169">
        <v>399</v>
      </c>
      <c r="B169" s="43" t="s">
        <v>702</v>
      </c>
      <c r="C169" t="s">
        <v>137</v>
      </c>
      <c r="D169" t="s">
        <v>854</v>
      </c>
      <c r="E169" t="s">
        <v>1713</v>
      </c>
      <c r="F169" t="s">
        <v>22</v>
      </c>
      <c r="G169" t="s">
        <v>1942</v>
      </c>
      <c r="H169" t="s">
        <v>1943</v>
      </c>
      <c r="J169" t="s">
        <v>1966</v>
      </c>
    </row>
    <row r="170" spans="1:11" hidden="1" x14ac:dyDescent="0.35">
      <c r="A170">
        <v>399</v>
      </c>
      <c r="B170" s="43" t="s">
        <v>1967</v>
      </c>
      <c r="C170" t="s">
        <v>137</v>
      </c>
      <c r="D170" t="s">
        <v>34</v>
      </c>
      <c r="E170" t="s">
        <v>1713</v>
      </c>
      <c r="F170" t="s">
        <v>24</v>
      </c>
      <c r="G170" t="s">
        <v>1942</v>
      </c>
      <c r="H170" t="s">
        <v>1943</v>
      </c>
      <c r="J170" t="s">
        <v>1968</v>
      </c>
    </row>
    <row r="171" spans="1:11" hidden="1" x14ac:dyDescent="0.35">
      <c r="A171">
        <v>463</v>
      </c>
      <c r="B171" s="67" t="s">
        <v>1969</v>
      </c>
      <c r="C171" t="s">
        <v>137</v>
      </c>
      <c r="D171" t="s">
        <v>1970</v>
      </c>
      <c r="E171" t="s">
        <v>1713</v>
      </c>
      <c r="F171" t="s">
        <v>57</v>
      </c>
      <c r="G171" t="s">
        <v>1971</v>
      </c>
      <c r="H171" t="s">
        <v>1972</v>
      </c>
      <c r="J171" t="s">
        <v>1973</v>
      </c>
    </row>
    <row r="172" spans="1:11" hidden="1" x14ac:dyDescent="0.35">
      <c r="A172">
        <v>463</v>
      </c>
      <c r="B172" s="67" t="s">
        <v>1974</v>
      </c>
      <c r="C172" t="s">
        <v>137</v>
      </c>
      <c r="D172" t="s">
        <v>1975</v>
      </c>
      <c r="E172" t="s">
        <v>1713</v>
      </c>
      <c r="F172" t="s">
        <v>57</v>
      </c>
      <c r="G172" t="s">
        <v>1971</v>
      </c>
      <c r="H172" t="s">
        <v>1972</v>
      </c>
      <c r="J172" t="s">
        <v>1973</v>
      </c>
    </row>
    <row r="173" spans="1:11" hidden="1" x14ac:dyDescent="0.35">
      <c r="A173">
        <v>463</v>
      </c>
      <c r="B173" s="67" t="s">
        <v>1976</v>
      </c>
      <c r="C173" t="s">
        <v>137</v>
      </c>
      <c r="D173" t="s">
        <v>1975</v>
      </c>
      <c r="E173" t="s">
        <v>1713</v>
      </c>
      <c r="F173" t="s">
        <v>57</v>
      </c>
      <c r="G173" t="s">
        <v>1971</v>
      </c>
      <c r="H173" t="s">
        <v>1972</v>
      </c>
      <c r="J173" t="s">
        <v>1973</v>
      </c>
    </row>
    <row r="174" spans="1:11" hidden="1" x14ac:dyDescent="0.35">
      <c r="A174">
        <v>463</v>
      </c>
      <c r="B174" s="67" t="s">
        <v>1977</v>
      </c>
      <c r="C174" t="s">
        <v>137</v>
      </c>
      <c r="D174" t="s">
        <v>1978</v>
      </c>
      <c r="E174" t="s">
        <v>1713</v>
      </c>
      <c r="F174" t="s">
        <v>57</v>
      </c>
      <c r="G174" t="s">
        <v>1971</v>
      </c>
      <c r="H174" t="s">
        <v>1972</v>
      </c>
      <c r="J174" t="s">
        <v>1973</v>
      </c>
    </row>
    <row r="175" spans="1:11" hidden="1" x14ac:dyDescent="0.35">
      <c r="A175">
        <v>463</v>
      </c>
      <c r="B175" s="43" t="s">
        <v>1979</v>
      </c>
      <c r="C175" t="s">
        <v>137</v>
      </c>
      <c r="D175" t="s">
        <v>1980</v>
      </c>
      <c r="E175" t="s">
        <v>1713</v>
      </c>
      <c r="F175" t="s">
        <v>24</v>
      </c>
      <c r="G175" t="s">
        <v>1971</v>
      </c>
      <c r="H175" t="s">
        <v>1972</v>
      </c>
      <c r="J175" t="s">
        <v>1973</v>
      </c>
      <c r="K175" t="s">
        <v>1981</v>
      </c>
    </row>
    <row r="176" spans="1:11" hidden="1" x14ac:dyDescent="0.35">
      <c r="A176">
        <v>463</v>
      </c>
      <c r="B176" s="43" t="s">
        <v>1982</v>
      </c>
      <c r="C176" t="s">
        <v>137</v>
      </c>
      <c r="D176" t="s">
        <v>1980</v>
      </c>
      <c r="E176" t="s">
        <v>1713</v>
      </c>
      <c r="F176" t="s">
        <v>24</v>
      </c>
      <c r="G176" t="s">
        <v>1971</v>
      </c>
      <c r="H176" t="s">
        <v>1972</v>
      </c>
      <c r="J176" t="s">
        <v>1973</v>
      </c>
    </row>
    <row r="177" spans="1:11" hidden="1" x14ac:dyDescent="0.35">
      <c r="A177">
        <v>463</v>
      </c>
      <c r="B177" s="43" t="s">
        <v>1983</v>
      </c>
      <c r="C177" t="s">
        <v>137</v>
      </c>
      <c r="D177" t="s">
        <v>1984</v>
      </c>
      <c r="E177" t="s">
        <v>1713</v>
      </c>
      <c r="F177" t="s">
        <v>22</v>
      </c>
      <c r="G177" t="s">
        <v>1971</v>
      </c>
      <c r="H177" t="s">
        <v>1972</v>
      </c>
      <c r="J177" t="s">
        <v>1973</v>
      </c>
    </row>
    <row r="178" spans="1:11" hidden="1" x14ac:dyDescent="0.35">
      <c r="A178">
        <v>463</v>
      </c>
      <c r="B178" s="43" t="s">
        <v>1985</v>
      </c>
      <c r="C178" t="s">
        <v>137</v>
      </c>
      <c r="D178" t="s">
        <v>1984</v>
      </c>
      <c r="E178" t="s">
        <v>1713</v>
      </c>
      <c r="F178" t="s">
        <v>22</v>
      </c>
      <c r="G178" t="s">
        <v>1971</v>
      </c>
      <c r="H178" t="s">
        <v>1972</v>
      </c>
      <c r="J178" t="s">
        <v>1973</v>
      </c>
    </row>
    <row r="179" spans="1:11" hidden="1" x14ac:dyDescent="0.35">
      <c r="A179">
        <v>362</v>
      </c>
      <c r="B179" s="17" t="s">
        <v>1717</v>
      </c>
      <c r="C179" t="s">
        <v>1374</v>
      </c>
      <c r="D179" t="s">
        <v>1718</v>
      </c>
      <c r="E179" t="s">
        <v>1713</v>
      </c>
      <c r="F179" t="s">
        <v>1374</v>
      </c>
      <c r="G179" t="s">
        <v>63</v>
      </c>
      <c r="H179" t="s">
        <v>1986</v>
      </c>
      <c r="J179" t="s">
        <v>1987</v>
      </c>
    </row>
    <row r="180" spans="1:11" hidden="1" x14ac:dyDescent="0.35">
      <c r="A180">
        <v>362</v>
      </c>
      <c r="B180" s="61" t="s">
        <v>1988</v>
      </c>
      <c r="C180" t="s">
        <v>1374</v>
      </c>
      <c r="D180" t="s">
        <v>34</v>
      </c>
      <c r="E180" t="s">
        <v>1713</v>
      </c>
      <c r="F180" t="s">
        <v>33</v>
      </c>
      <c r="G180" t="s">
        <v>1989</v>
      </c>
      <c r="H180" t="s">
        <v>1990</v>
      </c>
      <c r="J180" t="s">
        <v>1991</v>
      </c>
      <c r="K180" t="s">
        <v>1992</v>
      </c>
    </row>
    <row r="181" spans="1:11" hidden="1" x14ac:dyDescent="0.35">
      <c r="A181">
        <v>362</v>
      </c>
      <c r="B181" s="59" t="s">
        <v>1993</v>
      </c>
      <c r="C181" t="s">
        <v>1374</v>
      </c>
      <c r="D181" t="s">
        <v>34</v>
      </c>
      <c r="E181" t="s">
        <v>1713</v>
      </c>
      <c r="F181" t="s">
        <v>1374</v>
      </c>
      <c r="G181" t="s">
        <v>1994</v>
      </c>
      <c r="H181" t="s">
        <v>1990</v>
      </c>
      <c r="J181" t="s">
        <v>1995</v>
      </c>
    </row>
    <row r="182" spans="1:11" hidden="1" x14ac:dyDescent="0.35">
      <c r="A182">
        <v>362</v>
      </c>
      <c r="B182" s="59" t="s">
        <v>1723</v>
      </c>
      <c r="C182" t="s">
        <v>1374</v>
      </c>
      <c r="D182" t="s">
        <v>1996</v>
      </c>
      <c r="E182" t="s">
        <v>1713</v>
      </c>
      <c r="F182" t="s">
        <v>1374</v>
      </c>
      <c r="G182" t="s">
        <v>1997</v>
      </c>
      <c r="H182" t="s">
        <v>1998</v>
      </c>
      <c r="J182" t="s">
        <v>1999</v>
      </c>
      <c r="K182" t="s">
        <v>2000</v>
      </c>
    </row>
    <row r="183" spans="1:11" hidden="1" x14ac:dyDescent="0.35">
      <c r="A183">
        <v>362</v>
      </c>
      <c r="B183" t="s">
        <v>1728</v>
      </c>
      <c r="C183" t="s">
        <v>1711</v>
      </c>
      <c r="D183" t="s">
        <v>157</v>
      </c>
      <c r="E183" t="s">
        <v>1713</v>
      </c>
      <c r="F183" t="s">
        <v>1714</v>
      </c>
      <c r="G183" t="s">
        <v>2001</v>
      </c>
      <c r="H183" t="s">
        <v>1986</v>
      </c>
      <c r="J183" t="s">
        <v>2002</v>
      </c>
    </row>
    <row r="184" spans="1:11" hidden="1" x14ac:dyDescent="0.35">
      <c r="A184">
        <v>362</v>
      </c>
      <c r="B184" t="s">
        <v>2003</v>
      </c>
      <c r="C184" t="s">
        <v>1711</v>
      </c>
      <c r="D184" t="s">
        <v>688</v>
      </c>
      <c r="E184" t="s">
        <v>1713</v>
      </c>
      <c r="F184" t="s">
        <v>1714</v>
      </c>
      <c r="G184" t="s">
        <v>2001</v>
      </c>
      <c r="H184" t="s">
        <v>1986</v>
      </c>
      <c r="J184" t="s">
        <v>2004</v>
      </c>
    </row>
    <row r="185" spans="1:11" hidden="1" x14ac:dyDescent="0.35">
      <c r="A185">
        <v>362</v>
      </c>
      <c r="B185" t="s">
        <v>2005</v>
      </c>
      <c r="C185" t="s">
        <v>1711</v>
      </c>
      <c r="D185" t="s">
        <v>688</v>
      </c>
      <c r="E185" t="s">
        <v>1713</v>
      </c>
      <c r="F185" t="s">
        <v>1714</v>
      </c>
      <c r="G185" t="s">
        <v>2001</v>
      </c>
      <c r="H185" t="s">
        <v>1986</v>
      </c>
      <c r="J185" t="s">
        <v>2002</v>
      </c>
    </row>
    <row r="186" spans="1:11" hidden="1" x14ac:dyDescent="0.35">
      <c r="A186">
        <v>526</v>
      </c>
      <c r="B186" s="59" t="s">
        <v>2006</v>
      </c>
      <c r="C186" t="s">
        <v>1374</v>
      </c>
      <c r="D186" t="s">
        <v>34</v>
      </c>
      <c r="E186" t="s">
        <v>1713</v>
      </c>
      <c r="F186" t="s">
        <v>1714</v>
      </c>
      <c r="G186" t="s">
        <v>2007</v>
      </c>
      <c r="H186" t="s">
        <v>271</v>
      </c>
      <c r="I186" t="s">
        <v>386</v>
      </c>
      <c r="J186" t="s">
        <v>2008</v>
      </c>
    </row>
    <row r="187" spans="1:11" hidden="1" x14ac:dyDescent="0.35">
      <c r="A187">
        <v>526</v>
      </c>
      <c r="B187" s="19" t="s">
        <v>2009</v>
      </c>
      <c r="C187" t="s">
        <v>766</v>
      </c>
      <c r="D187" t="s">
        <v>34</v>
      </c>
      <c r="E187" t="s">
        <v>1713</v>
      </c>
      <c r="F187" t="s">
        <v>766</v>
      </c>
      <c r="G187" t="s">
        <v>2010</v>
      </c>
      <c r="H187" t="s">
        <v>271</v>
      </c>
      <c r="I187" t="s">
        <v>386</v>
      </c>
      <c r="J187" t="s">
        <v>2011</v>
      </c>
    </row>
    <row r="188" spans="1:11" hidden="1" x14ac:dyDescent="0.35">
      <c r="A188">
        <v>236</v>
      </c>
      <c r="B188" s="17" t="s">
        <v>1717</v>
      </c>
      <c r="C188" t="s">
        <v>1374</v>
      </c>
      <c r="D188" t="s">
        <v>1718</v>
      </c>
      <c r="E188" t="s">
        <v>1713</v>
      </c>
      <c r="F188" t="s">
        <v>1374</v>
      </c>
      <c r="G188" t="s">
        <v>2012</v>
      </c>
      <c r="H188" t="s">
        <v>820</v>
      </c>
      <c r="I188" t="s">
        <v>348</v>
      </c>
      <c r="J188" t="s">
        <v>2013</v>
      </c>
    </row>
    <row r="189" spans="1:11" hidden="1" x14ac:dyDescent="0.35">
      <c r="A189">
        <v>236</v>
      </c>
      <c r="B189" s="17" t="s">
        <v>2014</v>
      </c>
      <c r="C189" t="s">
        <v>1374</v>
      </c>
      <c r="D189" t="s">
        <v>34</v>
      </c>
      <c r="E189" t="s">
        <v>1713</v>
      </c>
      <c r="F189" t="s">
        <v>1374</v>
      </c>
      <c r="G189" t="s">
        <v>2012</v>
      </c>
      <c r="H189" t="s">
        <v>820</v>
      </c>
      <c r="I189" t="s">
        <v>348</v>
      </c>
      <c r="J189" t="s">
        <v>2013</v>
      </c>
    </row>
    <row r="190" spans="1:11" hidden="1" x14ac:dyDescent="0.35">
      <c r="A190">
        <v>236</v>
      </c>
      <c r="B190" s="59" t="s">
        <v>2015</v>
      </c>
      <c r="C190" t="s">
        <v>1374</v>
      </c>
      <c r="D190" t="s">
        <v>34</v>
      </c>
      <c r="E190" t="s">
        <v>1713</v>
      </c>
      <c r="F190" t="s">
        <v>1374</v>
      </c>
      <c r="G190" t="s">
        <v>2012</v>
      </c>
      <c r="H190" t="s">
        <v>820</v>
      </c>
      <c r="I190" t="s">
        <v>348</v>
      </c>
      <c r="J190" t="s">
        <v>2013</v>
      </c>
    </row>
    <row r="191" spans="1:11" hidden="1" x14ac:dyDescent="0.35">
      <c r="A191">
        <v>236</v>
      </c>
      <c r="B191" s="2" t="s">
        <v>1742</v>
      </c>
      <c r="C191" t="s">
        <v>766</v>
      </c>
      <c r="D191" t="s">
        <v>1743</v>
      </c>
      <c r="E191" t="s">
        <v>1713</v>
      </c>
      <c r="F191" t="s">
        <v>766</v>
      </c>
      <c r="G191" t="s">
        <v>2012</v>
      </c>
      <c r="H191" t="s">
        <v>820</v>
      </c>
      <c r="I191" t="s">
        <v>348</v>
      </c>
      <c r="J191" t="s">
        <v>2013</v>
      </c>
    </row>
    <row r="192" spans="1:11" hidden="1" x14ac:dyDescent="0.35">
      <c r="A192">
        <v>236</v>
      </c>
      <c r="B192" s="58" t="s">
        <v>1799</v>
      </c>
      <c r="C192" t="s">
        <v>766</v>
      </c>
      <c r="D192" t="s">
        <v>1850</v>
      </c>
      <c r="E192" t="s">
        <v>1713</v>
      </c>
      <c r="F192" t="s">
        <v>766</v>
      </c>
      <c r="G192" t="s">
        <v>2012</v>
      </c>
      <c r="H192" t="s">
        <v>820</v>
      </c>
      <c r="I192" t="s">
        <v>348</v>
      </c>
      <c r="J192" t="s">
        <v>2013</v>
      </c>
    </row>
    <row r="193" spans="1:10" hidden="1" x14ac:dyDescent="0.35">
      <c r="A193">
        <v>236</v>
      </c>
      <c r="B193" s="19" t="s">
        <v>1880</v>
      </c>
      <c r="C193" t="s">
        <v>766</v>
      </c>
      <c r="D193" t="s">
        <v>1756</v>
      </c>
      <c r="E193" t="s">
        <v>1713</v>
      </c>
      <c r="F193" t="s">
        <v>766</v>
      </c>
      <c r="G193" t="s">
        <v>2012</v>
      </c>
      <c r="H193" t="s">
        <v>820</v>
      </c>
      <c r="I193" t="s">
        <v>348</v>
      </c>
      <c r="J193" t="s">
        <v>2013</v>
      </c>
    </row>
    <row r="194" spans="1:10" hidden="1" x14ac:dyDescent="0.35">
      <c r="A194">
        <v>236</v>
      </c>
      <c r="B194" s="19" t="s">
        <v>2016</v>
      </c>
      <c r="C194" t="s">
        <v>766</v>
      </c>
      <c r="D194" t="s">
        <v>1756</v>
      </c>
      <c r="E194" t="s">
        <v>1713</v>
      </c>
      <c r="F194" t="s">
        <v>766</v>
      </c>
      <c r="G194" t="s">
        <v>2012</v>
      </c>
      <c r="H194" t="s">
        <v>820</v>
      </c>
      <c r="I194" t="s">
        <v>348</v>
      </c>
      <c r="J194" t="s">
        <v>2013</v>
      </c>
    </row>
    <row r="195" spans="1:10" hidden="1" x14ac:dyDescent="0.35">
      <c r="A195">
        <v>236</v>
      </c>
      <c r="B195" s="7" t="s">
        <v>1881</v>
      </c>
      <c r="C195" t="s">
        <v>766</v>
      </c>
      <c r="D195" t="s">
        <v>1756</v>
      </c>
      <c r="E195" t="s">
        <v>1713</v>
      </c>
      <c r="F195" t="s">
        <v>766</v>
      </c>
      <c r="G195" t="s">
        <v>2012</v>
      </c>
      <c r="H195" t="s">
        <v>820</v>
      </c>
      <c r="I195" t="s">
        <v>348</v>
      </c>
      <c r="J195" t="s">
        <v>2013</v>
      </c>
    </row>
    <row r="196" spans="1:10" hidden="1" x14ac:dyDescent="0.35">
      <c r="A196">
        <v>236</v>
      </c>
      <c r="B196" s="7" t="s">
        <v>1830</v>
      </c>
      <c r="C196" t="s">
        <v>766</v>
      </c>
      <c r="D196" t="s">
        <v>1756</v>
      </c>
      <c r="E196" t="s">
        <v>1713</v>
      </c>
      <c r="F196" t="s">
        <v>766</v>
      </c>
      <c r="G196" t="s">
        <v>2012</v>
      </c>
      <c r="H196" t="s">
        <v>820</v>
      </c>
      <c r="I196" t="s">
        <v>348</v>
      </c>
      <c r="J196" t="s">
        <v>2013</v>
      </c>
    </row>
    <row r="197" spans="1:10" hidden="1" x14ac:dyDescent="0.35">
      <c r="A197">
        <v>236</v>
      </c>
      <c r="B197" s="7" t="s">
        <v>2017</v>
      </c>
      <c r="C197" t="s">
        <v>766</v>
      </c>
      <c r="D197" t="s">
        <v>1756</v>
      </c>
      <c r="E197" t="s">
        <v>1713</v>
      </c>
      <c r="F197" t="s">
        <v>766</v>
      </c>
      <c r="G197" t="s">
        <v>2012</v>
      </c>
      <c r="H197" t="s">
        <v>820</v>
      </c>
      <c r="I197" t="s">
        <v>348</v>
      </c>
      <c r="J197" t="s">
        <v>2013</v>
      </c>
    </row>
    <row r="198" spans="1:10" hidden="1" x14ac:dyDescent="0.35">
      <c r="A198">
        <v>236</v>
      </c>
      <c r="B198" s="24" t="s">
        <v>2018</v>
      </c>
      <c r="C198" t="s">
        <v>766</v>
      </c>
      <c r="D198" t="s">
        <v>2019</v>
      </c>
      <c r="E198" t="s">
        <v>1713</v>
      </c>
      <c r="F198" t="s">
        <v>766</v>
      </c>
      <c r="G198" t="s">
        <v>2012</v>
      </c>
      <c r="H198" t="s">
        <v>820</v>
      </c>
      <c r="I198" t="s">
        <v>348</v>
      </c>
      <c r="J198" t="s">
        <v>2013</v>
      </c>
    </row>
    <row r="199" spans="1:10" hidden="1" x14ac:dyDescent="0.35">
      <c r="A199">
        <v>236</v>
      </c>
      <c r="B199" s="24" t="s">
        <v>2020</v>
      </c>
      <c r="C199" t="s">
        <v>766</v>
      </c>
      <c r="D199" t="s">
        <v>2019</v>
      </c>
      <c r="E199" t="s">
        <v>1713</v>
      </c>
      <c r="F199" t="s">
        <v>766</v>
      </c>
      <c r="G199" t="s">
        <v>2012</v>
      </c>
      <c r="H199" t="s">
        <v>820</v>
      </c>
      <c r="I199" t="s">
        <v>348</v>
      </c>
      <c r="J199" t="s">
        <v>2013</v>
      </c>
    </row>
    <row r="200" spans="1:10" hidden="1" x14ac:dyDescent="0.35">
      <c r="A200">
        <v>236</v>
      </c>
      <c r="B200" s="24" t="s">
        <v>2021</v>
      </c>
      <c r="C200" t="s">
        <v>766</v>
      </c>
      <c r="D200" t="s">
        <v>2019</v>
      </c>
      <c r="E200" t="s">
        <v>1713</v>
      </c>
      <c r="F200" t="s">
        <v>766</v>
      </c>
      <c r="G200" t="s">
        <v>2012</v>
      </c>
      <c r="H200" t="s">
        <v>820</v>
      </c>
      <c r="I200" t="s">
        <v>348</v>
      </c>
      <c r="J200" t="s">
        <v>2013</v>
      </c>
    </row>
    <row r="201" spans="1:10" hidden="1" x14ac:dyDescent="0.35">
      <c r="A201">
        <v>236</v>
      </c>
      <c r="B201" s="24" t="s">
        <v>2022</v>
      </c>
      <c r="C201" t="s">
        <v>766</v>
      </c>
      <c r="D201" t="s">
        <v>2019</v>
      </c>
      <c r="E201" t="s">
        <v>1713</v>
      </c>
      <c r="F201" t="s">
        <v>766</v>
      </c>
      <c r="G201" t="s">
        <v>2012</v>
      </c>
      <c r="H201" t="s">
        <v>820</v>
      </c>
      <c r="I201" t="s">
        <v>348</v>
      </c>
      <c r="J201" t="s">
        <v>2013</v>
      </c>
    </row>
    <row r="202" spans="1:10" hidden="1" x14ac:dyDescent="0.35">
      <c r="A202">
        <v>236</v>
      </c>
      <c r="B202" s="24" t="s">
        <v>2023</v>
      </c>
      <c r="C202" t="s">
        <v>766</v>
      </c>
      <c r="D202" t="s">
        <v>2019</v>
      </c>
      <c r="E202" t="s">
        <v>1713</v>
      </c>
      <c r="F202" t="s">
        <v>766</v>
      </c>
      <c r="G202" t="s">
        <v>2012</v>
      </c>
      <c r="H202" t="s">
        <v>820</v>
      </c>
      <c r="I202" t="s">
        <v>348</v>
      </c>
      <c r="J202" t="s">
        <v>2013</v>
      </c>
    </row>
    <row r="203" spans="1:10" hidden="1" x14ac:dyDescent="0.35">
      <c r="A203">
        <v>236</v>
      </c>
      <c r="B203" s="67" t="s">
        <v>1940</v>
      </c>
      <c r="C203" t="s">
        <v>137</v>
      </c>
      <c r="D203" t="s">
        <v>2024</v>
      </c>
      <c r="E203" t="s">
        <v>1713</v>
      </c>
      <c r="F203" t="s">
        <v>57</v>
      </c>
      <c r="G203" t="s">
        <v>2012</v>
      </c>
      <c r="H203" t="s">
        <v>820</v>
      </c>
      <c r="I203" t="s">
        <v>348</v>
      </c>
      <c r="J203" t="s">
        <v>2013</v>
      </c>
    </row>
    <row r="204" spans="1:10" hidden="1" x14ac:dyDescent="0.35">
      <c r="A204">
        <v>236</v>
      </c>
      <c r="B204" s="67" t="s">
        <v>2025</v>
      </c>
      <c r="C204" t="s">
        <v>137</v>
      </c>
      <c r="D204" t="s">
        <v>2026</v>
      </c>
      <c r="E204" t="s">
        <v>1713</v>
      </c>
      <c r="F204" t="s">
        <v>57</v>
      </c>
      <c r="G204" t="s">
        <v>2012</v>
      </c>
      <c r="H204" t="s">
        <v>820</v>
      </c>
      <c r="I204" t="s">
        <v>348</v>
      </c>
      <c r="J204" t="s">
        <v>2013</v>
      </c>
    </row>
    <row r="205" spans="1:10" hidden="1" x14ac:dyDescent="0.35">
      <c r="A205">
        <v>236</v>
      </c>
      <c r="B205" s="67" t="s">
        <v>2027</v>
      </c>
      <c r="C205" t="s">
        <v>137</v>
      </c>
      <c r="D205" t="s">
        <v>2028</v>
      </c>
      <c r="E205" t="s">
        <v>1713</v>
      </c>
      <c r="F205" t="s">
        <v>57</v>
      </c>
      <c r="G205" t="s">
        <v>2012</v>
      </c>
      <c r="H205" t="s">
        <v>820</v>
      </c>
      <c r="I205" t="s">
        <v>348</v>
      </c>
      <c r="J205" t="s">
        <v>2013</v>
      </c>
    </row>
    <row r="206" spans="1:10" hidden="1" x14ac:dyDescent="0.35">
      <c r="A206">
        <v>236</v>
      </c>
      <c r="B206" s="67" t="s">
        <v>2029</v>
      </c>
      <c r="C206" t="s">
        <v>137</v>
      </c>
      <c r="D206" t="s">
        <v>2030</v>
      </c>
      <c r="E206" t="s">
        <v>1713</v>
      </c>
      <c r="F206" t="s">
        <v>57</v>
      </c>
      <c r="G206" t="s">
        <v>2012</v>
      </c>
      <c r="H206" t="s">
        <v>820</v>
      </c>
      <c r="I206" t="s">
        <v>348</v>
      </c>
      <c r="J206" t="s">
        <v>2013</v>
      </c>
    </row>
    <row r="207" spans="1:10" hidden="1" x14ac:dyDescent="0.35">
      <c r="A207">
        <v>236</v>
      </c>
      <c r="B207" s="67" t="s">
        <v>2031</v>
      </c>
      <c r="C207" t="s">
        <v>137</v>
      </c>
      <c r="D207" t="s">
        <v>2026</v>
      </c>
      <c r="E207" t="s">
        <v>1713</v>
      </c>
      <c r="F207" t="s">
        <v>57</v>
      </c>
      <c r="G207" t="s">
        <v>2012</v>
      </c>
      <c r="H207" t="s">
        <v>820</v>
      </c>
      <c r="I207" t="s">
        <v>348</v>
      </c>
      <c r="J207" t="s">
        <v>2013</v>
      </c>
    </row>
    <row r="208" spans="1:10" hidden="1" x14ac:dyDescent="0.35">
      <c r="A208">
        <v>814</v>
      </c>
      <c r="B208" s="43" t="s">
        <v>2032</v>
      </c>
      <c r="C208" t="s">
        <v>137</v>
      </c>
      <c r="D208" t="s">
        <v>2033</v>
      </c>
      <c r="E208" t="s">
        <v>1713</v>
      </c>
      <c r="F208" t="s">
        <v>22</v>
      </c>
      <c r="G208" t="s">
        <v>2034</v>
      </c>
      <c r="H208" t="s">
        <v>2035</v>
      </c>
      <c r="J208" t="s">
        <v>2036</v>
      </c>
    </row>
    <row r="209" spans="1:10" hidden="1" x14ac:dyDescent="0.35">
      <c r="A209">
        <v>814</v>
      </c>
      <c r="B209" s="43" t="s">
        <v>2037</v>
      </c>
      <c r="C209" t="s">
        <v>137</v>
      </c>
      <c r="D209" t="s">
        <v>2038</v>
      </c>
      <c r="E209" t="s">
        <v>1713</v>
      </c>
      <c r="F209" t="s">
        <v>22</v>
      </c>
      <c r="G209" t="s">
        <v>2034</v>
      </c>
      <c r="H209" t="s">
        <v>2035</v>
      </c>
      <c r="J209" t="s">
        <v>2036</v>
      </c>
    </row>
    <row r="210" spans="1:10" hidden="1" x14ac:dyDescent="0.35">
      <c r="A210">
        <v>814</v>
      </c>
      <c r="B210" s="43" t="s">
        <v>2039</v>
      </c>
      <c r="C210" t="s">
        <v>137</v>
      </c>
      <c r="D210" t="s">
        <v>2040</v>
      </c>
      <c r="E210" t="s">
        <v>1713</v>
      </c>
      <c r="F210" t="s">
        <v>22</v>
      </c>
      <c r="G210" t="s">
        <v>2034</v>
      </c>
      <c r="H210" t="s">
        <v>2035</v>
      </c>
      <c r="J210" t="s">
        <v>2036</v>
      </c>
    </row>
    <row r="211" spans="1:10" hidden="1" x14ac:dyDescent="0.35">
      <c r="A211">
        <v>814</v>
      </c>
      <c r="B211" s="43" t="s">
        <v>2041</v>
      </c>
      <c r="C211" t="s">
        <v>137</v>
      </c>
      <c r="D211" t="s">
        <v>34</v>
      </c>
      <c r="E211" t="s">
        <v>1713</v>
      </c>
      <c r="F211" t="s">
        <v>24</v>
      </c>
      <c r="G211" t="s">
        <v>2034</v>
      </c>
      <c r="H211" t="s">
        <v>2035</v>
      </c>
      <c r="J211" t="s">
        <v>2036</v>
      </c>
    </row>
    <row r="212" spans="1:10" hidden="1" x14ac:dyDescent="0.35">
      <c r="A212">
        <v>814</v>
      </c>
      <c r="B212" s="43" t="s">
        <v>2042</v>
      </c>
      <c r="C212" t="s">
        <v>137</v>
      </c>
      <c r="D212" t="s">
        <v>34</v>
      </c>
      <c r="E212" t="s">
        <v>1713</v>
      </c>
      <c r="F212" t="s">
        <v>24</v>
      </c>
      <c r="G212" t="s">
        <v>2034</v>
      </c>
      <c r="H212" t="s">
        <v>2035</v>
      </c>
      <c r="J212" t="s">
        <v>2036</v>
      </c>
    </row>
    <row r="213" spans="1:10" hidden="1" x14ac:dyDescent="0.35">
      <c r="A213">
        <v>814</v>
      </c>
      <c r="B213" s="43" t="s">
        <v>2043</v>
      </c>
      <c r="C213" t="s">
        <v>137</v>
      </c>
      <c r="D213" t="s">
        <v>34</v>
      </c>
      <c r="E213" t="s">
        <v>1713</v>
      </c>
      <c r="F213" t="s">
        <v>24</v>
      </c>
      <c r="G213" t="s">
        <v>2034</v>
      </c>
      <c r="H213" t="s">
        <v>2035</v>
      </c>
      <c r="J213" t="s">
        <v>2036</v>
      </c>
    </row>
    <row r="214" spans="1:10" hidden="1" x14ac:dyDescent="0.35">
      <c r="A214">
        <v>814</v>
      </c>
      <c r="B214" s="43" t="s">
        <v>2044</v>
      </c>
      <c r="C214" t="s">
        <v>137</v>
      </c>
      <c r="D214" t="s">
        <v>34</v>
      </c>
      <c r="E214" t="s">
        <v>1713</v>
      </c>
      <c r="F214" t="s">
        <v>24</v>
      </c>
      <c r="G214" t="s">
        <v>2034</v>
      </c>
      <c r="H214" t="s">
        <v>2035</v>
      </c>
      <c r="J214" t="s">
        <v>2036</v>
      </c>
    </row>
    <row r="215" spans="1:10" hidden="1" x14ac:dyDescent="0.35">
      <c r="A215">
        <v>814</v>
      </c>
      <c r="B215" s="43" t="s">
        <v>2045</v>
      </c>
      <c r="C215" t="s">
        <v>137</v>
      </c>
      <c r="D215" t="s">
        <v>34</v>
      </c>
      <c r="E215" t="s">
        <v>1713</v>
      </c>
      <c r="F215" t="s">
        <v>24</v>
      </c>
      <c r="G215" t="s">
        <v>2034</v>
      </c>
      <c r="H215" t="s">
        <v>2035</v>
      </c>
      <c r="J215" t="s">
        <v>2036</v>
      </c>
    </row>
    <row r="216" spans="1:10" hidden="1" x14ac:dyDescent="0.35">
      <c r="A216">
        <v>814</v>
      </c>
      <c r="B216" s="43" t="s">
        <v>2046</v>
      </c>
      <c r="C216" t="s">
        <v>137</v>
      </c>
      <c r="D216" t="s">
        <v>34</v>
      </c>
      <c r="E216" t="s">
        <v>1713</v>
      </c>
      <c r="F216" t="s">
        <v>24</v>
      </c>
      <c r="G216" t="s">
        <v>2034</v>
      </c>
      <c r="H216" t="s">
        <v>2035</v>
      </c>
      <c r="J216" t="s">
        <v>2036</v>
      </c>
    </row>
    <row r="217" spans="1:10" hidden="1" x14ac:dyDescent="0.35">
      <c r="A217">
        <v>814</v>
      </c>
      <c r="B217" s="43" t="s">
        <v>2047</v>
      </c>
      <c r="C217" t="s">
        <v>137</v>
      </c>
      <c r="D217" t="s">
        <v>34</v>
      </c>
      <c r="E217" t="s">
        <v>1713</v>
      </c>
      <c r="F217" t="s">
        <v>24</v>
      </c>
      <c r="G217" t="s">
        <v>2034</v>
      </c>
      <c r="H217" t="s">
        <v>2035</v>
      </c>
      <c r="J217" t="s">
        <v>2036</v>
      </c>
    </row>
    <row r="218" spans="1:10" hidden="1" x14ac:dyDescent="0.35">
      <c r="A218">
        <v>814</v>
      </c>
      <c r="B218" s="43" t="s">
        <v>2048</v>
      </c>
      <c r="C218" t="s">
        <v>137</v>
      </c>
      <c r="D218" t="s">
        <v>34</v>
      </c>
      <c r="E218" t="s">
        <v>1713</v>
      </c>
      <c r="F218" t="s">
        <v>24</v>
      </c>
      <c r="G218" t="s">
        <v>2034</v>
      </c>
      <c r="H218" t="s">
        <v>2035</v>
      </c>
      <c r="J218" t="s">
        <v>2036</v>
      </c>
    </row>
    <row r="219" spans="1:10" hidden="1" x14ac:dyDescent="0.35">
      <c r="A219">
        <v>814</v>
      </c>
      <c r="B219" s="43" t="s">
        <v>2049</v>
      </c>
      <c r="C219" t="s">
        <v>137</v>
      </c>
      <c r="D219" t="s">
        <v>34</v>
      </c>
      <c r="E219" t="s">
        <v>1713</v>
      </c>
      <c r="F219" t="s">
        <v>24</v>
      </c>
      <c r="G219" t="s">
        <v>2034</v>
      </c>
      <c r="H219" t="s">
        <v>2035</v>
      </c>
      <c r="J219" t="s">
        <v>2036</v>
      </c>
    </row>
    <row r="220" spans="1:10" hidden="1" x14ac:dyDescent="0.35">
      <c r="A220">
        <v>814</v>
      </c>
      <c r="B220" s="43" t="s">
        <v>2050</v>
      </c>
      <c r="C220" t="s">
        <v>137</v>
      </c>
      <c r="D220" t="s">
        <v>34</v>
      </c>
      <c r="E220" t="s">
        <v>1713</v>
      </c>
      <c r="F220" t="s">
        <v>24</v>
      </c>
      <c r="G220" t="s">
        <v>2034</v>
      </c>
      <c r="H220" t="s">
        <v>2035</v>
      </c>
      <c r="J220" t="s">
        <v>2036</v>
      </c>
    </row>
    <row r="221" spans="1:10" hidden="1" x14ac:dyDescent="0.35">
      <c r="A221">
        <v>814</v>
      </c>
      <c r="B221" s="17" t="s">
        <v>2051</v>
      </c>
      <c r="C221" t="s">
        <v>137</v>
      </c>
      <c r="D221" t="s">
        <v>2052</v>
      </c>
      <c r="E221" t="s">
        <v>1713</v>
      </c>
      <c r="F221" t="s">
        <v>137</v>
      </c>
      <c r="G221" t="s">
        <v>2034</v>
      </c>
      <c r="H221" t="s">
        <v>2035</v>
      </c>
      <c r="J221" t="s">
        <v>637</v>
      </c>
    </row>
    <row r="222" spans="1:10" hidden="1" x14ac:dyDescent="0.35">
      <c r="A222">
        <v>814</v>
      </c>
      <c r="B222" s="17" t="s">
        <v>2053</v>
      </c>
      <c r="C222" t="s">
        <v>137</v>
      </c>
      <c r="D222" t="s">
        <v>2052</v>
      </c>
      <c r="E222" t="s">
        <v>1713</v>
      </c>
      <c r="F222" t="s">
        <v>137</v>
      </c>
      <c r="G222" t="s">
        <v>2034</v>
      </c>
      <c r="H222" t="s">
        <v>2035</v>
      </c>
      <c r="J222" t="s">
        <v>637</v>
      </c>
    </row>
    <row r="223" spans="1:10" hidden="1" x14ac:dyDescent="0.35">
      <c r="A223">
        <v>581</v>
      </c>
      <c r="B223" t="s">
        <v>2054</v>
      </c>
      <c r="C223" t="s">
        <v>137</v>
      </c>
      <c r="D223" t="s">
        <v>2055</v>
      </c>
      <c r="E223" t="s">
        <v>1713</v>
      </c>
      <c r="F223" t="s">
        <v>137</v>
      </c>
      <c r="G223" t="s">
        <v>2056</v>
      </c>
      <c r="H223" t="s">
        <v>2057</v>
      </c>
      <c r="J223" t="s">
        <v>2058</v>
      </c>
    </row>
    <row r="224" spans="1:10" hidden="1" x14ac:dyDescent="0.35">
      <c r="A224">
        <v>581</v>
      </c>
      <c r="B224" t="s">
        <v>2059</v>
      </c>
      <c r="C224" t="s">
        <v>137</v>
      </c>
      <c r="D224" t="s">
        <v>2055</v>
      </c>
      <c r="E224" t="s">
        <v>1713</v>
      </c>
      <c r="F224" t="s">
        <v>137</v>
      </c>
      <c r="G224" t="s">
        <v>2056</v>
      </c>
      <c r="H224" t="s">
        <v>2057</v>
      </c>
      <c r="J224" t="s">
        <v>2058</v>
      </c>
    </row>
    <row r="225" spans="1:11" hidden="1" x14ac:dyDescent="0.35">
      <c r="A225">
        <v>581</v>
      </c>
      <c r="B225" s="43" t="s">
        <v>2060</v>
      </c>
      <c r="C225" t="s">
        <v>137</v>
      </c>
      <c r="D225" t="s">
        <v>2061</v>
      </c>
      <c r="E225" t="s">
        <v>1713</v>
      </c>
      <c r="F225" t="s">
        <v>33</v>
      </c>
      <c r="G225" t="s">
        <v>2056</v>
      </c>
      <c r="H225" t="s">
        <v>2057</v>
      </c>
      <c r="J225" t="s">
        <v>2058</v>
      </c>
    </row>
    <row r="226" spans="1:11" hidden="1" x14ac:dyDescent="0.35">
      <c r="A226">
        <v>581</v>
      </c>
      <c r="B226" s="43" t="s">
        <v>2062</v>
      </c>
      <c r="C226" t="s">
        <v>137</v>
      </c>
      <c r="D226" t="s">
        <v>2061</v>
      </c>
      <c r="E226" t="s">
        <v>1713</v>
      </c>
      <c r="F226" t="s">
        <v>33</v>
      </c>
      <c r="G226" t="s">
        <v>2056</v>
      </c>
      <c r="H226" t="s">
        <v>2057</v>
      </c>
      <c r="J226" t="s">
        <v>2058</v>
      </c>
    </row>
    <row r="227" spans="1:11" hidden="1" x14ac:dyDescent="0.35">
      <c r="A227">
        <v>581</v>
      </c>
      <c r="B227" s="43" t="s">
        <v>2063</v>
      </c>
      <c r="C227" t="s">
        <v>137</v>
      </c>
      <c r="D227" t="s">
        <v>2061</v>
      </c>
      <c r="E227" t="s">
        <v>1713</v>
      </c>
      <c r="F227" t="s">
        <v>33</v>
      </c>
      <c r="G227" t="s">
        <v>2056</v>
      </c>
      <c r="H227" t="s">
        <v>2057</v>
      </c>
      <c r="J227" t="s">
        <v>2058</v>
      </c>
    </row>
    <row r="228" spans="1:11" hidden="1" x14ac:dyDescent="0.35">
      <c r="A228">
        <v>581</v>
      </c>
      <c r="B228" s="43" t="s">
        <v>2064</v>
      </c>
      <c r="C228" t="s">
        <v>137</v>
      </c>
      <c r="D228" t="s">
        <v>2061</v>
      </c>
      <c r="E228" t="s">
        <v>1713</v>
      </c>
      <c r="F228" t="s">
        <v>33</v>
      </c>
      <c r="G228" t="s">
        <v>2056</v>
      </c>
      <c r="H228" t="s">
        <v>2057</v>
      </c>
      <c r="J228" t="s">
        <v>2058</v>
      </c>
    </row>
    <row r="229" spans="1:11" hidden="1" x14ac:dyDescent="0.35">
      <c r="A229">
        <v>581</v>
      </c>
      <c r="B229" s="43" t="s">
        <v>2065</v>
      </c>
      <c r="C229" t="s">
        <v>137</v>
      </c>
      <c r="D229" t="s">
        <v>2066</v>
      </c>
      <c r="E229" t="s">
        <v>1713</v>
      </c>
      <c r="F229" t="s">
        <v>22</v>
      </c>
      <c r="G229" t="s">
        <v>2056</v>
      </c>
      <c r="H229" t="s">
        <v>2057</v>
      </c>
      <c r="J229" t="s">
        <v>2058</v>
      </c>
    </row>
    <row r="230" spans="1:11" hidden="1" x14ac:dyDescent="0.35">
      <c r="A230">
        <v>581</v>
      </c>
      <c r="B230" s="43" t="s">
        <v>2067</v>
      </c>
      <c r="C230" t="s">
        <v>137</v>
      </c>
      <c r="D230" t="s">
        <v>2066</v>
      </c>
      <c r="E230" t="s">
        <v>1713</v>
      </c>
      <c r="F230" t="s">
        <v>22</v>
      </c>
      <c r="G230" t="s">
        <v>2056</v>
      </c>
      <c r="H230" t="s">
        <v>2057</v>
      </c>
      <c r="J230" t="s">
        <v>2058</v>
      </c>
    </row>
    <row r="231" spans="1:11" hidden="1" x14ac:dyDescent="0.35">
      <c r="A231">
        <v>581</v>
      </c>
      <c r="B231" s="67" t="s">
        <v>2068</v>
      </c>
      <c r="C231" t="s">
        <v>137</v>
      </c>
      <c r="D231" t="s">
        <v>2069</v>
      </c>
      <c r="E231" t="s">
        <v>1713</v>
      </c>
      <c r="F231" t="s">
        <v>57</v>
      </c>
      <c r="G231" t="s">
        <v>2056</v>
      </c>
      <c r="H231" t="s">
        <v>2057</v>
      </c>
      <c r="J231" t="s">
        <v>2058</v>
      </c>
    </row>
    <row r="232" spans="1:11" hidden="1" x14ac:dyDescent="0.35">
      <c r="A232">
        <v>581</v>
      </c>
      <c r="B232" s="67" t="s">
        <v>2025</v>
      </c>
      <c r="C232" t="s">
        <v>137</v>
      </c>
      <c r="D232" t="s">
        <v>2069</v>
      </c>
      <c r="E232" t="s">
        <v>1713</v>
      </c>
      <c r="F232" t="s">
        <v>57</v>
      </c>
      <c r="G232" t="s">
        <v>2056</v>
      </c>
      <c r="H232" t="s">
        <v>2057</v>
      </c>
      <c r="J232" t="s">
        <v>2058</v>
      </c>
    </row>
    <row r="233" spans="1:11" hidden="1" x14ac:dyDescent="0.35">
      <c r="A233">
        <v>581</v>
      </c>
      <c r="B233" s="67" t="s">
        <v>2070</v>
      </c>
      <c r="C233" t="s">
        <v>137</v>
      </c>
      <c r="D233" t="s">
        <v>2069</v>
      </c>
      <c r="E233" t="s">
        <v>1713</v>
      </c>
      <c r="F233" t="s">
        <v>57</v>
      </c>
      <c r="G233" t="s">
        <v>2056</v>
      </c>
      <c r="H233" t="s">
        <v>2057</v>
      </c>
      <c r="J233" t="s">
        <v>2058</v>
      </c>
    </row>
    <row r="234" spans="1:11" hidden="1" x14ac:dyDescent="0.35">
      <c r="A234">
        <v>581</v>
      </c>
      <c r="B234" s="67" t="s">
        <v>2071</v>
      </c>
      <c r="C234" t="s">
        <v>137</v>
      </c>
      <c r="D234" t="s">
        <v>2069</v>
      </c>
      <c r="E234" t="s">
        <v>1713</v>
      </c>
      <c r="F234" t="s">
        <v>57</v>
      </c>
      <c r="G234" t="s">
        <v>2056</v>
      </c>
      <c r="H234" t="s">
        <v>2057</v>
      </c>
      <c r="J234" t="s">
        <v>2058</v>
      </c>
    </row>
    <row r="235" spans="1:11" hidden="1" x14ac:dyDescent="0.35">
      <c r="A235">
        <v>581</v>
      </c>
      <c r="B235" s="67" t="s">
        <v>2072</v>
      </c>
      <c r="C235" t="s">
        <v>137</v>
      </c>
      <c r="D235" t="s">
        <v>2069</v>
      </c>
      <c r="E235" t="s">
        <v>1713</v>
      </c>
      <c r="F235" t="s">
        <v>57</v>
      </c>
      <c r="G235" t="s">
        <v>2056</v>
      </c>
      <c r="H235" t="s">
        <v>2057</v>
      </c>
      <c r="J235" t="s">
        <v>2058</v>
      </c>
    </row>
    <row r="236" spans="1:11" hidden="1" x14ac:dyDescent="0.35">
      <c r="A236">
        <v>452</v>
      </c>
      <c r="B236" s="43" t="s">
        <v>2073</v>
      </c>
      <c r="C236" t="s">
        <v>137</v>
      </c>
      <c r="D236" t="s">
        <v>854</v>
      </c>
      <c r="E236" t="s">
        <v>1713</v>
      </c>
      <c r="F236" t="s">
        <v>22</v>
      </c>
      <c r="G236" t="s">
        <v>2074</v>
      </c>
      <c r="H236" t="s">
        <v>206</v>
      </c>
      <c r="J236" t="s">
        <v>2075</v>
      </c>
    </row>
    <row r="237" spans="1:11" hidden="1" x14ac:dyDescent="0.35">
      <c r="A237">
        <v>452</v>
      </c>
      <c r="B237" s="43" t="s">
        <v>2076</v>
      </c>
      <c r="C237" t="s">
        <v>137</v>
      </c>
      <c r="D237" t="s">
        <v>34</v>
      </c>
      <c r="E237" t="s">
        <v>1713</v>
      </c>
      <c r="F237" t="s">
        <v>22</v>
      </c>
      <c r="G237" t="s">
        <v>2074</v>
      </c>
      <c r="H237" t="s">
        <v>206</v>
      </c>
      <c r="J237" t="s">
        <v>2075</v>
      </c>
    </row>
    <row r="238" spans="1:11" hidden="1" x14ac:dyDescent="0.35">
      <c r="A238">
        <v>452</v>
      </c>
      <c r="B238" s="43" t="s">
        <v>2077</v>
      </c>
      <c r="C238" t="s">
        <v>137</v>
      </c>
      <c r="D238" t="s">
        <v>2078</v>
      </c>
      <c r="E238" t="s">
        <v>1713</v>
      </c>
      <c r="F238" t="s">
        <v>22</v>
      </c>
      <c r="G238" t="s">
        <v>2074</v>
      </c>
      <c r="H238" t="s">
        <v>206</v>
      </c>
      <c r="J238" t="s">
        <v>2075</v>
      </c>
    </row>
    <row r="239" spans="1:11" hidden="1" x14ac:dyDescent="0.35">
      <c r="A239">
        <v>452</v>
      </c>
      <c r="B239" s="43" t="s">
        <v>2079</v>
      </c>
      <c r="C239" t="s">
        <v>137</v>
      </c>
      <c r="D239" t="s">
        <v>854</v>
      </c>
      <c r="E239" t="s">
        <v>1713</v>
      </c>
      <c r="F239" t="s">
        <v>22</v>
      </c>
      <c r="G239" t="s">
        <v>2074</v>
      </c>
      <c r="H239" t="s">
        <v>872</v>
      </c>
      <c r="J239" t="s">
        <v>2075</v>
      </c>
    </row>
    <row r="240" spans="1:11" hidden="1" x14ac:dyDescent="0.35">
      <c r="A240">
        <v>496</v>
      </c>
      <c r="B240" s="2" t="s">
        <v>1849</v>
      </c>
      <c r="C240" t="s">
        <v>766</v>
      </c>
      <c r="D240" t="s">
        <v>2080</v>
      </c>
      <c r="E240" t="s">
        <v>1713</v>
      </c>
      <c r="F240" t="s">
        <v>1374</v>
      </c>
      <c r="G240" t="s">
        <v>1904</v>
      </c>
      <c r="H240" t="s">
        <v>820</v>
      </c>
      <c r="J240" t="s">
        <v>2081</v>
      </c>
      <c r="K240" t="s">
        <v>2082</v>
      </c>
    </row>
    <row r="241" spans="1:11" hidden="1" x14ac:dyDescent="0.35">
      <c r="A241">
        <v>496</v>
      </c>
      <c r="B241" s="19" t="s">
        <v>2083</v>
      </c>
      <c r="C241" t="s">
        <v>766</v>
      </c>
      <c r="D241" t="s">
        <v>34</v>
      </c>
      <c r="E241" t="s">
        <v>1713</v>
      </c>
      <c r="F241" t="s">
        <v>1374</v>
      </c>
      <c r="G241" t="s">
        <v>1904</v>
      </c>
      <c r="H241" t="s">
        <v>820</v>
      </c>
      <c r="J241" t="s">
        <v>2081</v>
      </c>
      <c r="K241" t="s">
        <v>2082</v>
      </c>
    </row>
    <row r="242" spans="1:11" hidden="1" x14ac:dyDescent="0.35">
      <c r="A242">
        <v>496</v>
      </c>
      <c r="B242" s="7" t="s">
        <v>2084</v>
      </c>
      <c r="C242" t="s">
        <v>766</v>
      </c>
      <c r="D242" t="s">
        <v>34</v>
      </c>
      <c r="E242" t="s">
        <v>1713</v>
      </c>
      <c r="F242" t="s">
        <v>1374</v>
      </c>
      <c r="G242" t="s">
        <v>1904</v>
      </c>
      <c r="H242" t="s">
        <v>820</v>
      </c>
      <c r="J242" t="s">
        <v>2081</v>
      </c>
      <c r="K242" t="s">
        <v>2082</v>
      </c>
    </row>
    <row r="243" spans="1:11" hidden="1" x14ac:dyDescent="0.35">
      <c r="A243">
        <v>496</v>
      </c>
      <c r="B243" s="7" t="s">
        <v>2085</v>
      </c>
      <c r="C243" t="s">
        <v>766</v>
      </c>
      <c r="D243" t="s">
        <v>2086</v>
      </c>
      <c r="E243" t="s">
        <v>1713</v>
      </c>
      <c r="F243" t="s">
        <v>1374</v>
      </c>
      <c r="G243" t="s">
        <v>1904</v>
      </c>
      <c r="H243" t="s">
        <v>820</v>
      </c>
      <c r="J243" t="s">
        <v>2081</v>
      </c>
      <c r="K243" t="s">
        <v>2082</v>
      </c>
    </row>
    <row r="244" spans="1:11" hidden="1" x14ac:dyDescent="0.35">
      <c r="A244">
        <v>496</v>
      </c>
      <c r="B244" s="19" t="s">
        <v>2087</v>
      </c>
      <c r="C244" t="s">
        <v>766</v>
      </c>
      <c r="D244" t="s">
        <v>34</v>
      </c>
      <c r="E244" t="s">
        <v>1713</v>
      </c>
      <c r="F244" t="s">
        <v>1374</v>
      </c>
      <c r="G244" t="s">
        <v>2088</v>
      </c>
      <c r="H244" t="s">
        <v>820</v>
      </c>
      <c r="J244" t="s">
        <v>2081</v>
      </c>
      <c r="K244" t="s">
        <v>2082</v>
      </c>
    </row>
    <row r="245" spans="1:11" hidden="1" x14ac:dyDescent="0.35">
      <c r="A245">
        <v>508</v>
      </c>
      <c r="B245" s="19" t="s">
        <v>2089</v>
      </c>
      <c r="C245" t="s">
        <v>1374</v>
      </c>
      <c r="D245" t="s">
        <v>2090</v>
      </c>
      <c r="E245" t="s">
        <v>1713</v>
      </c>
      <c r="F245" t="s">
        <v>1374</v>
      </c>
      <c r="G245" t="s">
        <v>2091</v>
      </c>
      <c r="H245" t="s">
        <v>104</v>
      </c>
      <c r="J245" t="s">
        <v>2092</v>
      </c>
    </row>
    <row r="246" spans="1:11" hidden="1" x14ac:dyDescent="0.35">
      <c r="A246">
        <v>508</v>
      </c>
      <c r="B246" s="19" t="s">
        <v>2093</v>
      </c>
      <c r="C246" t="s">
        <v>766</v>
      </c>
      <c r="D246" t="s">
        <v>34</v>
      </c>
      <c r="E246" t="s">
        <v>1713</v>
      </c>
      <c r="F246" t="s">
        <v>1374</v>
      </c>
      <c r="G246" t="s">
        <v>2091</v>
      </c>
      <c r="H246" t="s">
        <v>104</v>
      </c>
      <c r="J246" t="s">
        <v>2092</v>
      </c>
    </row>
    <row r="247" spans="1:11" hidden="1" x14ac:dyDescent="0.35">
      <c r="A247">
        <v>508</v>
      </c>
      <c r="B247" s="19" t="s">
        <v>2094</v>
      </c>
      <c r="C247" t="s">
        <v>1374</v>
      </c>
      <c r="D247" t="s">
        <v>34</v>
      </c>
      <c r="E247" t="s">
        <v>1713</v>
      </c>
      <c r="F247" t="s">
        <v>1374</v>
      </c>
      <c r="G247" t="s">
        <v>2091</v>
      </c>
      <c r="H247" t="s">
        <v>104</v>
      </c>
      <c r="J247" t="s">
        <v>2092</v>
      </c>
    </row>
    <row r="248" spans="1:11" hidden="1" x14ac:dyDescent="0.35">
      <c r="A248">
        <v>560</v>
      </c>
      <c r="B248" s="7" t="s">
        <v>2095</v>
      </c>
      <c r="C248" t="s">
        <v>766</v>
      </c>
      <c r="D248" t="s">
        <v>34</v>
      </c>
      <c r="E248" t="s">
        <v>1713</v>
      </c>
      <c r="F248" t="s">
        <v>1374</v>
      </c>
      <c r="G248" t="s">
        <v>2096</v>
      </c>
      <c r="H248" t="s">
        <v>2097</v>
      </c>
      <c r="J248" t="s">
        <v>2098</v>
      </c>
    </row>
    <row r="249" spans="1:11" hidden="1" x14ac:dyDescent="0.35">
      <c r="A249">
        <v>560</v>
      </c>
      <c r="B249" s="19" t="s">
        <v>2099</v>
      </c>
      <c r="C249" t="s">
        <v>766</v>
      </c>
      <c r="D249" t="s">
        <v>34</v>
      </c>
      <c r="E249" t="s">
        <v>1713</v>
      </c>
      <c r="F249" t="s">
        <v>1374</v>
      </c>
      <c r="G249" t="s">
        <v>2096</v>
      </c>
      <c r="H249" t="s">
        <v>2100</v>
      </c>
      <c r="J249" t="s">
        <v>2101</v>
      </c>
    </row>
    <row r="250" spans="1:11" hidden="1" x14ac:dyDescent="0.35">
      <c r="A250">
        <v>700</v>
      </c>
      <c r="B250" s="2" t="s">
        <v>1849</v>
      </c>
      <c r="C250" t="s">
        <v>766</v>
      </c>
      <c r="E250" t="s">
        <v>1713</v>
      </c>
      <c r="F250" t="s">
        <v>766</v>
      </c>
      <c r="G250" t="s">
        <v>2102</v>
      </c>
      <c r="H250" t="s">
        <v>833</v>
      </c>
      <c r="J250" t="s">
        <v>2103</v>
      </c>
    </row>
    <row r="251" spans="1:11" hidden="1" x14ac:dyDescent="0.35">
      <c r="A251">
        <v>700</v>
      </c>
      <c r="B251" s="19" t="s">
        <v>2104</v>
      </c>
      <c r="C251" t="s">
        <v>766</v>
      </c>
      <c r="D251" t="s">
        <v>34</v>
      </c>
      <c r="E251" t="s">
        <v>1713</v>
      </c>
      <c r="F251" t="s">
        <v>766</v>
      </c>
      <c r="G251" t="s">
        <v>2102</v>
      </c>
      <c r="H251" t="s">
        <v>2105</v>
      </c>
      <c r="J251" t="s">
        <v>2103</v>
      </c>
    </row>
    <row r="252" spans="1:11" hidden="1" x14ac:dyDescent="0.35">
      <c r="A252">
        <v>700</v>
      </c>
      <c r="B252" s="7" t="s">
        <v>2106</v>
      </c>
      <c r="C252" t="s">
        <v>766</v>
      </c>
      <c r="D252" t="s">
        <v>34</v>
      </c>
      <c r="E252" t="s">
        <v>1713</v>
      </c>
      <c r="F252" t="s">
        <v>766</v>
      </c>
      <c r="G252" t="s">
        <v>2102</v>
      </c>
      <c r="H252" t="s">
        <v>189</v>
      </c>
      <c r="J252" t="s">
        <v>2103</v>
      </c>
    </row>
    <row r="253" spans="1:11" hidden="1" x14ac:dyDescent="0.35">
      <c r="A253">
        <v>700</v>
      </c>
      <c r="B253" s="63" t="s">
        <v>2107</v>
      </c>
      <c r="C253" t="s">
        <v>766</v>
      </c>
      <c r="D253" t="s">
        <v>1954</v>
      </c>
      <c r="E253" t="s">
        <v>1713</v>
      </c>
      <c r="F253" t="s">
        <v>766</v>
      </c>
      <c r="G253" t="s">
        <v>2102</v>
      </c>
      <c r="H253" t="s">
        <v>217</v>
      </c>
      <c r="J253" t="s">
        <v>2103</v>
      </c>
    </row>
    <row r="254" spans="1:11" hidden="1" x14ac:dyDescent="0.35">
      <c r="A254">
        <v>700</v>
      </c>
      <c r="B254" s="7" t="s">
        <v>2108</v>
      </c>
      <c r="C254" t="s">
        <v>766</v>
      </c>
      <c r="D254" t="s">
        <v>2109</v>
      </c>
      <c r="E254" t="s">
        <v>1713</v>
      </c>
      <c r="F254" t="s">
        <v>766</v>
      </c>
      <c r="G254" t="s">
        <v>2102</v>
      </c>
      <c r="H254" t="s">
        <v>2110</v>
      </c>
      <c r="J254" t="s">
        <v>2103</v>
      </c>
    </row>
    <row r="255" spans="1:11" hidden="1" x14ac:dyDescent="0.35">
      <c r="A255">
        <v>700</v>
      </c>
      <c r="B255" s="7" t="s">
        <v>2111</v>
      </c>
      <c r="C255" t="s">
        <v>766</v>
      </c>
      <c r="D255" t="s">
        <v>2109</v>
      </c>
      <c r="E255" t="s">
        <v>1713</v>
      </c>
      <c r="F255" t="s">
        <v>766</v>
      </c>
      <c r="G255" t="s">
        <v>2102</v>
      </c>
      <c r="H255" t="s">
        <v>2112</v>
      </c>
      <c r="J255" t="s">
        <v>2103</v>
      </c>
    </row>
    <row r="256" spans="1:11" hidden="1" x14ac:dyDescent="0.35">
      <c r="A256">
        <v>700</v>
      </c>
      <c r="B256" s="7" t="s">
        <v>2113</v>
      </c>
      <c r="C256" t="s">
        <v>766</v>
      </c>
      <c r="D256" t="s">
        <v>2109</v>
      </c>
      <c r="E256" t="s">
        <v>1713</v>
      </c>
      <c r="F256" t="s">
        <v>766</v>
      </c>
      <c r="G256" t="s">
        <v>2102</v>
      </c>
      <c r="H256" t="s">
        <v>1986</v>
      </c>
      <c r="J256" t="s">
        <v>2103</v>
      </c>
    </row>
    <row r="257" spans="1:10" hidden="1" x14ac:dyDescent="0.35">
      <c r="A257">
        <v>700</v>
      </c>
      <c r="B257" s="7" t="s">
        <v>2114</v>
      </c>
      <c r="C257" t="s">
        <v>766</v>
      </c>
      <c r="D257" t="s">
        <v>2109</v>
      </c>
      <c r="E257" t="s">
        <v>1713</v>
      </c>
      <c r="F257" t="s">
        <v>766</v>
      </c>
      <c r="G257" t="s">
        <v>2102</v>
      </c>
      <c r="H257" t="s">
        <v>2115</v>
      </c>
      <c r="J257" t="s">
        <v>2103</v>
      </c>
    </row>
    <row r="258" spans="1:10" hidden="1" x14ac:dyDescent="0.35">
      <c r="A258">
        <v>700</v>
      </c>
      <c r="B258" s="7" t="s">
        <v>2116</v>
      </c>
      <c r="C258" t="s">
        <v>766</v>
      </c>
      <c r="D258" t="s">
        <v>2117</v>
      </c>
      <c r="E258" t="s">
        <v>1713</v>
      </c>
      <c r="F258" t="s">
        <v>766</v>
      </c>
      <c r="G258" t="s">
        <v>2102</v>
      </c>
      <c r="H258" t="s">
        <v>2118</v>
      </c>
      <c r="J258" t="s">
        <v>2103</v>
      </c>
    </row>
    <row r="259" spans="1:10" hidden="1" x14ac:dyDescent="0.35">
      <c r="A259">
        <v>748</v>
      </c>
      <c r="B259" s="19" t="s">
        <v>2119</v>
      </c>
      <c r="C259" t="s">
        <v>766</v>
      </c>
      <c r="D259" t="s">
        <v>34</v>
      </c>
      <c r="E259" t="s">
        <v>1713</v>
      </c>
      <c r="F259" t="s">
        <v>766</v>
      </c>
      <c r="G259" t="s">
        <v>2120</v>
      </c>
      <c r="H259" t="s">
        <v>2121</v>
      </c>
      <c r="J259" t="s">
        <v>357</v>
      </c>
    </row>
    <row r="260" spans="1:10" hidden="1" x14ac:dyDescent="0.35">
      <c r="A260">
        <v>748</v>
      </c>
      <c r="B260" s="7" t="s">
        <v>2122</v>
      </c>
      <c r="C260" t="s">
        <v>766</v>
      </c>
      <c r="D260" t="s">
        <v>2123</v>
      </c>
      <c r="E260" t="s">
        <v>1713</v>
      </c>
      <c r="F260" t="s">
        <v>766</v>
      </c>
      <c r="G260" t="s">
        <v>2120</v>
      </c>
      <c r="H260" t="s">
        <v>2121</v>
      </c>
      <c r="J260" t="s">
        <v>357</v>
      </c>
    </row>
    <row r="261" spans="1:10" hidden="1" x14ac:dyDescent="0.35">
      <c r="A261">
        <v>748</v>
      </c>
      <c r="B261" s="2" t="s">
        <v>2124</v>
      </c>
      <c r="C261" t="s">
        <v>766</v>
      </c>
      <c r="D261" t="s">
        <v>2125</v>
      </c>
      <c r="E261" t="s">
        <v>1713</v>
      </c>
      <c r="F261" t="s">
        <v>766</v>
      </c>
      <c r="G261" t="s">
        <v>2120</v>
      </c>
      <c r="H261" t="s">
        <v>2121</v>
      </c>
      <c r="J261" t="s">
        <v>357</v>
      </c>
    </row>
    <row r="262" spans="1:10" hidden="1" x14ac:dyDescent="0.35">
      <c r="A262">
        <v>748</v>
      </c>
      <c r="B262" s="24" t="s">
        <v>2126</v>
      </c>
      <c r="C262" t="s">
        <v>766</v>
      </c>
      <c r="D262" t="s">
        <v>2127</v>
      </c>
      <c r="E262" t="s">
        <v>1713</v>
      </c>
      <c r="F262" t="s">
        <v>766</v>
      </c>
      <c r="G262" t="s">
        <v>2120</v>
      </c>
      <c r="H262" t="s">
        <v>2121</v>
      </c>
      <c r="J262" t="s">
        <v>357</v>
      </c>
    </row>
    <row r="263" spans="1:10" hidden="1" x14ac:dyDescent="0.35">
      <c r="A263">
        <v>748</v>
      </c>
      <c r="B263" s="24" t="s">
        <v>2128</v>
      </c>
      <c r="C263" t="s">
        <v>766</v>
      </c>
      <c r="D263" t="s">
        <v>2127</v>
      </c>
      <c r="E263" t="s">
        <v>1713</v>
      </c>
      <c r="F263" t="s">
        <v>766</v>
      </c>
      <c r="G263" t="s">
        <v>2120</v>
      </c>
      <c r="H263" t="s">
        <v>2121</v>
      </c>
      <c r="J263" t="s">
        <v>357</v>
      </c>
    </row>
    <row r="264" spans="1:10" hidden="1" x14ac:dyDescent="0.35">
      <c r="A264">
        <v>748</v>
      </c>
      <c r="B264" s="24" t="s">
        <v>2129</v>
      </c>
      <c r="C264" t="s">
        <v>766</v>
      </c>
      <c r="D264" t="s">
        <v>2127</v>
      </c>
      <c r="E264" t="s">
        <v>1713</v>
      </c>
      <c r="F264" t="s">
        <v>766</v>
      </c>
      <c r="G264" t="s">
        <v>2120</v>
      </c>
      <c r="H264" t="s">
        <v>2121</v>
      </c>
      <c r="J264" t="s">
        <v>357</v>
      </c>
    </row>
    <row r="265" spans="1:10" hidden="1" x14ac:dyDescent="0.35">
      <c r="A265">
        <v>748</v>
      </c>
      <c r="B265" s="24" t="s">
        <v>2130</v>
      </c>
      <c r="C265" t="s">
        <v>766</v>
      </c>
      <c r="D265" t="s">
        <v>2127</v>
      </c>
      <c r="E265" t="s">
        <v>1713</v>
      </c>
      <c r="F265" t="s">
        <v>766</v>
      </c>
      <c r="G265" t="s">
        <v>2120</v>
      </c>
      <c r="H265" t="s">
        <v>2121</v>
      </c>
      <c r="J265" t="s">
        <v>357</v>
      </c>
    </row>
    <row r="266" spans="1:10" hidden="1" x14ac:dyDescent="0.35">
      <c r="A266">
        <v>748</v>
      </c>
      <c r="B266" s="24" t="s">
        <v>2131</v>
      </c>
      <c r="C266" t="s">
        <v>766</v>
      </c>
      <c r="D266" t="s">
        <v>2127</v>
      </c>
      <c r="E266" t="s">
        <v>1713</v>
      </c>
      <c r="F266" t="s">
        <v>766</v>
      </c>
      <c r="G266" t="s">
        <v>2120</v>
      </c>
      <c r="H266" t="s">
        <v>2121</v>
      </c>
      <c r="J266" t="s">
        <v>357</v>
      </c>
    </row>
    <row r="267" spans="1:10" hidden="1" x14ac:dyDescent="0.35">
      <c r="A267">
        <v>748</v>
      </c>
      <c r="B267" s="19" t="s">
        <v>2132</v>
      </c>
      <c r="C267" t="s">
        <v>766</v>
      </c>
      <c r="D267" t="s">
        <v>846</v>
      </c>
      <c r="E267" t="s">
        <v>1713</v>
      </c>
      <c r="F267" t="s">
        <v>766</v>
      </c>
      <c r="G267" t="s">
        <v>2120</v>
      </c>
      <c r="H267" t="s">
        <v>2121</v>
      </c>
      <c r="J267" t="s">
        <v>357</v>
      </c>
    </row>
    <row r="268" spans="1:10" hidden="1" x14ac:dyDescent="0.35">
      <c r="A268">
        <v>748</v>
      </c>
      <c r="B268" s="63" t="s">
        <v>1785</v>
      </c>
      <c r="C268" t="s">
        <v>766</v>
      </c>
      <c r="D268" t="s">
        <v>854</v>
      </c>
      <c r="E268" t="s">
        <v>1713</v>
      </c>
      <c r="F268" t="s">
        <v>766</v>
      </c>
      <c r="G268" t="s">
        <v>2120</v>
      </c>
      <c r="H268" t="s">
        <v>2121</v>
      </c>
      <c r="J268" t="s">
        <v>357</v>
      </c>
    </row>
    <row r="269" spans="1:10" hidden="1" x14ac:dyDescent="0.35">
      <c r="A269">
        <v>798</v>
      </c>
      <c r="B269" s="43" t="s">
        <v>2133</v>
      </c>
      <c r="C269" t="s">
        <v>137</v>
      </c>
      <c r="D269" t="s">
        <v>2134</v>
      </c>
      <c r="E269" t="s">
        <v>1713</v>
      </c>
      <c r="F269" t="s">
        <v>22</v>
      </c>
      <c r="G269" t="s">
        <v>2135</v>
      </c>
      <c r="H269" t="s">
        <v>872</v>
      </c>
      <c r="J269" t="s">
        <v>875</v>
      </c>
    </row>
    <row r="270" spans="1:10" hidden="1" x14ac:dyDescent="0.35">
      <c r="A270">
        <v>798</v>
      </c>
      <c r="B270" s="19" t="s">
        <v>2136</v>
      </c>
      <c r="C270" t="s">
        <v>766</v>
      </c>
      <c r="D270" t="s">
        <v>2137</v>
      </c>
      <c r="E270" t="s">
        <v>1713</v>
      </c>
      <c r="F270" t="s">
        <v>766</v>
      </c>
      <c r="G270" t="s">
        <v>2135</v>
      </c>
      <c r="H270" t="s">
        <v>872</v>
      </c>
      <c r="J270" t="s">
        <v>875</v>
      </c>
    </row>
    <row r="271" spans="1:10" hidden="1" x14ac:dyDescent="0.35">
      <c r="A271">
        <v>798</v>
      </c>
      <c r="B271" s="24" t="s">
        <v>2138</v>
      </c>
      <c r="C271" t="s">
        <v>766</v>
      </c>
      <c r="D271" t="s">
        <v>2139</v>
      </c>
      <c r="E271" t="s">
        <v>1713</v>
      </c>
      <c r="F271" t="s">
        <v>766</v>
      </c>
      <c r="G271" t="s">
        <v>2135</v>
      </c>
      <c r="H271" t="s">
        <v>872</v>
      </c>
      <c r="J271" t="s">
        <v>875</v>
      </c>
    </row>
    <row r="272" spans="1:10" hidden="1" x14ac:dyDescent="0.35">
      <c r="A272">
        <v>798</v>
      </c>
      <c r="B272" s="58" t="s">
        <v>2140</v>
      </c>
      <c r="C272" t="s">
        <v>766</v>
      </c>
      <c r="D272" t="s">
        <v>2141</v>
      </c>
      <c r="E272" t="s">
        <v>1713</v>
      </c>
      <c r="F272" t="s">
        <v>766</v>
      </c>
      <c r="G272" t="s">
        <v>2135</v>
      </c>
      <c r="H272" t="s">
        <v>872</v>
      </c>
      <c r="J272" t="s">
        <v>875</v>
      </c>
    </row>
    <row r="273" spans="1:11" hidden="1" x14ac:dyDescent="0.35">
      <c r="A273">
        <v>798</v>
      </c>
      <c r="B273" s="2" t="s">
        <v>2124</v>
      </c>
      <c r="C273" t="s">
        <v>766</v>
      </c>
      <c r="D273" t="s">
        <v>2142</v>
      </c>
      <c r="E273" t="s">
        <v>1713</v>
      </c>
      <c r="F273" t="s">
        <v>766</v>
      </c>
      <c r="G273" t="s">
        <v>2135</v>
      </c>
      <c r="H273" t="s">
        <v>872</v>
      </c>
      <c r="J273" t="s">
        <v>875</v>
      </c>
    </row>
    <row r="274" spans="1:11" hidden="1" x14ac:dyDescent="0.35">
      <c r="A274">
        <v>798</v>
      </c>
      <c r="B274" s="17" t="s">
        <v>2143</v>
      </c>
      <c r="C274" t="s">
        <v>137</v>
      </c>
      <c r="D274" t="s">
        <v>2144</v>
      </c>
      <c r="E274" t="s">
        <v>1713</v>
      </c>
      <c r="F274" t="s">
        <v>137</v>
      </c>
      <c r="G274" t="s">
        <v>2135</v>
      </c>
      <c r="H274" t="s">
        <v>872</v>
      </c>
      <c r="J274" t="s">
        <v>875</v>
      </c>
    </row>
    <row r="275" spans="1:11" hidden="1" x14ac:dyDescent="0.35">
      <c r="A275">
        <v>798</v>
      </c>
      <c r="B275" s="43" t="s">
        <v>2145</v>
      </c>
      <c r="C275" t="s">
        <v>137</v>
      </c>
      <c r="D275" t="s">
        <v>2144</v>
      </c>
      <c r="E275" t="s">
        <v>1713</v>
      </c>
      <c r="F275" t="s">
        <v>137</v>
      </c>
      <c r="G275" t="s">
        <v>2135</v>
      </c>
      <c r="H275" t="s">
        <v>872</v>
      </c>
      <c r="J275" t="s">
        <v>875</v>
      </c>
    </row>
    <row r="276" spans="1:11" hidden="1" x14ac:dyDescent="0.35">
      <c r="A276">
        <v>798</v>
      </c>
      <c r="B276" s="67" t="s">
        <v>2146</v>
      </c>
      <c r="C276" t="s">
        <v>137</v>
      </c>
      <c r="D276" t="s">
        <v>2147</v>
      </c>
      <c r="E276" t="s">
        <v>1713</v>
      </c>
      <c r="F276" t="s">
        <v>766</v>
      </c>
      <c r="G276" t="s">
        <v>2135</v>
      </c>
      <c r="H276" t="s">
        <v>872</v>
      </c>
      <c r="J276" t="s">
        <v>875</v>
      </c>
    </row>
    <row r="277" spans="1:11" hidden="1" x14ac:dyDescent="0.35">
      <c r="A277">
        <v>800</v>
      </c>
      <c r="B277" s="61" t="s">
        <v>2148</v>
      </c>
      <c r="C277" t="s">
        <v>1374</v>
      </c>
      <c r="D277" t="s">
        <v>34</v>
      </c>
      <c r="E277" t="s">
        <v>1713</v>
      </c>
      <c r="F277" t="s">
        <v>33</v>
      </c>
      <c r="G277" t="s">
        <v>847</v>
      </c>
      <c r="H277" t="s">
        <v>1177</v>
      </c>
      <c r="I277" t="s">
        <v>163</v>
      </c>
      <c r="J277" t="s">
        <v>880</v>
      </c>
    </row>
    <row r="278" spans="1:11" hidden="1" x14ac:dyDescent="0.35">
      <c r="A278">
        <v>400</v>
      </c>
      <c r="B278" s="59" t="s">
        <v>2149</v>
      </c>
      <c r="C278" t="s">
        <v>1374</v>
      </c>
      <c r="D278" t="s">
        <v>34</v>
      </c>
      <c r="E278" t="s">
        <v>1713</v>
      </c>
      <c r="F278" t="s">
        <v>766</v>
      </c>
      <c r="G278" t="s">
        <v>63</v>
      </c>
      <c r="H278" t="s">
        <v>1177</v>
      </c>
      <c r="J278" t="s">
        <v>2150</v>
      </c>
    </row>
    <row r="279" spans="1:11" hidden="1" x14ac:dyDescent="0.35">
      <c r="A279">
        <v>400</v>
      </c>
      <c r="B279" s="58" t="s">
        <v>1799</v>
      </c>
      <c r="C279" t="s">
        <v>766</v>
      </c>
      <c r="D279" t="s">
        <v>2151</v>
      </c>
      <c r="E279" t="s">
        <v>1713</v>
      </c>
      <c r="F279" t="s">
        <v>766</v>
      </c>
      <c r="G279" t="s">
        <v>63</v>
      </c>
      <c r="H279" t="s">
        <v>1177</v>
      </c>
      <c r="J279" t="s">
        <v>2150</v>
      </c>
    </row>
    <row r="280" spans="1:11" hidden="1" x14ac:dyDescent="0.35">
      <c r="A280">
        <v>400</v>
      </c>
      <c r="B280" s="2" t="s">
        <v>1742</v>
      </c>
      <c r="C280" t="s">
        <v>766</v>
      </c>
      <c r="E280" t="s">
        <v>1713</v>
      </c>
      <c r="F280" t="s">
        <v>766</v>
      </c>
      <c r="G280" t="s">
        <v>63</v>
      </c>
      <c r="H280" t="s">
        <v>1177</v>
      </c>
      <c r="J280" t="s">
        <v>2150</v>
      </c>
    </row>
    <row r="281" spans="1:11" hidden="1" x14ac:dyDescent="0.35">
      <c r="A281">
        <v>400</v>
      </c>
      <c r="B281" s="59" t="s">
        <v>2152</v>
      </c>
      <c r="C281" t="s">
        <v>1374</v>
      </c>
      <c r="D281" t="s">
        <v>2153</v>
      </c>
      <c r="E281" t="s">
        <v>1713</v>
      </c>
      <c r="F281" t="s">
        <v>57</v>
      </c>
      <c r="G281" t="s">
        <v>63</v>
      </c>
      <c r="H281" t="s">
        <v>1177</v>
      </c>
      <c r="J281" t="s">
        <v>2150</v>
      </c>
      <c r="K281" t="s">
        <v>2154</v>
      </c>
    </row>
    <row r="282" spans="1:11" hidden="1" x14ac:dyDescent="0.35">
      <c r="A282">
        <v>400</v>
      </c>
      <c r="B282" s="24" t="s">
        <v>2155</v>
      </c>
      <c r="C282" t="s">
        <v>1374</v>
      </c>
      <c r="D282" t="s">
        <v>157</v>
      </c>
      <c r="E282" t="s">
        <v>1713</v>
      </c>
      <c r="F282" t="s">
        <v>57</v>
      </c>
      <c r="G282" t="s">
        <v>63</v>
      </c>
      <c r="H282" t="s">
        <v>1177</v>
      </c>
      <c r="J282" t="s">
        <v>2150</v>
      </c>
    </row>
    <row r="283" spans="1:11" hidden="1" x14ac:dyDescent="0.35">
      <c r="A283">
        <v>400</v>
      </c>
      <c r="B283" s="19" t="s">
        <v>2156</v>
      </c>
      <c r="C283" t="s">
        <v>1374</v>
      </c>
      <c r="D283" t="s">
        <v>34</v>
      </c>
      <c r="E283" t="s">
        <v>1713</v>
      </c>
      <c r="F283" t="s">
        <v>57</v>
      </c>
      <c r="G283" t="s">
        <v>63</v>
      </c>
      <c r="H283" t="s">
        <v>1177</v>
      </c>
      <c r="J283" t="s">
        <v>2150</v>
      </c>
    </row>
    <row r="284" spans="1:11" hidden="1" x14ac:dyDescent="0.35">
      <c r="A284">
        <v>400</v>
      </c>
      <c r="B284" s="7" t="s">
        <v>2157</v>
      </c>
      <c r="C284" t="s">
        <v>766</v>
      </c>
      <c r="D284" t="s">
        <v>1383</v>
      </c>
      <c r="E284" t="s">
        <v>1713</v>
      </c>
      <c r="F284" t="s">
        <v>57</v>
      </c>
      <c r="G284" t="s">
        <v>63</v>
      </c>
      <c r="H284" t="s">
        <v>1177</v>
      </c>
      <c r="J284" t="s">
        <v>2150</v>
      </c>
    </row>
    <row r="285" spans="1:11" hidden="1" x14ac:dyDescent="0.35">
      <c r="A285">
        <v>400</v>
      </c>
      <c r="B285" s="7" t="s">
        <v>2158</v>
      </c>
      <c r="C285" t="s">
        <v>766</v>
      </c>
      <c r="D285" t="s">
        <v>1383</v>
      </c>
      <c r="E285" t="s">
        <v>1713</v>
      </c>
      <c r="F285" t="s">
        <v>57</v>
      </c>
      <c r="G285" t="s">
        <v>63</v>
      </c>
      <c r="H285" t="s">
        <v>1177</v>
      </c>
      <c r="J285" t="s">
        <v>2150</v>
      </c>
    </row>
    <row r="286" spans="1:11" hidden="1" x14ac:dyDescent="0.35">
      <c r="A286">
        <v>400</v>
      </c>
      <c r="B286" s="7" t="s">
        <v>2159</v>
      </c>
      <c r="C286" t="s">
        <v>766</v>
      </c>
      <c r="D286" t="s">
        <v>1383</v>
      </c>
      <c r="E286" t="s">
        <v>1713</v>
      </c>
      <c r="F286" t="s">
        <v>57</v>
      </c>
      <c r="G286" t="s">
        <v>63</v>
      </c>
      <c r="H286" t="s">
        <v>1177</v>
      </c>
      <c r="J286" t="s">
        <v>2150</v>
      </c>
    </row>
    <row r="287" spans="1:11" hidden="1" x14ac:dyDescent="0.35">
      <c r="A287">
        <v>400</v>
      </c>
      <c r="B287" s="7" t="s">
        <v>2160</v>
      </c>
      <c r="C287" t="s">
        <v>766</v>
      </c>
      <c r="D287" t="s">
        <v>1383</v>
      </c>
      <c r="E287" t="s">
        <v>1713</v>
      </c>
      <c r="F287" t="s">
        <v>57</v>
      </c>
      <c r="G287" t="s">
        <v>63</v>
      </c>
      <c r="H287" t="s">
        <v>1177</v>
      </c>
      <c r="J287" t="s">
        <v>2150</v>
      </c>
    </row>
    <row r="288" spans="1:11" hidden="1" x14ac:dyDescent="0.35">
      <c r="A288">
        <v>400</v>
      </c>
      <c r="B288" s="7" t="s">
        <v>2122</v>
      </c>
      <c r="C288" t="s">
        <v>766</v>
      </c>
      <c r="D288" t="s">
        <v>34</v>
      </c>
      <c r="E288" t="s">
        <v>1713</v>
      </c>
      <c r="F288" t="s">
        <v>57</v>
      </c>
      <c r="G288" t="s">
        <v>63</v>
      </c>
      <c r="H288" t="s">
        <v>1177</v>
      </c>
      <c r="J288" t="s">
        <v>2150</v>
      </c>
    </row>
    <row r="289" spans="1:11" hidden="1" x14ac:dyDescent="0.35">
      <c r="A289">
        <v>400</v>
      </c>
      <c r="B289" s="19" t="s">
        <v>2087</v>
      </c>
      <c r="C289" t="s">
        <v>766</v>
      </c>
      <c r="D289" t="s">
        <v>34</v>
      </c>
      <c r="E289" t="s">
        <v>1713</v>
      </c>
      <c r="F289" t="s">
        <v>57</v>
      </c>
      <c r="G289" t="s">
        <v>63</v>
      </c>
      <c r="H289" t="s">
        <v>1177</v>
      </c>
      <c r="J289" t="s">
        <v>2150</v>
      </c>
    </row>
    <row r="290" spans="1:11" hidden="1" x14ac:dyDescent="0.35">
      <c r="A290">
        <v>400</v>
      </c>
      <c r="B290" s="19" t="s">
        <v>2161</v>
      </c>
      <c r="C290" t="s">
        <v>766</v>
      </c>
      <c r="D290" t="s">
        <v>34</v>
      </c>
      <c r="E290" t="s">
        <v>1713</v>
      </c>
      <c r="F290" t="s">
        <v>57</v>
      </c>
      <c r="G290" t="s">
        <v>63</v>
      </c>
      <c r="H290" t="s">
        <v>1177</v>
      </c>
      <c r="J290" t="s">
        <v>2150</v>
      </c>
    </row>
    <row r="291" spans="1:11" hidden="1" x14ac:dyDescent="0.35">
      <c r="A291">
        <v>400</v>
      </c>
      <c r="B291" s="17" t="s">
        <v>2162</v>
      </c>
      <c r="C291" t="s">
        <v>137</v>
      </c>
      <c r="D291" t="s">
        <v>1383</v>
      </c>
      <c r="E291" t="s">
        <v>1713</v>
      </c>
      <c r="F291" t="s">
        <v>57</v>
      </c>
      <c r="G291" t="s">
        <v>63</v>
      </c>
      <c r="H291" t="s">
        <v>1177</v>
      </c>
      <c r="J291" t="s">
        <v>2150</v>
      </c>
    </row>
    <row r="292" spans="1:11" hidden="1" x14ac:dyDescent="0.35">
      <c r="A292">
        <v>400</v>
      </c>
      <c r="B292" s="67" t="s">
        <v>2163</v>
      </c>
      <c r="C292" t="s">
        <v>137</v>
      </c>
      <c r="D292" t="s">
        <v>2164</v>
      </c>
      <c r="E292" t="s">
        <v>1713</v>
      </c>
      <c r="F292" t="s">
        <v>57</v>
      </c>
      <c r="G292" t="s">
        <v>63</v>
      </c>
      <c r="H292" t="s">
        <v>1177</v>
      </c>
      <c r="J292" t="s">
        <v>2150</v>
      </c>
    </row>
    <row r="293" spans="1:11" hidden="1" x14ac:dyDescent="0.35">
      <c r="A293">
        <v>400</v>
      </c>
      <c r="B293" s="67" t="s">
        <v>2165</v>
      </c>
      <c r="C293" t="s">
        <v>137</v>
      </c>
      <c r="D293" t="s">
        <v>2164</v>
      </c>
      <c r="E293" t="s">
        <v>1713</v>
      </c>
      <c r="F293" t="s">
        <v>57</v>
      </c>
      <c r="G293" t="s">
        <v>63</v>
      </c>
      <c r="H293" t="s">
        <v>1177</v>
      </c>
      <c r="J293" t="s">
        <v>2150</v>
      </c>
    </row>
    <row r="294" spans="1:11" x14ac:dyDescent="0.35">
      <c r="A294">
        <v>400</v>
      </c>
      <c r="B294" t="s">
        <v>2166</v>
      </c>
      <c r="C294" t="s">
        <v>1777</v>
      </c>
      <c r="E294" t="s">
        <v>1713</v>
      </c>
      <c r="F294" t="s">
        <v>137</v>
      </c>
      <c r="G294" t="s">
        <v>63</v>
      </c>
      <c r="H294" t="s">
        <v>1177</v>
      </c>
      <c r="J294" t="s">
        <v>2167</v>
      </c>
      <c r="K294" t="s">
        <v>2168</v>
      </c>
    </row>
    <row r="295" spans="1:11" hidden="1" x14ac:dyDescent="0.35">
      <c r="A295">
        <v>400</v>
      </c>
      <c r="B295" s="43" t="s">
        <v>2169</v>
      </c>
      <c r="C295" t="s">
        <v>137</v>
      </c>
      <c r="D295" t="s">
        <v>2170</v>
      </c>
      <c r="E295" t="s">
        <v>1713</v>
      </c>
      <c r="F295" t="s">
        <v>137</v>
      </c>
      <c r="G295" t="s">
        <v>63</v>
      </c>
      <c r="H295" t="s">
        <v>1177</v>
      </c>
      <c r="J295" t="s">
        <v>2167</v>
      </c>
    </row>
    <row r="296" spans="1:11" hidden="1" x14ac:dyDescent="0.35">
      <c r="A296">
        <v>400</v>
      </c>
      <c r="B296" s="43" t="s">
        <v>2171</v>
      </c>
      <c r="C296" t="s">
        <v>137</v>
      </c>
      <c r="D296" t="s">
        <v>2172</v>
      </c>
      <c r="E296" t="s">
        <v>1713</v>
      </c>
      <c r="F296" t="s">
        <v>137</v>
      </c>
      <c r="G296" t="s">
        <v>63</v>
      </c>
      <c r="H296" t="s">
        <v>1177</v>
      </c>
      <c r="J296" t="s">
        <v>2167</v>
      </c>
    </row>
    <row r="297" spans="1:11" hidden="1" x14ac:dyDescent="0.35">
      <c r="A297">
        <v>400</v>
      </c>
      <c r="B297" t="s">
        <v>2173</v>
      </c>
      <c r="C297" t="s">
        <v>137</v>
      </c>
      <c r="D297" t="s">
        <v>2172</v>
      </c>
      <c r="E297" t="s">
        <v>1713</v>
      </c>
      <c r="F297" t="s">
        <v>137</v>
      </c>
      <c r="G297" t="s">
        <v>63</v>
      </c>
      <c r="H297" t="s">
        <v>1177</v>
      </c>
      <c r="J297" t="s">
        <v>2167</v>
      </c>
    </row>
    <row r="298" spans="1:11" hidden="1" x14ac:dyDescent="0.35">
      <c r="A298">
        <v>406</v>
      </c>
      <c r="B298" t="s">
        <v>2174</v>
      </c>
      <c r="C298" t="s">
        <v>137</v>
      </c>
      <c r="D298" t="s">
        <v>854</v>
      </c>
      <c r="E298" t="s">
        <v>1713</v>
      </c>
      <c r="F298" t="s">
        <v>137</v>
      </c>
      <c r="G298" t="s">
        <v>1810</v>
      </c>
      <c r="H298" t="s">
        <v>162</v>
      </c>
      <c r="J298" t="s">
        <v>2175</v>
      </c>
      <c r="K298" t="s">
        <v>2176</v>
      </c>
    </row>
    <row r="299" spans="1:11" hidden="1" x14ac:dyDescent="0.35">
      <c r="A299">
        <v>406</v>
      </c>
      <c r="B299" t="s">
        <v>2177</v>
      </c>
      <c r="C299" t="s">
        <v>137</v>
      </c>
      <c r="D299" t="s">
        <v>854</v>
      </c>
      <c r="E299" t="s">
        <v>1713</v>
      </c>
      <c r="F299" t="s">
        <v>137</v>
      </c>
      <c r="G299" t="s">
        <v>1810</v>
      </c>
      <c r="H299" t="s">
        <v>162</v>
      </c>
      <c r="J299" t="s">
        <v>2175</v>
      </c>
      <c r="K299" t="s">
        <v>2178</v>
      </c>
    </row>
    <row r="300" spans="1:11" hidden="1" x14ac:dyDescent="0.35">
      <c r="A300">
        <v>441</v>
      </c>
      <c r="B300" s="19" t="s">
        <v>2179</v>
      </c>
      <c r="C300" t="s">
        <v>766</v>
      </c>
      <c r="D300" t="s">
        <v>34</v>
      </c>
      <c r="E300" t="s">
        <v>1713</v>
      </c>
      <c r="F300" t="s">
        <v>766</v>
      </c>
      <c r="G300" t="s">
        <v>2180</v>
      </c>
      <c r="H300" t="s">
        <v>917</v>
      </c>
      <c r="J300" t="s">
        <v>918</v>
      </c>
    </row>
    <row r="301" spans="1:11" hidden="1" x14ac:dyDescent="0.35">
      <c r="A301">
        <v>441</v>
      </c>
      <c r="B301" s="24" t="s">
        <v>2126</v>
      </c>
      <c r="C301" t="s">
        <v>766</v>
      </c>
      <c r="D301" t="s">
        <v>2181</v>
      </c>
      <c r="E301" t="s">
        <v>1713</v>
      </c>
      <c r="F301" t="s">
        <v>766</v>
      </c>
      <c r="G301" t="s">
        <v>2180</v>
      </c>
      <c r="H301" t="s">
        <v>917</v>
      </c>
      <c r="J301" t="s">
        <v>918</v>
      </c>
    </row>
    <row r="302" spans="1:11" hidden="1" x14ac:dyDescent="0.35">
      <c r="A302">
        <v>441</v>
      </c>
      <c r="B302" s="2" t="s">
        <v>2124</v>
      </c>
      <c r="C302" t="s">
        <v>766</v>
      </c>
      <c r="E302" t="s">
        <v>1713</v>
      </c>
      <c r="F302" t="s">
        <v>766</v>
      </c>
      <c r="G302" t="s">
        <v>2180</v>
      </c>
      <c r="H302" t="s">
        <v>917</v>
      </c>
      <c r="J302" t="s">
        <v>918</v>
      </c>
    </row>
    <row r="303" spans="1:11" hidden="1" x14ac:dyDescent="0.35">
      <c r="A303">
        <v>441</v>
      </c>
      <c r="B303" s="19" t="s">
        <v>2119</v>
      </c>
      <c r="C303" t="s">
        <v>766</v>
      </c>
      <c r="D303" t="s">
        <v>34</v>
      </c>
      <c r="E303" t="s">
        <v>1713</v>
      </c>
      <c r="F303" t="s">
        <v>766</v>
      </c>
      <c r="G303" t="s">
        <v>2180</v>
      </c>
      <c r="H303" t="s">
        <v>917</v>
      </c>
      <c r="J303" t="s">
        <v>918</v>
      </c>
    </row>
    <row r="304" spans="1:11" hidden="1" x14ac:dyDescent="0.35">
      <c r="A304">
        <v>441</v>
      </c>
      <c r="B304" s="7" t="s">
        <v>2122</v>
      </c>
      <c r="C304" t="s">
        <v>766</v>
      </c>
      <c r="D304" t="s">
        <v>34</v>
      </c>
      <c r="E304" t="s">
        <v>1713</v>
      </c>
      <c r="F304" t="s">
        <v>766</v>
      </c>
      <c r="G304" t="s">
        <v>2180</v>
      </c>
      <c r="H304" t="s">
        <v>917</v>
      </c>
      <c r="J304" t="s">
        <v>918</v>
      </c>
    </row>
    <row r="305" spans="1:11" hidden="1" x14ac:dyDescent="0.35">
      <c r="A305">
        <v>441</v>
      </c>
      <c r="B305" s="7" t="s">
        <v>2182</v>
      </c>
      <c r="C305" t="s">
        <v>766</v>
      </c>
      <c r="D305" t="s">
        <v>34</v>
      </c>
      <c r="E305" t="s">
        <v>1713</v>
      </c>
      <c r="F305" t="s">
        <v>766</v>
      </c>
      <c r="G305" t="s">
        <v>2180</v>
      </c>
      <c r="H305" t="s">
        <v>917</v>
      </c>
      <c r="J305" t="s">
        <v>918</v>
      </c>
    </row>
    <row r="306" spans="1:11" hidden="1" x14ac:dyDescent="0.35">
      <c r="A306">
        <v>441</v>
      </c>
      <c r="B306" s="7" t="s">
        <v>2183</v>
      </c>
      <c r="C306" t="s">
        <v>766</v>
      </c>
      <c r="D306" t="s">
        <v>34</v>
      </c>
      <c r="E306" t="s">
        <v>1713</v>
      </c>
      <c r="F306" t="s">
        <v>766</v>
      </c>
      <c r="G306" t="s">
        <v>2180</v>
      </c>
      <c r="H306" t="s">
        <v>917</v>
      </c>
      <c r="J306" t="s">
        <v>918</v>
      </c>
    </row>
    <row r="307" spans="1:11" hidden="1" x14ac:dyDescent="0.35">
      <c r="A307">
        <v>441</v>
      </c>
      <c r="B307" s="7" t="s">
        <v>2184</v>
      </c>
      <c r="C307" t="s">
        <v>766</v>
      </c>
      <c r="D307" t="s">
        <v>34</v>
      </c>
      <c r="E307" t="s">
        <v>1713</v>
      </c>
      <c r="F307" t="s">
        <v>766</v>
      </c>
      <c r="G307" t="s">
        <v>2180</v>
      </c>
      <c r="H307" t="s">
        <v>917</v>
      </c>
      <c r="J307" t="s">
        <v>918</v>
      </c>
    </row>
    <row r="308" spans="1:11" hidden="1" x14ac:dyDescent="0.35">
      <c r="A308">
        <v>441</v>
      </c>
      <c r="B308" s="7" t="s">
        <v>2185</v>
      </c>
      <c r="C308" t="s">
        <v>766</v>
      </c>
      <c r="D308" t="s">
        <v>34</v>
      </c>
      <c r="E308" t="s">
        <v>1713</v>
      </c>
      <c r="F308" t="s">
        <v>766</v>
      </c>
      <c r="G308" t="s">
        <v>2180</v>
      </c>
      <c r="H308" t="s">
        <v>917</v>
      </c>
      <c r="J308" t="s">
        <v>918</v>
      </c>
    </row>
    <row r="309" spans="1:11" hidden="1" x14ac:dyDescent="0.35">
      <c r="A309">
        <v>441</v>
      </c>
      <c r="B309" s="6" t="s">
        <v>2186</v>
      </c>
      <c r="C309" t="s">
        <v>766</v>
      </c>
      <c r="D309" t="s">
        <v>2187</v>
      </c>
      <c r="E309" t="s">
        <v>1713</v>
      </c>
      <c r="F309" t="s">
        <v>766</v>
      </c>
      <c r="G309" t="s">
        <v>2180</v>
      </c>
      <c r="H309" t="s">
        <v>917</v>
      </c>
      <c r="J309" t="s">
        <v>918</v>
      </c>
    </row>
    <row r="310" spans="1:11" hidden="1" x14ac:dyDescent="0.35">
      <c r="A310">
        <v>441</v>
      </c>
      <c r="B310" s="6" t="s">
        <v>2188</v>
      </c>
      <c r="C310" t="s">
        <v>766</v>
      </c>
      <c r="D310" t="s">
        <v>2187</v>
      </c>
      <c r="E310" t="s">
        <v>1713</v>
      </c>
      <c r="F310" t="s">
        <v>766</v>
      </c>
      <c r="G310" t="s">
        <v>2180</v>
      </c>
      <c r="H310" t="s">
        <v>917</v>
      </c>
      <c r="J310" t="s">
        <v>918</v>
      </c>
    </row>
    <row r="311" spans="1:11" hidden="1" x14ac:dyDescent="0.35">
      <c r="A311">
        <v>441</v>
      </c>
      <c r="B311" s="7" t="s">
        <v>2189</v>
      </c>
      <c r="C311" t="s">
        <v>766</v>
      </c>
      <c r="D311" t="s">
        <v>2190</v>
      </c>
      <c r="E311" t="s">
        <v>1713</v>
      </c>
      <c r="F311" t="s">
        <v>766</v>
      </c>
      <c r="G311" t="s">
        <v>2180</v>
      </c>
      <c r="H311" t="s">
        <v>917</v>
      </c>
      <c r="J311" t="s">
        <v>918</v>
      </c>
    </row>
    <row r="312" spans="1:11" hidden="1" x14ac:dyDescent="0.35">
      <c r="A312">
        <v>441</v>
      </c>
      <c r="B312" s="67" t="s">
        <v>2191</v>
      </c>
      <c r="C312" t="s">
        <v>137</v>
      </c>
      <c r="D312" t="s">
        <v>2192</v>
      </c>
      <c r="E312" t="s">
        <v>1713</v>
      </c>
      <c r="F312" t="s">
        <v>137</v>
      </c>
      <c r="G312" t="s">
        <v>2180</v>
      </c>
      <c r="H312" t="s">
        <v>917</v>
      </c>
      <c r="J312" t="s">
        <v>918</v>
      </c>
    </row>
    <row r="313" spans="1:11" hidden="1" x14ac:dyDescent="0.35">
      <c r="A313">
        <v>441</v>
      </c>
      <c r="B313" s="67" t="s">
        <v>2193</v>
      </c>
      <c r="C313" t="s">
        <v>137</v>
      </c>
      <c r="D313" t="s">
        <v>2192</v>
      </c>
      <c r="E313" t="s">
        <v>1713</v>
      </c>
      <c r="F313" t="s">
        <v>137</v>
      </c>
      <c r="G313" t="s">
        <v>2180</v>
      </c>
      <c r="H313" t="s">
        <v>917</v>
      </c>
      <c r="J313" t="s">
        <v>918</v>
      </c>
    </row>
    <row r="314" spans="1:11" hidden="1" x14ac:dyDescent="0.35">
      <c r="A314">
        <v>441</v>
      </c>
      <c r="B314" s="67" t="s">
        <v>2194</v>
      </c>
      <c r="C314" t="s">
        <v>137</v>
      </c>
      <c r="D314" t="s">
        <v>2192</v>
      </c>
      <c r="E314" t="s">
        <v>1713</v>
      </c>
      <c r="F314" t="s">
        <v>137</v>
      </c>
      <c r="G314" t="s">
        <v>2180</v>
      </c>
      <c r="H314" t="s">
        <v>917</v>
      </c>
      <c r="J314" t="s">
        <v>918</v>
      </c>
    </row>
    <row r="315" spans="1:11" hidden="1" x14ac:dyDescent="0.35">
      <c r="A315">
        <v>441</v>
      </c>
      <c r="B315" s="67" t="s">
        <v>2195</v>
      </c>
      <c r="C315" t="s">
        <v>137</v>
      </c>
      <c r="D315" t="s">
        <v>2192</v>
      </c>
      <c r="E315" t="s">
        <v>1713</v>
      </c>
      <c r="F315" t="s">
        <v>137</v>
      </c>
      <c r="G315" t="s">
        <v>2180</v>
      </c>
      <c r="H315" t="s">
        <v>917</v>
      </c>
      <c r="J315" t="s">
        <v>918</v>
      </c>
    </row>
    <row r="316" spans="1:11" hidden="1" x14ac:dyDescent="0.35">
      <c r="A316">
        <v>441</v>
      </c>
      <c r="B316" s="7" t="s">
        <v>2196</v>
      </c>
      <c r="C316" t="s">
        <v>766</v>
      </c>
      <c r="D316" t="s">
        <v>2197</v>
      </c>
      <c r="E316" t="s">
        <v>1713</v>
      </c>
      <c r="F316" t="s">
        <v>137</v>
      </c>
      <c r="G316" t="s">
        <v>2180</v>
      </c>
      <c r="H316" t="s">
        <v>917</v>
      </c>
      <c r="J316" t="s">
        <v>918</v>
      </c>
    </row>
    <row r="317" spans="1:11" hidden="1" x14ac:dyDescent="0.35">
      <c r="A317">
        <v>446</v>
      </c>
      <c r="B317" s="2" t="s">
        <v>2124</v>
      </c>
      <c r="C317" t="s">
        <v>766</v>
      </c>
      <c r="D317" t="s">
        <v>1659</v>
      </c>
      <c r="E317" t="s">
        <v>1713</v>
      </c>
      <c r="F317" t="s">
        <v>766</v>
      </c>
      <c r="G317" t="s">
        <v>63</v>
      </c>
      <c r="H317" t="s">
        <v>820</v>
      </c>
      <c r="J317" t="s">
        <v>2198</v>
      </c>
      <c r="K317" t="s">
        <v>2199</v>
      </c>
    </row>
    <row r="318" spans="1:11" hidden="1" x14ac:dyDescent="0.35">
      <c r="A318">
        <v>446</v>
      </c>
      <c r="B318" s="58" t="s">
        <v>1746</v>
      </c>
      <c r="C318" t="s">
        <v>766</v>
      </c>
      <c r="D318" t="s">
        <v>2200</v>
      </c>
      <c r="E318" t="s">
        <v>1713</v>
      </c>
      <c r="F318" t="s">
        <v>766</v>
      </c>
      <c r="G318" t="s">
        <v>63</v>
      </c>
      <c r="H318" t="s">
        <v>820</v>
      </c>
      <c r="J318" t="s">
        <v>2198</v>
      </c>
    </row>
    <row r="319" spans="1:11" hidden="1" x14ac:dyDescent="0.35">
      <c r="A319">
        <v>446</v>
      </c>
      <c r="B319" s="19" t="s">
        <v>2201</v>
      </c>
      <c r="C319" t="s">
        <v>766</v>
      </c>
      <c r="D319" t="s">
        <v>34</v>
      </c>
      <c r="E319" t="s">
        <v>1713</v>
      </c>
      <c r="F319" t="s">
        <v>766</v>
      </c>
      <c r="G319" t="s">
        <v>63</v>
      </c>
      <c r="H319" t="s">
        <v>820</v>
      </c>
      <c r="J319" t="s">
        <v>2198</v>
      </c>
    </row>
    <row r="320" spans="1:11" hidden="1" x14ac:dyDescent="0.35">
      <c r="A320">
        <v>446</v>
      </c>
      <c r="B320" s="7" t="s">
        <v>2202</v>
      </c>
      <c r="C320" t="s">
        <v>766</v>
      </c>
      <c r="D320" t="s">
        <v>34</v>
      </c>
      <c r="E320" t="s">
        <v>1713</v>
      </c>
      <c r="F320" t="s">
        <v>766</v>
      </c>
      <c r="G320" t="s">
        <v>63</v>
      </c>
      <c r="H320" t="s">
        <v>820</v>
      </c>
      <c r="J320" t="s">
        <v>2198</v>
      </c>
    </row>
    <row r="321" spans="1:10" hidden="1" x14ac:dyDescent="0.35">
      <c r="A321">
        <v>446</v>
      </c>
      <c r="B321" s="7" t="s">
        <v>2203</v>
      </c>
      <c r="C321" t="s">
        <v>766</v>
      </c>
      <c r="D321" t="s">
        <v>2086</v>
      </c>
      <c r="E321" t="s">
        <v>1713</v>
      </c>
      <c r="F321" t="s">
        <v>766</v>
      </c>
      <c r="G321" t="s">
        <v>63</v>
      </c>
      <c r="H321" t="s">
        <v>820</v>
      </c>
      <c r="J321" t="s">
        <v>2198</v>
      </c>
    </row>
    <row r="322" spans="1:10" hidden="1" x14ac:dyDescent="0.35">
      <c r="A322">
        <v>446</v>
      </c>
      <c r="B322" s="19" t="s">
        <v>2204</v>
      </c>
      <c r="C322" t="s">
        <v>1374</v>
      </c>
      <c r="D322" t="s">
        <v>34</v>
      </c>
      <c r="E322" t="s">
        <v>1713</v>
      </c>
      <c r="F322" t="s">
        <v>766</v>
      </c>
      <c r="G322" t="s">
        <v>63</v>
      </c>
      <c r="H322" t="s">
        <v>820</v>
      </c>
      <c r="J322" t="s">
        <v>2198</v>
      </c>
    </row>
    <row r="323" spans="1:10" hidden="1" x14ac:dyDescent="0.35">
      <c r="A323">
        <v>446</v>
      </c>
      <c r="B323" s="59" t="s">
        <v>2205</v>
      </c>
      <c r="C323" t="s">
        <v>1374</v>
      </c>
      <c r="D323" t="s">
        <v>34</v>
      </c>
      <c r="E323" t="s">
        <v>1713</v>
      </c>
      <c r="F323" t="s">
        <v>766</v>
      </c>
      <c r="G323" t="s">
        <v>63</v>
      </c>
      <c r="H323" t="s">
        <v>820</v>
      </c>
      <c r="J323" t="s">
        <v>2198</v>
      </c>
    </row>
    <row r="324" spans="1:10" hidden="1" x14ac:dyDescent="0.35">
      <c r="A324">
        <v>446</v>
      </c>
      <c r="B324" s="67" t="s">
        <v>2206</v>
      </c>
      <c r="C324" t="s">
        <v>137</v>
      </c>
      <c r="D324" t="s">
        <v>2207</v>
      </c>
      <c r="E324" t="s">
        <v>1713</v>
      </c>
      <c r="F324" t="s">
        <v>137</v>
      </c>
      <c r="G324" t="s">
        <v>63</v>
      </c>
      <c r="H324" t="s">
        <v>820</v>
      </c>
      <c r="J324" t="s">
        <v>2198</v>
      </c>
    </row>
    <row r="325" spans="1:10" hidden="1" x14ac:dyDescent="0.35">
      <c r="A325">
        <v>446</v>
      </c>
      <c r="B325" s="17" t="s">
        <v>2208</v>
      </c>
      <c r="C325" t="s">
        <v>137</v>
      </c>
      <c r="D325" t="s">
        <v>2209</v>
      </c>
      <c r="E325" t="s">
        <v>1713</v>
      </c>
      <c r="F325" t="s">
        <v>137</v>
      </c>
      <c r="G325" t="s">
        <v>63</v>
      </c>
      <c r="H325" t="s">
        <v>820</v>
      </c>
      <c r="J325" t="s">
        <v>2198</v>
      </c>
    </row>
    <row r="326" spans="1:10" hidden="1" x14ac:dyDescent="0.35">
      <c r="A326">
        <v>446</v>
      </c>
      <c r="B326" s="67" t="s">
        <v>2210</v>
      </c>
      <c r="C326" t="s">
        <v>137</v>
      </c>
      <c r="D326" t="s">
        <v>2211</v>
      </c>
      <c r="E326" t="s">
        <v>1713</v>
      </c>
      <c r="F326" t="s">
        <v>137</v>
      </c>
      <c r="G326" t="s">
        <v>63</v>
      </c>
      <c r="H326" t="s">
        <v>820</v>
      </c>
      <c r="J326" t="s">
        <v>2198</v>
      </c>
    </row>
    <row r="327" spans="1:10" hidden="1" x14ac:dyDescent="0.35">
      <c r="A327">
        <v>446</v>
      </c>
      <c r="B327" s="67" t="s">
        <v>2212</v>
      </c>
      <c r="C327" t="s">
        <v>137</v>
      </c>
      <c r="D327" t="s">
        <v>2213</v>
      </c>
      <c r="E327" t="s">
        <v>1713</v>
      </c>
      <c r="F327" t="s">
        <v>137</v>
      </c>
      <c r="G327" t="s">
        <v>63</v>
      </c>
      <c r="H327" t="s">
        <v>820</v>
      </c>
      <c r="J327" t="s">
        <v>2198</v>
      </c>
    </row>
    <row r="328" spans="1:10" hidden="1" x14ac:dyDescent="0.35">
      <c r="A328">
        <v>446</v>
      </c>
      <c r="B328" s="67" t="s">
        <v>2214</v>
      </c>
      <c r="C328" t="s">
        <v>137</v>
      </c>
      <c r="D328" t="s">
        <v>2213</v>
      </c>
      <c r="E328" t="s">
        <v>1713</v>
      </c>
      <c r="F328" t="s">
        <v>137</v>
      </c>
      <c r="G328" t="s">
        <v>63</v>
      </c>
      <c r="H328" t="s">
        <v>820</v>
      </c>
      <c r="J328" t="s">
        <v>2198</v>
      </c>
    </row>
    <row r="329" spans="1:10" hidden="1" x14ac:dyDescent="0.35">
      <c r="A329">
        <v>446</v>
      </c>
      <c r="B329" s="17" t="s">
        <v>2215</v>
      </c>
      <c r="C329" t="s">
        <v>137</v>
      </c>
      <c r="D329" t="s">
        <v>2216</v>
      </c>
      <c r="E329" t="s">
        <v>1713</v>
      </c>
      <c r="F329" t="s">
        <v>24</v>
      </c>
      <c r="G329" t="s">
        <v>63</v>
      </c>
      <c r="H329" t="s">
        <v>820</v>
      </c>
      <c r="J329" t="s">
        <v>2198</v>
      </c>
    </row>
    <row r="330" spans="1:10" hidden="1" x14ac:dyDescent="0.35">
      <c r="A330">
        <v>446</v>
      </c>
      <c r="B330" s="17" t="s">
        <v>2217</v>
      </c>
      <c r="C330" t="s">
        <v>137</v>
      </c>
      <c r="D330" t="s">
        <v>2216</v>
      </c>
      <c r="E330" t="s">
        <v>1713</v>
      </c>
      <c r="F330" t="s">
        <v>24</v>
      </c>
      <c r="G330" t="s">
        <v>63</v>
      </c>
      <c r="H330" t="s">
        <v>820</v>
      </c>
      <c r="J330" t="s">
        <v>2198</v>
      </c>
    </row>
    <row r="331" spans="1:10" hidden="1" x14ac:dyDescent="0.35">
      <c r="A331">
        <v>446</v>
      </c>
      <c r="B331" s="17" t="s">
        <v>2218</v>
      </c>
      <c r="C331" t="s">
        <v>137</v>
      </c>
      <c r="D331" t="s">
        <v>2216</v>
      </c>
      <c r="E331" t="s">
        <v>1713</v>
      </c>
      <c r="F331" t="s">
        <v>24</v>
      </c>
      <c r="G331" t="s">
        <v>63</v>
      </c>
      <c r="H331" t="s">
        <v>820</v>
      </c>
      <c r="J331" t="s">
        <v>2198</v>
      </c>
    </row>
    <row r="332" spans="1:10" hidden="1" x14ac:dyDescent="0.35">
      <c r="A332">
        <v>446</v>
      </c>
      <c r="B332" s="43" t="s">
        <v>2219</v>
      </c>
      <c r="C332" t="s">
        <v>137</v>
      </c>
      <c r="D332" t="s">
        <v>2216</v>
      </c>
      <c r="E332" t="s">
        <v>1713</v>
      </c>
      <c r="F332" t="s">
        <v>24</v>
      </c>
      <c r="G332" t="s">
        <v>63</v>
      </c>
      <c r="H332" t="s">
        <v>820</v>
      </c>
      <c r="J332" t="s">
        <v>2198</v>
      </c>
    </row>
    <row r="333" spans="1:10" hidden="1" x14ac:dyDescent="0.35">
      <c r="A333">
        <v>446</v>
      </c>
      <c r="B333" s="43" t="s">
        <v>2220</v>
      </c>
      <c r="C333" t="s">
        <v>137</v>
      </c>
      <c r="D333" t="s">
        <v>2221</v>
      </c>
      <c r="E333" t="s">
        <v>1713</v>
      </c>
      <c r="F333" t="s">
        <v>24</v>
      </c>
      <c r="G333" t="s">
        <v>63</v>
      </c>
      <c r="H333" t="s">
        <v>820</v>
      </c>
      <c r="J333" t="s">
        <v>2198</v>
      </c>
    </row>
    <row r="334" spans="1:10" hidden="1" x14ac:dyDescent="0.35">
      <c r="A334">
        <v>446</v>
      </c>
      <c r="B334" s="43" t="s">
        <v>2222</v>
      </c>
      <c r="C334" t="s">
        <v>137</v>
      </c>
      <c r="D334" t="s">
        <v>2221</v>
      </c>
      <c r="E334" t="s">
        <v>1713</v>
      </c>
      <c r="F334" t="s">
        <v>24</v>
      </c>
      <c r="G334" t="s">
        <v>63</v>
      </c>
      <c r="H334" t="s">
        <v>820</v>
      </c>
      <c r="J334" t="s">
        <v>2198</v>
      </c>
    </row>
    <row r="335" spans="1:10" hidden="1" x14ac:dyDescent="0.35">
      <c r="A335">
        <v>167</v>
      </c>
      <c r="B335" s="2" t="s">
        <v>2223</v>
      </c>
      <c r="C335" t="s">
        <v>1374</v>
      </c>
      <c r="D335" t="s">
        <v>34</v>
      </c>
      <c r="E335" t="s">
        <v>1713</v>
      </c>
      <c r="F335" t="s">
        <v>1374</v>
      </c>
      <c r="G335" t="s">
        <v>2224</v>
      </c>
      <c r="H335" t="s">
        <v>2225</v>
      </c>
      <c r="J335" t="s">
        <v>401</v>
      </c>
    </row>
    <row r="336" spans="1:10" hidden="1" x14ac:dyDescent="0.35">
      <c r="A336">
        <v>167</v>
      </c>
      <c r="B336" s="2" t="s">
        <v>2226</v>
      </c>
      <c r="C336" t="s">
        <v>1374</v>
      </c>
      <c r="D336" t="s">
        <v>34</v>
      </c>
      <c r="E336" t="s">
        <v>1713</v>
      </c>
      <c r="F336" t="s">
        <v>1374</v>
      </c>
      <c r="G336" t="s">
        <v>2224</v>
      </c>
      <c r="H336" t="s">
        <v>2225</v>
      </c>
      <c r="J336" t="s">
        <v>401</v>
      </c>
    </row>
    <row r="337" spans="1:11" hidden="1" x14ac:dyDescent="0.35">
      <c r="A337">
        <v>167</v>
      </c>
      <c r="B337" s="2" t="s">
        <v>2227</v>
      </c>
      <c r="C337" t="s">
        <v>1374</v>
      </c>
      <c r="D337" t="s">
        <v>34</v>
      </c>
      <c r="E337" t="s">
        <v>1713</v>
      </c>
      <c r="F337" t="s">
        <v>1374</v>
      </c>
      <c r="G337" t="s">
        <v>2224</v>
      </c>
      <c r="H337" t="s">
        <v>2225</v>
      </c>
      <c r="J337" t="s">
        <v>401</v>
      </c>
    </row>
    <row r="338" spans="1:11" hidden="1" x14ac:dyDescent="0.35">
      <c r="A338">
        <v>167</v>
      </c>
      <c r="B338" s="2" t="s">
        <v>1742</v>
      </c>
      <c r="C338" t="s">
        <v>766</v>
      </c>
      <c r="D338" t="s">
        <v>2125</v>
      </c>
      <c r="E338" t="s">
        <v>1713</v>
      </c>
      <c r="F338" t="s">
        <v>766</v>
      </c>
      <c r="G338" t="s">
        <v>2224</v>
      </c>
      <c r="H338" t="s">
        <v>2225</v>
      </c>
      <c r="J338" t="s">
        <v>401</v>
      </c>
      <c r="K338" t="s">
        <v>2228</v>
      </c>
    </row>
    <row r="339" spans="1:11" hidden="1" x14ac:dyDescent="0.35">
      <c r="A339">
        <v>167</v>
      </c>
      <c r="B339" s="19" t="s">
        <v>2229</v>
      </c>
      <c r="C339" t="s">
        <v>766</v>
      </c>
      <c r="D339" t="s">
        <v>34</v>
      </c>
      <c r="E339" t="s">
        <v>1713</v>
      </c>
      <c r="F339" t="s">
        <v>766</v>
      </c>
      <c r="G339" t="s">
        <v>2224</v>
      </c>
      <c r="H339" t="s">
        <v>2225</v>
      </c>
      <c r="J339" t="s">
        <v>401</v>
      </c>
    </row>
    <row r="340" spans="1:11" hidden="1" x14ac:dyDescent="0.35">
      <c r="A340">
        <v>167</v>
      </c>
      <c r="B340" s="7" t="s">
        <v>2230</v>
      </c>
      <c r="C340" t="s">
        <v>766</v>
      </c>
      <c r="D340" t="s">
        <v>2231</v>
      </c>
      <c r="E340" t="s">
        <v>1713</v>
      </c>
      <c r="F340" t="s">
        <v>766</v>
      </c>
      <c r="G340" t="s">
        <v>2224</v>
      </c>
      <c r="H340" t="s">
        <v>2225</v>
      </c>
      <c r="J340" t="s">
        <v>401</v>
      </c>
    </row>
    <row r="341" spans="1:11" hidden="1" x14ac:dyDescent="0.35">
      <c r="A341">
        <v>167</v>
      </c>
      <c r="B341" s="7" t="s">
        <v>2232</v>
      </c>
      <c r="C341" t="s">
        <v>766</v>
      </c>
      <c r="D341" t="s">
        <v>2233</v>
      </c>
      <c r="E341" t="s">
        <v>1713</v>
      </c>
      <c r="F341" t="s">
        <v>766</v>
      </c>
      <c r="G341" t="s">
        <v>2224</v>
      </c>
      <c r="H341" t="s">
        <v>2225</v>
      </c>
      <c r="J341" t="s">
        <v>401</v>
      </c>
    </row>
    <row r="342" spans="1:11" hidden="1" x14ac:dyDescent="0.35">
      <c r="A342">
        <v>167</v>
      </c>
      <c r="B342" s="7" t="s">
        <v>2234</v>
      </c>
      <c r="C342" t="s">
        <v>766</v>
      </c>
      <c r="D342" t="s">
        <v>2235</v>
      </c>
      <c r="E342" t="s">
        <v>1713</v>
      </c>
      <c r="F342" t="s">
        <v>766</v>
      </c>
      <c r="G342" t="s">
        <v>2224</v>
      </c>
      <c r="H342" t="s">
        <v>2225</v>
      </c>
      <c r="J342" t="s">
        <v>401</v>
      </c>
    </row>
    <row r="343" spans="1:11" hidden="1" x14ac:dyDescent="0.35">
      <c r="A343">
        <v>167</v>
      </c>
      <c r="B343" s="7" t="s">
        <v>2236</v>
      </c>
      <c r="C343" t="s">
        <v>766</v>
      </c>
      <c r="D343" t="s">
        <v>2237</v>
      </c>
      <c r="E343" t="s">
        <v>1713</v>
      </c>
      <c r="F343" t="s">
        <v>766</v>
      </c>
      <c r="G343" t="s">
        <v>2224</v>
      </c>
      <c r="H343" t="s">
        <v>2225</v>
      </c>
      <c r="J343" t="s">
        <v>401</v>
      </c>
    </row>
    <row r="344" spans="1:11" hidden="1" x14ac:dyDescent="0.35">
      <c r="A344">
        <v>167</v>
      </c>
      <c r="B344" s="7" t="s">
        <v>2238</v>
      </c>
      <c r="C344" t="s">
        <v>766</v>
      </c>
      <c r="D344" t="s">
        <v>2239</v>
      </c>
      <c r="E344" t="s">
        <v>1713</v>
      </c>
      <c r="F344" t="s">
        <v>766</v>
      </c>
      <c r="G344" t="s">
        <v>2224</v>
      </c>
      <c r="H344" t="s">
        <v>2225</v>
      </c>
      <c r="J344" t="s">
        <v>401</v>
      </c>
    </row>
    <row r="345" spans="1:11" hidden="1" x14ac:dyDescent="0.35">
      <c r="A345">
        <v>167</v>
      </c>
      <c r="B345" s="7" t="s">
        <v>2240</v>
      </c>
      <c r="C345" t="s">
        <v>766</v>
      </c>
      <c r="D345" t="s">
        <v>2241</v>
      </c>
      <c r="E345" t="s">
        <v>1713</v>
      </c>
      <c r="F345" t="s">
        <v>766</v>
      </c>
      <c r="G345" t="s">
        <v>2224</v>
      </c>
      <c r="H345" t="s">
        <v>2225</v>
      </c>
      <c r="J345" t="s">
        <v>401</v>
      </c>
    </row>
    <row r="346" spans="1:11" hidden="1" x14ac:dyDescent="0.35">
      <c r="A346">
        <v>167</v>
      </c>
      <c r="B346" s="17" t="s">
        <v>2242</v>
      </c>
      <c r="C346" t="s">
        <v>1374</v>
      </c>
      <c r="D346" t="s">
        <v>2243</v>
      </c>
      <c r="E346" t="s">
        <v>1713</v>
      </c>
      <c r="F346" t="s">
        <v>1374</v>
      </c>
      <c r="G346" t="s">
        <v>2224</v>
      </c>
      <c r="H346" t="s">
        <v>2225</v>
      </c>
      <c r="J346" t="s">
        <v>401</v>
      </c>
    </row>
    <row r="347" spans="1:11" hidden="1" x14ac:dyDescent="0.35">
      <c r="A347">
        <v>167</v>
      </c>
      <c r="B347" s="17" t="s">
        <v>2244</v>
      </c>
      <c r="C347" t="s">
        <v>1374</v>
      </c>
      <c r="D347" t="s">
        <v>34</v>
      </c>
      <c r="E347" t="s">
        <v>1713</v>
      </c>
      <c r="F347" t="s">
        <v>1374</v>
      </c>
      <c r="G347" t="s">
        <v>2224</v>
      </c>
      <c r="H347" t="s">
        <v>2225</v>
      </c>
      <c r="J347" t="s">
        <v>401</v>
      </c>
    </row>
    <row r="348" spans="1:11" hidden="1" x14ac:dyDescent="0.35">
      <c r="A348">
        <v>167</v>
      </c>
      <c r="B348" s="24" t="s">
        <v>2245</v>
      </c>
      <c r="C348" t="s">
        <v>1374</v>
      </c>
      <c r="D348" t="s">
        <v>157</v>
      </c>
      <c r="E348" t="s">
        <v>1713</v>
      </c>
      <c r="F348" t="s">
        <v>1374</v>
      </c>
      <c r="G348" t="s">
        <v>2224</v>
      </c>
      <c r="H348" t="s">
        <v>2225</v>
      </c>
      <c r="J348" t="s">
        <v>401</v>
      </c>
    </row>
    <row r="349" spans="1:11" hidden="1" x14ac:dyDescent="0.35">
      <c r="A349">
        <v>167</v>
      </c>
      <c r="B349" s="59" t="s">
        <v>2246</v>
      </c>
      <c r="C349" t="s">
        <v>1374</v>
      </c>
      <c r="D349" t="s">
        <v>1741</v>
      </c>
      <c r="E349" t="s">
        <v>1713</v>
      </c>
      <c r="F349" t="s">
        <v>1374</v>
      </c>
      <c r="G349" t="s">
        <v>2224</v>
      </c>
      <c r="H349" t="s">
        <v>2225</v>
      </c>
      <c r="J349" t="s">
        <v>401</v>
      </c>
    </row>
    <row r="350" spans="1:11" hidden="1" x14ac:dyDescent="0.35">
      <c r="A350">
        <v>167</v>
      </c>
      <c r="B350" t="s">
        <v>1728</v>
      </c>
      <c r="C350" t="s">
        <v>1711</v>
      </c>
      <c r="D350" t="s">
        <v>1741</v>
      </c>
      <c r="E350" t="s">
        <v>1713</v>
      </c>
      <c r="F350" t="s">
        <v>1374</v>
      </c>
      <c r="G350" t="s">
        <v>2224</v>
      </c>
      <c r="H350" t="s">
        <v>2225</v>
      </c>
      <c r="J350" t="s">
        <v>401</v>
      </c>
    </row>
    <row r="351" spans="1:11" hidden="1" x14ac:dyDescent="0.35">
      <c r="A351">
        <v>167</v>
      </c>
      <c r="B351" t="s">
        <v>1728</v>
      </c>
      <c r="C351" t="s">
        <v>1711</v>
      </c>
      <c r="D351" t="s">
        <v>34</v>
      </c>
      <c r="E351" t="s">
        <v>1713</v>
      </c>
      <c r="F351" t="s">
        <v>1374</v>
      </c>
      <c r="G351" t="s">
        <v>2224</v>
      </c>
      <c r="H351" t="s">
        <v>2225</v>
      </c>
      <c r="J351" t="s">
        <v>401</v>
      </c>
    </row>
    <row r="352" spans="1:11" hidden="1" x14ac:dyDescent="0.35">
      <c r="A352">
        <v>173</v>
      </c>
      <c r="B352" t="s">
        <v>1737</v>
      </c>
      <c r="C352" t="s">
        <v>1711</v>
      </c>
      <c r="D352" t="s">
        <v>1732</v>
      </c>
      <c r="E352" t="s">
        <v>1713</v>
      </c>
      <c r="F352" t="s">
        <v>1374</v>
      </c>
      <c r="G352" t="s">
        <v>120</v>
      </c>
      <c r="H352" t="s">
        <v>2247</v>
      </c>
      <c r="J352" t="s">
        <v>2248</v>
      </c>
      <c r="K352" t="s">
        <v>2249</v>
      </c>
    </row>
    <row r="353" spans="1:11" hidden="1" x14ac:dyDescent="0.35">
      <c r="A353">
        <v>173</v>
      </c>
      <c r="B353" t="s">
        <v>2250</v>
      </c>
      <c r="C353" t="s">
        <v>1711</v>
      </c>
      <c r="D353" t="s">
        <v>34</v>
      </c>
      <c r="E353" t="s">
        <v>1713</v>
      </c>
      <c r="F353" t="s">
        <v>1374</v>
      </c>
      <c r="G353" t="s">
        <v>120</v>
      </c>
      <c r="H353" t="s">
        <v>2247</v>
      </c>
      <c r="J353" t="s">
        <v>2248</v>
      </c>
      <c r="K353" t="s">
        <v>2249</v>
      </c>
    </row>
    <row r="354" spans="1:11" hidden="1" x14ac:dyDescent="0.35">
      <c r="A354">
        <v>79</v>
      </c>
      <c r="B354" s="43" t="s">
        <v>2251</v>
      </c>
      <c r="C354" t="s">
        <v>137</v>
      </c>
      <c r="D354" t="s">
        <v>34</v>
      </c>
      <c r="E354" t="s">
        <v>1713</v>
      </c>
      <c r="F354" t="s">
        <v>22</v>
      </c>
      <c r="G354" t="s">
        <v>943</v>
      </c>
      <c r="H354" t="s">
        <v>944</v>
      </c>
      <c r="J354" t="s">
        <v>2252</v>
      </c>
    </row>
    <row r="355" spans="1:11" hidden="1" x14ac:dyDescent="0.35">
      <c r="A355">
        <v>79</v>
      </c>
      <c r="B355" s="43" t="s">
        <v>80</v>
      </c>
      <c r="C355" t="s">
        <v>137</v>
      </c>
      <c r="E355" t="s">
        <v>1713</v>
      </c>
      <c r="F355" t="s">
        <v>22</v>
      </c>
      <c r="G355" t="s">
        <v>943</v>
      </c>
      <c r="H355" t="s">
        <v>944</v>
      </c>
      <c r="J355" t="s">
        <v>2253</v>
      </c>
    </row>
    <row r="356" spans="1:11" hidden="1" x14ac:dyDescent="0.35">
      <c r="A356">
        <v>79</v>
      </c>
      <c r="B356" s="43" t="s">
        <v>424</v>
      </c>
      <c r="C356" t="s">
        <v>137</v>
      </c>
      <c r="E356" t="s">
        <v>1713</v>
      </c>
      <c r="F356" t="s">
        <v>22</v>
      </c>
      <c r="G356" t="s">
        <v>943</v>
      </c>
      <c r="H356" t="s">
        <v>944</v>
      </c>
      <c r="J356" t="s">
        <v>2253</v>
      </c>
    </row>
    <row r="357" spans="1:11" hidden="1" x14ac:dyDescent="0.35">
      <c r="A357">
        <v>80</v>
      </c>
      <c r="B357" s="43" t="s">
        <v>2254</v>
      </c>
      <c r="C357" t="s">
        <v>137</v>
      </c>
      <c r="E357" t="s">
        <v>1713</v>
      </c>
      <c r="F357" t="s">
        <v>33</v>
      </c>
      <c r="G357" t="s">
        <v>120</v>
      </c>
      <c r="H357" t="s">
        <v>2035</v>
      </c>
      <c r="I357" t="s">
        <v>163</v>
      </c>
      <c r="J357" t="s">
        <v>357</v>
      </c>
    </row>
    <row r="358" spans="1:11" hidden="1" x14ac:dyDescent="0.35">
      <c r="A358">
        <v>80</v>
      </c>
      <c r="B358" s="43" t="s">
        <v>2255</v>
      </c>
      <c r="C358" t="s">
        <v>137</v>
      </c>
      <c r="E358" t="s">
        <v>1713</v>
      </c>
      <c r="F358" t="s">
        <v>22</v>
      </c>
      <c r="G358" t="s">
        <v>120</v>
      </c>
      <c r="H358" t="s">
        <v>2035</v>
      </c>
      <c r="I358" t="s">
        <v>163</v>
      </c>
      <c r="J358" t="s">
        <v>357</v>
      </c>
    </row>
    <row r="359" spans="1:11" hidden="1" x14ac:dyDescent="0.35">
      <c r="A359">
        <v>80</v>
      </c>
      <c r="B359" s="43" t="s">
        <v>2256</v>
      </c>
      <c r="C359" t="s">
        <v>137</v>
      </c>
      <c r="D359" t="s">
        <v>34</v>
      </c>
      <c r="E359" t="s">
        <v>1713</v>
      </c>
      <c r="F359" t="s">
        <v>738</v>
      </c>
      <c r="G359" t="s">
        <v>120</v>
      </c>
      <c r="H359" t="s">
        <v>2035</v>
      </c>
      <c r="I359" t="s">
        <v>163</v>
      </c>
      <c r="J359" t="s">
        <v>357</v>
      </c>
    </row>
    <row r="360" spans="1:11" hidden="1" x14ac:dyDescent="0.35">
      <c r="A360">
        <v>80</v>
      </c>
      <c r="B360" s="43" t="s">
        <v>2257</v>
      </c>
      <c r="C360" t="s">
        <v>137</v>
      </c>
      <c r="E360" t="s">
        <v>1713</v>
      </c>
      <c r="F360" t="s">
        <v>22</v>
      </c>
      <c r="G360" t="s">
        <v>120</v>
      </c>
      <c r="H360" t="s">
        <v>2035</v>
      </c>
      <c r="I360" t="s">
        <v>163</v>
      </c>
      <c r="J360" t="s">
        <v>357</v>
      </c>
    </row>
    <row r="361" spans="1:11" hidden="1" x14ac:dyDescent="0.35">
      <c r="A361">
        <v>80</v>
      </c>
      <c r="B361" s="43" t="s">
        <v>2258</v>
      </c>
      <c r="C361" t="s">
        <v>137</v>
      </c>
      <c r="E361" t="s">
        <v>1713</v>
      </c>
      <c r="F361" t="s">
        <v>22</v>
      </c>
      <c r="G361" t="s">
        <v>120</v>
      </c>
      <c r="H361" t="s">
        <v>2035</v>
      </c>
      <c r="I361" t="s">
        <v>163</v>
      </c>
      <c r="J361" t="s">
        <v>357</v>
      </c>
    </row>
    <row r="362" spans="1:11" hidden="1" x14ac:dyDescent="0.35">
      <c r="A362">
        <v>80</v>
      </c>
      <c r="B362" s="19" t="s">
        <v>2259</v>
      </c>
      <c r="C362" t="s">
        <v>766</v>
      </c>
      <c r="D362" t="s">
        <v>34</v>
      </c>
      <c r="E362" t="s">
        <v>1713</v>
      </c>
      <c r="F362" t="s">
        <v>766</v>
      </c>
      <c r="G362" t="s">
        <v>120</v>
      </c>
      <c r="H362" t="s">
        <v>2035</v>
      </c>
      <c r="I362" t="s">
        <v>163</v>
      </c>
      <c r="J362" t="s">
        <v>2260</v>
      </c>
    </row>
    <row r="363" spans="1:11" hidden="1" x14ac:dyDescent="0.35">
      <c r="A363">
        <v>80</v>
      </c>
      <c r="B363" s="63" t="s">
        <v>2261</v>
      </c>
      <c r="C363" t="s">
        <v>766</v>
      </c>
      <c r="E363" t="s">
        <v>1713</v>
      </c>
      <c r="F363" t="s">
        <v>766</v>
      </c>
      <c r="G363" t="s">
        <v>120</v>
      </c>
      <c r="H363" t="s">
        <v>2035</v>
      </c>
      <c r="I363" t="s">
        <v>163</v>
      </c>
      <c r="J363" t="s">
        <v>2260</v>
      </c>
    </row>
    <row r="364" spans="1:11" hidden="1" x14ac:dyDescent="0.35">
      <c r="A364">
        <v>80</v>
      </c>
      <c r="B364" s="7" t="s">
        <v>2262</v>
      </c>
      <c r="C364" t="s">
        <v>766</v>
      </c>
      <c r="D364" t="s">
        <v>34</v>
      </c>
      <c r="E364" t="s">
        <v>1713</v>
      </c>
      <c r="F364" t="s">
        <v>766</v>
      </c>
      <c r="G364" t="s">
        <v>120</v>
      </c>
      <c r="H364" t="s">
        <v>2035</v>
      </c>
      <c r="I364" t="s">
        <v>163</v>
      </c>
      <c r="J364" t="s">
        <v>2260</v>
      </c>
    </row>
    <row r="365" spans="1:11" hidden="1" x14ac:dyDescent="0.35">
      <c r="A365">
        <v>80</v>
      </c>
      <c r="B365" s="65" t="s">
        <v>2263</v>
      </c>
      <c r="C365" t="s">
        <v>766</v>
      </c>
      <c r="D365" t="s">
        <v>2264</v>
      </c>
      <c r="E365" t="s">
        <v>1713</v>
      </c>
      <c r="F365" t="s">
        <v>766</v>
      </c>
      <c r="G365" t="s">
        <v>120</v>
      </c>
      <c r="H365" t="s">
        <v>2035</v>
      </c>
      <c r="I365" t="s">
        <v>163</v>
      </c>
      <c r="J365" t="s">
        <v>2260</v>
      </c>
    </row>
    <row r="366" spans="1:11" hidden="1" x14ac:dyDescent="0.35">
      <c r="A366">
        <v>856</v>
      </c>
      <c r="B366" t="s">
        <v>2265</v>
      </c>
      <c r="C366" t="s">
        <v>1711</v>
      </c>
      <c r="D366" t="s">
        <v>2266</v>
      </c>
      <c r="E366" t="s">
        <v>1713</v>
      </c>
      <c r="F366" t="s">
        <v>1714</v>
      </c>
      <c r="G366" t="s">
        <v>2267</v>
      </c>
      <c r="H366" t="s">
        <v>181</v>
      </c>
      <c r="J366" t="s">
        <v>2268</v>
      </c>
    </row>
    <row r="367" spans="1:11" hidden="1" x14ac:dyDescent="0.35">
      <c r="A367">
        <v>862</v>
      </c>
      <c r="B367" t="s">
        <v>2269</v>
      </c>
      <c r="C367" t="s">
        <v>1711</v>
      </c>
      <c r="D367" t="s">
        <v>2266</v>
      </c>
      <c r="E367" t="s">
        <v>1713</v>
      </c>
      <c r="F367" t="s">
        <v>1714</v>
      </c>
      <c r="G367" t="s">
        <v>2270</v>
      </c>
      <c r="H367" t="s">
        <v>470</v>
      </c>
      <c r="J367" t="s">
        <v>357</v>
      </c>
      <c r="K367" t="s">
        <v>2271</v>
      </c>
    </row>
    <row r="368" spans="1:11" hidden="1" x14ac:dyDescent="0.35">
      <c r="A368">
        <v>527</v>
      </c>
      <c r="B368" s="2" t="s">
        <v>2272</v>
      </c>
      <c r="C368" t="s">
        <v>766</v>
      </c>
      <c r="D368" t="s">
        <v>988</v>
      </c>
      <c r="E368" t="s">
        <v>1713</v>
      </c>
      <c r="F368" t="s">
        <v>766</v>
      </c>
      <c r="G368" t="s">
        <v>2273</v>
      </c>
      <c r="H368" t="s">
        <v>114</v>
      </c>
      <c r="J368" t="s">
        <v>1000</v>
      </c>
    </row>
    <row r="369" spans="1:11" hidden="1" x14ac:dyDescent="0.35">
      <c r="A369">
        <v>527</v>
      </c>
      <c r="B369" s="11" t="s">
        <v>2274</v>
      </c>
      <c r="C369" t="s">
        <v>766</v>
      </c>
      <c r="D369" t="s">
        <v>34</v>
      </c>
      <c r="E369" t="s">
        <v>1713</v>
      </c>
      <c r="F369" t="s">
        <v>766</v>
      </c>
      <c r="G369" t="s">
        <v>2273</v>
      </c>
      <c r="H369" t="s">
        <v>114</v>
      </c>
      <c r="J369" t="s">
        <v>1000</v>
      </c>
    </row>
    <row r="370" spans="1:11" hidden="1" x14ac:dyDescent="0.35">
      <c r="A370">
        <v>527</v>
      </c>
      <c r="B370" s="7" t="s">
        <v>2275</v>
      </c>
      <c r="C370" t="s">
        <v>766</v>
      </c>
      <c r="D370" t="s">
        <v>2276</v>
      </c>
      <c r="E370" t="s">
        <v>1713</v>
      </c>
      <c r="F370" t="s">
        <v>766</v>
      </c>
      <c r="G370" t="s">
        <v>2273</v>
      </c>
      <c r="H370" t="s">
        <v>114</v>
      </c>
      <c r="J370" t="s">
        <v>1000</v>
      </c>
    </row>
    <row r="371" spans="1:11" hidden="1" x14ac:dyDescent="0.35">
      <c r="A371">
        <v>527</v>
      </c>
      <c r="B371" s="7" t="s">
        <v>2277</v>
      </c>
      <c r="C371" t="s">
        <v>766</v>
      </c>
      <c r="D371" t="s">
        <v>2276</v>
      </c>
      <c r="E371" t="s">
        <v>1713</v>
      </c>
      <c r="F371" t="s">
        <v>766</v>
      </c>
      <c r="G371" t="s">
        <v>2273</v>
      </c>
      <c r="H371" t="s">
        <v>114</v>
      </c>
      <c r="J371" t="s">
        <v>1000</v>
      </c>
    </row>
    <row r="372" spans="1:11" hidden="1" x14ac:dyDescent="0.35">
      <c r="A372">
        <v>527</v>
      </c>
      <c r="B372" s="7" t="s">
        <v>2278</v>
      </c>
      <c r="C372" t="s">
        <v>766</v>
      </c>
      <c r="D372" t="s">
        <v>2276</v>
      </c>
      <c r="E372" t="s">
        <v>1713</v>
      </c>
      <c r="F372" t="s">
        <v>766</v>
      </c>
      <c r="G372" t="s">
        <v>2273</v>
      </c>
      <c r="H372" t="s">
        <v>114</v>
      </c>
      <c r="J372" t="s">
        <v>1000</v>
      </c>
    </row>
    <row r="373" spans="1:11" hidden="1" x14ac:dyDescent="0.35">
      <c r="A373">
        <v>527</v>
      </c>
      <c r="B373" s="7" t="s">
        <v>2279</v>
      </c>
      <c r="C373" t="s">
        <v>766</v>
      </c>
      <c r="D373" t="s">
        <v>2276</v>
      </c>
      <c r="E373" t="s">
        <v>1713</v>
      </c>
      <c r="F373" t="s">
        <v>766</v>
      </c>
      <c r="G373" t="s">
        <v>2273</v>
      </c>
      <c r="H373" t="s">
        <v>114</v>
      </c>
      <c r="J373" t="s">
        <v>1000</v>
      </c>
    </row>
    <row r="374" spans="1:11" hidden="1" x14ac:dyDescent="0.35">
      <c r="A374">
        <v>595</v>
      </c>
      <c r="B374" s="2" t="s">
        <v>2124</v>
      </c>
      <c r="C374" t="s">
        <v>766</v>
      </c>
      <c r="D374" t="s">
        <v>988</v>
      </c>
      <c r="E374" t="s">
        <v>1713</v>
      </c>
      <c r="F374" t="s">
        <v>766</v>
      </c>
      <c r="H374" t="s">
        <v>1135</v>
      </c>
      <c r="J374" t="s">
        <v>1139</v>
      </c>
    </row>
    <row r="375" spans="1:11" hidden="1" x14ac:dyDescent="0.35">
      <c r="A375">
        <v>595</v>
      </c>
      <c r="B375" s="58" t="s">
        <v>2140</v>
      </c>
      <c r="C375" t="s">
        <v>766</v>
      </c>
      <c r="D375" t="s">
        <v>27</v>
      </c>
      <c r="E375" t="s">
        <v>1713</v>
      </c>
      <c r="F375" t="s">
        <v>766</v>
      </c>
      <c r="H375" t="s">
        <v>1135</v>
      </c>
      <c r="J375" t="s">
        <v>1139</v>
      </c>
      <c r="K375" t="s">
        <v>2280</v>
      </c>
    </row>
    <row r="376" spans="1:11" hidden="1" x14ac:dyDescent="0.35">
      <c r="A376">
        <v>595</v>
      </c>
      <c r="B376" s="60" t="s">
        <v>2281</v>
      </c>
      <c r="C376" t="s">
        <v>1374</v>
      </c>
      <c r="D376" t="s">
        <v>2282</v>
      </c>
      <c r="E376" t="s">
        <v>1713</v>
      </c>
      <c r="F376" t="s">
        <v>1374</v>
      </c>
      <c r="H376" t="s">
        <v>1135</v>
      </c>
      <c r="J376" t="s">
        <v>1139</v>
      </c>
    </row>
    <row r="377" spans="1:11" hidden="1" x14ac:dyDescent="0.35">
      <c r="A377">
        <v>595</v>
      </c>
      <c r="B377" s="11" t="s">
        <v>2283</v>
      </c>
      <c r="C377" t="s">
        <v>766</v>
      </c>
      <c r="D377" t="s">
        <v>34</v>
      </c>
      <c r="E377" t="s">
        <v>1713</v>
      </c>
      <c r="F377" t="s">
        <v>766</v>
      </c>
      <c r="H377" t="s">
        <v>1135</v>
      </c>
      <c r="J377" t="s">
        <v>1139</v>
      </c>
    </row>
    <row r="378" spans="1:11" hidden="1" x14ac:dyDescent="0.35">
      <c r="A378">
        <v>595</v>
      </c>
      <c r="B378" s="7" t="s">
        <v>2284</v>
      </c>
      <c r="C378" t="s">
        <v>766</v>
      </c>
      <c r="D378" t="s">
        <v>34</v>
      </c>
      <c r="E378" t="s">
        <v>1713</v>
      </c>
      <c r="F378" t="s">
        <v>57</v>
      </c>
      <c r="H378" t="s">
        <v>1135</v>
      </c>
      <c r="J378" t="s">
        <v>1139</v>
      </c>
      <c r="K378" t="s">
        <v>2285</v>
      </c>
    </row>
    <row r="379" spans="1:11" hidden="1" x14ac:dyDescent="0.35">
      <c r="A379">
        <v>595</v>
      </c>
      <c r="B379" s="7" t="s">
        <v>2286</v>
      </c>
      <c r="C379" t="s">
        <v>766</v>
      </c>
      <c r="D379" t="s">
        <v>27</v>
      </c>
      <c r="E379" t="s">
        <v>1713</v>
      </c>
      <c r="F379" t="s">
        <v>57</v>
      </c>
      <c r="H379" t="s">
        <v>1135</v>
      </c>
      <c r="J379" t="s">
        <v>1139</v>
      </c>
      <c r="K379" t="s">
        <v>2285</v>
      </c>
    </row>
    <row r="380" spans="1:11" hidden="1" x14ac:dyDescent="0.35">
      <c r="A380">
        <v>595</v>
      </c>
      <c r="B380" s="7" t="s">
        <v>2287</v>
      </c>
      <c r="C380" t="s">
        <v>766</v>
      </c>
      <c r="D380" t="s">
        <v>27</v>
      </c>
      <c r="E380" t="s">
        <v>1713</v>
      </c>
      <c r="F380" t="s">
        <v>57</v>
      </c>
      <c r="H380" t="s">
        <v>1135</v>
      </c>
      <c r="J380" t="s">
        <v>1139</v>
      </c>
      <c r="K380" t="s">
        <v>2285</v>
      </c>
    </row>
    <row r="381" spans="1:11" hidden="1" x14ac:dyDescent="0.35">
      <c r="A381">
        <v>595</v>
      </c>
      <c r="B381" s="7" t="s">
        <v>2288</v>
      </c>
      <c r="C381" t="s">
        <v>766</v>
      </c>
      <c r="D381" t="s">
        <v>27</v>
      </c>
      <c r="E381" t="s">
        <v>1713</v>
      </c>
      <c r="F381" t="s">
        <v>57</v>
      </c>
      <c r="H381" t="s">
        <v>1135</v>
      </c>
      <c r="J381" t="s">
        <v>1139</v>
      </c>
      <c r="K381" t="s">
        <v>2285</v>
      </c>
    </row>
    <row r="382" spans="1:11" hidden="1" x14ac:dyDescent="0.35">
      <c r="A382">
        <v>595</v>
      </c>
      <c r="B382" s="7" t="s">
        <v>2289</v>
      </c>
      <c r="C382" t="s">
        <v>766</v>
      </c>
      <c r="D382" t="s">
        <v>27</v>
      </c>
      <c r="E382" t="s">
        <v>1713</v>
      </c>
      <c r="F382" t="s">
        <v>57</v>
      </c>
      <c r="H382" t="s">
        <v>1135</v>
      </c>
      <c r="J382" t="s">
        <v>1139</v>
      </c>
      <c r="K382" t="s">
        <v>2285</v>
      </c>
    </row>
    <row r="383" spans="1:11" hidden="1" x14ac:dyDescent="0.35">
      <c r="A383">
        <v>595</v>
      </c>
      <c r="B383" s="67" t="s">
        <v>2290</v>
      </c>
      <c r="C383" t="s">
        <v>137</v>
      </c>
      <c r="D383" t="s">
        <v>2291</v>
      </c>
      <c r="E383" t="s">
        <v>1713</v>
      </c>
      <c r="F383" t="s">
        <v>685</v>
      </c>
      <c r="H383" t="s">
        <v>1135</v>
      </c>
      <c r="J383" t="s">
        <v>1139</v>
      </c>
      <c r="K383" t="s">
        <v>2292</v>
      </c>
    </row>
    <row r="384" spans="1:11" hidden="1" x14ac:dyDescent="0.35">
      <c r="A384">
        <v>595</v>
      </c>
      <c r="B384" s="19" t="s">
        <v>2293</v>
      </c>
      <c r="C384" t="s">
        <v>766</v>
      </c>
      <c r="D384" t="s">
        <v>34</v>
      </c>
      <c r="E384" t="s">
        <v>1713</v>
      </c>
      <c r="F384" t="s">
        <v>685</v>
      </c>
      <c r="H384" t="s">
        <v>1135</v>
      </c>
      <c r="J384" t="s">
        <v>1139</v>
      </c>
      <c r="K384" t="s">
        <v>2292</v>
      </c>
    </row>
    <row r="385" spans="1:11" hidden="1" x14ac:dyDescent="0.35">
      <c r="A385">
        <v>595</v>
      </c>
      <c r="B385" s="17" t="s">
        <v>2294</v>
      </c>
      <c r="C385" t="s">
        <v>137</v>
      </c>
      <c r="D385" t="s">
        <v>27</v>
      </c>
      <c r="E385" t="s">
        <v>1713</v>
      </c>
      <c r="F385" t="s">
        <v>685</v>
      </c>
      <c r="H385" t="s">
        <v>1135</v>
      </c>
      <c r="J385" t="s">
        <v>1139</v>
      </c>
      <c r="K385" t="s">
        <v>2292</v>
      </c>
    </row>
    <row r="386" spans="1:11" hidden="1" x14ac:dyDescent="0.35">
      <c r="A386">
        <v>595</v>
      </c>
      <c r="B386" s="59" t="s">
        <v>2295</v>
      </c>
      <c r="C386" t="s">
        <v>1374</v>
      </c>
      <c r="D386" t="s">
        <v>27</v>
      </c>
      <c r="E386" t="s">
        <v>1713</v>
      </c>
      <c r="F386" t="s">
        <v>685</v>
      </c>
      <c r="H386" t="s">
        <v>1135</v>
      </c>
      <c r="J386" t="s">
        <v>1139</v>
      </c>
      <c r="K386" t="s">
        <v>2296</v>
      </c>
    </row>
    <row r="387" spans="1:11" hidden="1" x14ac:dyDescent="0.35">
      <c r="A387">
        <v>595</v>
      </c>
      <c r="B387" s="59" t="s">
        <v>2297</v>
      </c>
      <c r="C387" t="s">
        <v>1374</v>
      </c>
      <c r="D387" t="s">
        <v>27</v>
      </c>
      <c r="E387" t="s">
        <v>1713</v>
      </c>
      <c r="F387" t="s">
        <v>685</v>
      </c>
      <c r="H387" t="s">
        <v>1135</v>
      </c>
      <c r="J387" t="s">
        <v>1139</v>
      </c>
      <c r="K387" t="s">
        <v>2296</v>
      </c>
    </row>
    <row r="388" spans="1:11" hidden="1" x14ac:dyDescent="0.35">
      <c r="A388">
        <v>595</v>
      </c>
      <c r="B388" s="67" t="s">
        <v>2298</v>
      </c>
      <c r="C388" t="s">
        <v>137</v>
      </c>
      <c r="D388" t="s">
        <v>2299</v>
      </c>
      <c r="E388" t="s">
        <v>1713</v>
      </c>
      <c r="F388" t="s">
        <v>685</v>
      </c>
      <c r="H388" t="s">
        <v>1135</v>
      </c>
      <c r="J388" t="s">
        <v>1139</v>
      </c>
      <c r="K388" t="s">
        <v>2300</v>
      </c>
    </row>
    <row r="389" spans="1:11" hidden="1" x14ac:dyDescent="0.35">
      <c r="A389">
        <v>595</v>
      </c>
      <c r="B389" s="67" t="s">
        <v>2210</v>
      </c>
      <c r="C389" t="s">
        <v>137</v>
      </c>
      <c r="D389" t="s">
        <v>2301</v>
      </c>
      <c r="E389" t="s">
        <v>1713</v>
      </c>
      <c r="F389" t="s">
        <v>685</v>
      </c>
      <c r="H389" t="s">
        <v>1135</v>
      </c>
      <c r="J389" t="s">
        <v>1139</v>
      </c>
      <c r="K389" t="s">
        <v>2300</v>
      </c>
    </row>
    <row r="390" spans="1:11" hidden="1" x14ac:dyDescent="0.35">
      <c r="A390">
        <v>595</v>
      </c>
      <c r="B390" s="67" t="s">
        <v>2302</v>
      </c>
      <c r="C390" t="s">
        <v>137</v>
      </c>
      <c r="D390" t="s">
        <v>2303</v>
      </c>
      <c r="E390" t="s">
        <v>1713</v>
      </c>
      <c r="F390" t="s">
        <v>685</v>
      </c>
      <c r="H390" t="s">
        <v>1135</v>
      </c>
      <c r="J390" t="s">
        <v>1139</v>
      </c>
      <c r="K390" t="s">
        <v>2300</v>
      </c>
    </row>
    <row r="391" spans="1:11" hidden="1" x14ac:dyDescent="0.35">
      <c r="A391">
        <v>595</v>
      </c>
      <c r="B391" s="67" t="s">
        <v>2304</v>
      </c>
      <c r="C391" t="s">
        <v>137</v>
      </c>
      <c r="D391" t="s">
        <v>2303</v>
      </c>
      <c r="E391" t="s">
        <v>1713</v>
      </c>
      <c r="F391" t="s">
        <v>685</v>
      </c>
      <c r="H391" t="s">
        <v>1135</v>
      </c>
      <c r="J391" t="s">
        <v>1139</v>
      </c>
      <c r="K391" t="s">
        <v>2300</v>
      </c>
    </row>
    <row r="392" spans="1:11" hidden="1" x14ac:dyDescent="0.35">
      <c r="A392">
        <v>595</v>
      </c>
      <c r="B392" s="67" t="s">
        <v>2305</v>
      </c>
      <c r="C392" t="s">
        <v>137</v>
      </c>
      <c r="D392" t="s">
        <v>27</v>
      </c>
      <c r="E392" t="s">
        <v>1713</v>
      </c>
      <c r="F392" t="s">
        <v>57</v>
      </c>
      <c r="H392" t="s">
        <v>1135</v>
      </c>
      <c r="J392" t="s">
        <v>1139</v>
      </c>
      <c r="K392" t="s">
        <v>2306</v>
      </c>
    </row>
    <row r="393" spans="1:11" hidden="1" x14ac:dyDescent="0.35">
      <c r="A393">
        <v>102</v>
      </c>
      <c r="B393" t="s">
        <v>2307</v>
      </c>
      <c r="C393" t="s">
        <v>137</v>
      </c>
      <c r="D393" t="s">
        <v>1159</v>
      </c>
      <c r="E393" t="s">
        <v>1713</v>
      </c>
      <c r="F393" t="s">
        <v>33</v>
      </c>
      <c r="G393" t="s">
        <v>2308</v>
      </c>
      <c r="H393" t="s">
        <v>1161</v>
      </c>
      <c r="J393" t="s">
        <v>1162</v>
      </c>
    </row>
    <row r="394" spans="1:11" hidden="1" x14ac:dyDescent="0.35">
      <c r="A394">
        <v>102</v>
      </c>
      <c r="B394" s="19" t="s">
        <v>2309</v>
      </c>
      <c r="C394" t="s">
        <v>766</v>
      </c>
      <c r="D394" t="s">
        <v>2310</v>
      </c>
      <c r="E394" t="s">
        <v>1713</v>
      </c>
      <c r="F394" t="s">
        <v>766</v>
      </c>
      <c r="G394" t="s">
        <v>2308</v>
      </c>
      <c r="H394" t="s">
        <v>1161</v>
      </c>
      <c r="J394" t="s">
        <v>1162</v>
      </c>
    </row>
    <row r="395" spans="1:11" hidden="1" x14ac:dyDescent="0.35">
      <c r="A395">
        <v>102</v>
      </c>
      <c r="B395" s="19" t="s">
        <v>2311</v>
      </c>
      <c r="C395" t="s">
        <v>766</v>
      </c>
      <c r="D395" t="s">
        <v>1166</v>
      </c>
      <c r="E395" t="s">
        <v>1713</v>
      </c>
      <c r="F395" t="s">
        <v>766</v>
      </c>
      <c r="G395" t="s">
        <v>2308</v>
      </c>
      <c r="H395" t="s">
        <v>1161</v>
      </c>
      <c r="J395" t="s">
        <v>1162</v>
      </c>
    </row>
    <row r="396" spans="1:11" hidden="1" x14ac:dyDescent="0.35">
      <c r="A396">
        <v>102</v>
      </c>
      <c r="B396" t="s">
        <v>2312</v>
      </c>
      <c r="C396" t="s">
        <v>137</v>
      </c>
      <c r="D396" t="s">
        <v>1159</v>
      </c>
      <c r="E396" t="s">
        <v>1713</v>
      </c>
      <c r="G396" t="s">
        <v>2308</v>
      </c>
      <c r="H396" t="s">
        <v>1161</v>
      </c>
      <c r="J396" t="s">
        <v>1162</v>
      </c>
    </row>
    <row r="397" spans="1:11" hidden="1" x14ac:dyDescent="0.35">
      <c r="A397">
        <v>102</v>
      </c>
      <c r="B397" s="17" t="s">
        <v>2313</v>
      </c>
      <c r="C397" t="s">
        <v>1374</v>
      </c>
      <c r="D397" t="s">
        <v>2314</v>
      </c>
      <c r="E397" t="s">
        <v>1713</v>
      </c>
      <c r="F397" t="s">
        <v>1374</v>
      </c>
      <c r="G397" t="s">
        <v>2308</v>
      </c>
      <c r="H397" t="s">
        <v>1161</v>
      </c>
      <c r="J397" t="s">
        <v>1162</v>
      </c>
    </row>
    <row r="398" spans="1:11" hidden="1" x14ac:dyDescent="0.35">
      <c r="A398">
        <v>112</v>
      </c>
      <c r="B398" t="s">
        <v>2315</v>
      </c>
      <c r="C398" t="s">
        <v>2316</v>
      </c>
      <c r="D398" t="s">
        <v>2317</v>
      </c>
      <c r="E398" t="s">
        <v>1713</v>
      </c>
      <c r="F398" t="s">
        <v>685</v>
      </c>
      <c r="G398" t="s">
        <v>2318</v>
      </c>
      <c r="H398" t="s">
        <v>1177</v>
      </c>
      <c r="I398" t="s">
        <v>386</v>
      </c>
      <c r="J398" t="s">
        <v>1178</v>
      </c>
      <c r="K398" t="s">
        <v>2319</v>
      </c>
    </row>
    <row r="399" spans="1:11" hidden="1" x14ac:dyDescent="0.35">
      <c r="A399">
        <v>112</v>
      </c>
      <c r="B399" s="19" t="s">
        <v>2320</v>
      </c>
      <c r="C399" t="s">
        <v>766</v>
      </c>
      <c r="D399" t="s">
        <v>2321</v>
      </c>
      <c r="E399" t="s">
        <v>1713</v>
      </c>
      <c r="F399" t="s">
        <v>685</v>
      </c>
      <c r="G399" t="s">
        <v>2318</v>
      </c>
      <c r="H399" t="s">
        <v>1177</v>
      </c>
      <c r="I399" t="s">
        <v>386</v>
      </c>
      <c r="J399" t="s">
        <v>1178</v>
      </c>
      <c r="K399" t="s">
        <v>2322</v>
      </c>
    </row>
    <row r="400" spans="1:11" hidden="1" x14ac:dyDescent="0.35">
      <c r="A400">
        <v>112</v>
      </c>
      <c r="B400" s="63" t="s">
        <v>1785</v>
      </c>
      <c r="C400" t="s">
        <v>766</v>
      </c>
      <c r="D400" t="s">
        <v>2317</v>
      </c>
      <c r="E400" t="s">
        <v>1713</v>
      </c>
      <c r="F400" t="s">
        <v>685</v>
      </c>
      <c r="G400" t="s">
        <v>2318</v>
      </c>
      <c r="H400" t="s">
        <v>1177</v>
      </c>
      <c r="I400" t="s">
        <v>386</v>
      </c>
      <c r="J400" t="s">
        <v>1178</v>
      </c>
      <c r="K400" t="s">
        <v>2322</v>
      </c>
    </row>
    <row r="401" spans="1:11" hidden="1" x14ac:dyDescent="0.35">
      <c r="A401">
        <v>228</v>
      </c>
      <c r="B401" s="2" t="s">
        <v>2323</v>
      </c>
      <c r="C401" t="s">
        <v>766</v>
      </c>
      <c r="D401" t="s">
        <v>2324</v>
      </c>
      <c r="E401" t="s">
        <v>1713</v>
      </c>
      <c r="F401" t="s">
        <v>766</v>
      </c>
      <c r="G401" t="s">
        <v>120</v>
      </c>
      <c r="H401" t="s">
        <v>1201</v>
      </c>
      <c r="J401" t="s">
        <v>1202</v>
      </c>
      <c r="K401" t="s">
        <v>2325</v>
      </c>
    </row>
    <row r="402" spans="1:11" hidden="1" x14ac:dyDescent="0.35">
      <c r="A402">
        <v>228</v>
      </c>
      <c r="B402" s="19" t="s">
        <v>2326</v>
      </c>
      <c r="C402" t="s">
        <v>766</v>
      </c>
      <c r="D402" t="s">
        <v>2321</v>
      </c>
      <c r="E402" t="s">
        <v>1713</v>
      </c>
      <c r="F402" t="s">
        <v>766</v>
      </c>
      <c r="G402" t="s">
        <v>120</v>
      </c>
      <c r="H402" t="s">
        <v>1201</v>
      </c>
      <c r="J402" t="s">
        <v>1202</v>
      </c>
      <c r="K402" t="s">
        <v>2327</v>
      </c>
    </row>
    <row r="403" spans="1:11" hidden="1" x14ac:dyDescent="0.35">
      <c r="A403">
        <v>228</v>
      </c>
      <c r="B403" s="7" t="s">
        <v>2328</v>
      </c>
      <c r="C403" t="s">
        <v>766</v>
      </c>
      <c r="D403" t="s">
        <v>2321</v>
      </c>
      <c r="E403" t="s">
        <v>1713</v>
      </c>
      <c r="F403" t="s">
        <v>766</v>
      </c>
      <c r="G403" t="s">
        <v>120</v>
      </c>
      <c r="H403" t="s">
        <v>1201</v>
      </c>
      <c r="J403" t="s">
        <v>1202</v>
      </c>
      <c r="K403" t="s">
        <v>2329</v>
      </c>
    </row>
    <row r="404" spans="1:11" hidden="1" x14ac:dyDescent="0.35">
      <c r="A404">
        <v>228</v>
      </c>
      <c r="B404" s="63" t="s">
        <v>2330</v>
      </c>
      <c r="C404" t="s">
        <v>766</v>
      </c>
      <c r="D404" t="s">
        <v>2321</v>
      </c>
      <c r="E404" t="s">
        <v>1713</v>
      </c>
      <c r="F404" t="s">
        <v>766</v>
      </c>
      <c r="G404" t="s">
        <v>120</v>
      </c>
      <c r="H404" t="s">
        <v>1201</v>
      </c>
      <c r="J404" t="s">
        <v>1202</v>
      </c>
      <c r="K404" t="s">
        <v>2331</v>
      </c>
    </row>
    <row r="405" spans="1:11" hidden="1" x14ac:dyDescent="0.35">
      <c r="A405">
        <v>228</v>
      </c>
      <c r="B405" t="s">
        <v>2332</v>
      </c>
      <c r="C405" t="s">
        <v>1711</v>
      </c>
      <c r="D405" t="s">
        <v>2333</v>
      </c>
      <c r="E405" t="s">
        <v>1713</v>
      </c>
      <c r="F405" t="s">
        <v>1714</v>
      </c>
      <c r="G405" t="s">
        <v>2334</v>
      </c>
      <c r="H405" t="s">
        <v>1201</v>
      </c>
      <c r="J405" t="s">
        <v>1202</v>
      </c>
      <c r="K405" t="s">
        <v>2335</v>
      </c>
    </row>
    <row r="406" spans="1:11" hidden="1" x14ac:dyDescent="0.35">
      <c r="A406">
        <v>228</v>
      </c>
      <c r="B406" t="s">
        <v>2336</v>
      </c>
      <c r="C406" t="s">
        <v>1711</v>
      </c>
      <c r="D406" t="s">
        <v>2321</v>
      </c>
      <c r="E406" t="s">
        <v>1713</v>
      </c>
      <c r="F406" t="s">
        <v>1714</v>
      </c>
      <c r="G406" t="s">
        <v>2334</v>
      </c>
      <c r="H406" t="s">
        <v>1201</v>
      </c>
      <c r="J406" t="s">
        <v>1202</v>
      </c>
      <c r="K406" t="s">
        <v>2337</v>
      </c>
    </row>
    <row r="407" spans="1:11" hidden="1" x14ac:dyDescent="0.35">
      <c r="A407">
        <v>228</v>
      </c>
      <c r="B407" t="s">
        <v>2338</v>
      </c>
      <c r="C407" t="s">
        <v>1711</v>
      </c>
      <c r="D407" t="s">
        <v>2321</v>
      </c>
      <c r="E407" t="s">
        <v>1713</v>
      </c>
      <c r="F407" t="s">
        <v>1714</v>
      </c>
      <c r="G407" t="s">
        <v>2334</v>
      </c>
      <c r="H407" t="s">
        <v>1201</v>
      </c>
      <c r="J407" t="s">
        <v>1202</v>
      </c>
      <c r="K407" t="s">
        <v>2339</v>
      </c>
    </row>
    <row r="408" spans="1:11" hidden="1" x14ac:dyDescent="0.35">
      <c r="A408">
        <v>228</v>
      </c>
      <c r="B408" t="s">
        <v>2340</v>
      </c>
      <c r="C408" t="s">
        <v>1711</v>
      </c>
      <c r="D408" t="s">
        <v>2321</v>
      </c>
      <c r="E408" t="s">
        <v>1713</v>
      </c>
      <c r="F408" t="s">
        <v>1714</v>
      </c>
      <c r="G408" t="s">
        <v>2334</v>
      </c>
      <c r="H408" t="s">
        <v>1201</v>
      </c>
      <c r="J408" t="s">
        <v>1202</v>
      </c>
      <c r="K408" t="s">
        <v>2341</v>
      </c>
    </row>
    <row r="409" spans="1:11" hidden="1" x14ac:dyDescent="0.35">
      <c r="A409">
        <v>228</v>
      </c>
      <c r="B409" t="s">
        <v>2342</v>
      </c>
      <c r="C409" t="s">
        <v>1711</v>
      </c>
      <c r="D409" t="s">
        <v>2343</v>
      </c>
      <c r="E409" t="s">
        <v>1713</v>
      </c>
      <c r="F409" t="s">
        <v>1714</v>
      </c>
      <c r="G409" t="s">
        <v>2334</v>
      </c>
      <c r="H409" t="s">
        <v>1201</v>
      </c>
      <c r="J409" t="s">
        <v>2344</v>
      </c>
      <c r="K409" t="s">
        <v>2345</v>
      </c>
    </row>
    <row r="410" spans="1:11" hidden="1" x14ac:dyDescent="0.35">
      <c r="A410">
        <v>228</v>
      </c>
      <c r="B410" t="s">
        <v>2346</v>
      </c>
      <c r="C410" t="s">
        <v>766</v>
      </c>
      <c r="D410" t="s">
        <v>2347</v>
      </c>
      <c r="E410" t="s">
        <v>1713</v>
      </c>
      <c r="F410" t="s">
        <v>766</v>
      </c>
      <c r="G410" t="s">
        <v>120</v>
      </c>
      <c r="H410" t="s">
        <v>1201</v>
      </c>
      <c r="J410" t="s">
        <v>1202</v>
      </c>
      <c r="K410" t="s">
        <v>2348</v>
      </c>
    </row>
    <row r="411" spans="1:11" hidden="1" x14ac:dyDescent="0.35">
      <c r="A411">
        <v>228</v>
      </c>
      <c r="B411" s="19" t="s">
        <v>2349</v>
      </c>
      <c r="C411" t="s">
        <v>766</v>
      </c>
      <c r="D411" t="s">
        <v>2350</v>
      </c>
      <c r="E411" t="s">
        <v>1713</v>
      </c>
      <c r="F411" t="s">
        <v>766</v>
      </c>
      <c r="G411" t="s">
        <v>120</v>
      </c>
      <c r="H411" t="s">
        <v>1201</v>
      </c>
      <c r="J411" t="s">
        <v>1202</v>
      </c>
      <c r="K411" t="s">
        <v>2351</v>
      </c>
    </row>
    <row r="412" spans="1:11" hidden="1" x14ac:dyDescent="0.35">
      <c r="A412">
        <v>228</v>
      </c>
      <c r="B412" t="s">
        <v>2352</v>
      </c>
      <c r="C412" t="s">
        <v>766</v>
      </c>
      <c r="D412" t="s">
        <v>988</v>
      </c>
      <c r="E412" t="s">
        <v>1713</v>
      </c>
      <c r="F412" t="s">
        <v>766</v>
      </c>
      <c r="G412" t="s">
        <v>120</v>
      </c>
      <c r="H412" t="s">
        <v>1201</v>
      </c>
      <c r="J412" t="s">
        <v>1202</v>
      </c>
      <c r="K412" t="s">
        <v>2353</v>
      </c>
    </row>
    <row r="413" spans="1:11" hidden="1" x14ac:dyDescent="0.35">
      <c r="A413">
        <v>228</v>
      </c>
      <c r="B413" t="s">
        <v>2354</v>
      </c>
      <c r="C413" t="s">
        <v>766</v>
      </c>
      <c r="D413" t="s">
        <v>1200</v>
      </c>
      <c r="E413" t="s">
        <v>1713</v>
      </c>
      <c r="F413" t="s">
        <v>766</v>
      </c>
      <c r="G413" t="s">
        <v>120</v>
      </c>
      <c r="H413" t="s">
        <v>1201</v>
      </c>
      <c r="J413" t="s">
        <v>1202</v>
      </c>
      <c r="K413" t="s">
        <v>2355</v>
      </c>
    </row>
    <row r="414" spans="1:11" hidden="1" x14ac:dyDescent="0.35">
      <c r="A414">
        <v>228</v>
      </c>
      <c r="B414" t="s">
        <v>2356</v>
      </c>
      <c r="C414" t="s">
        <v>766</v>
      </c>
      <c r="D414" t="s">
        <v>1200</v>
      </c>
      <c r="E414" t="s">
        <v>1713</v>
      </c>
      <c r="F414" t="s">
        <v>766</v>
      </c>
      <c r="G414" t="s">
        <v>120</v>
      </c>
      <c r="H414" t="s">
        <v>1201</v>
      </c>
      <c r="J414" t="s">
        <v>1202</v>
      </c>
      <c r="K414" t="s">
        <v>2357</v>
      </c>
    </row>
    <row r="415" spans="1:11" hidden="1" x14ac:dyDescent="0.35">
      <c r="A415">
        <v>228</v>
      </c>
      <c r="B415" t="s">
        <v>2358</v>
      </c>
      <c r="C415" t="s">
        <v>766</v>
      </c>
      <c r="D415" t="s">
        <v>1200</v>
      </c>
      <c r="E415" t="s">
        <v>1713</v>
      </c>
      <c r="F415" t="s">
        <v>766</v>
      </c>
      <c r="G415" t="s">
        <v>120</v>
      </c>
      <c r="H415" t="s">
        <v>1201</v>
      </c>
      <c r="J415" t="s">
        <v>1202</v>
      </c>
      <c r="K415" t="s">
        <v>2359</v>
      </c>
    </row>
    <row r="416" spans="1:11" hidden="1" x14ac:dyDescent="0.35">
      <c r="A416">
        <v>228</v>
      </c>
      <c r="B416" t="s">
        <v>2360</v>
      </c>
      <c r="C416" t="s">
        <v>766</v>
      </c>
      <c r="D416" t="s">
        <v>1200</v>
      </c>
      <c r="E416" t="s">
        <v>1713</v>
      </c>
      <c r="F416" t="s">
        <v>766</v>
      </c>
      <c r="G416" t="s">
        <v>120</v>
      </c>
      <c r="H416" t="s">
        <v>1201</v>
      </c>
      <c r="J416" t="s">
        <v>1202</v>
      </c>
      <c r="K416" t="s">
        <v>2361</v>
      </c>
    </row>
    <row r="417" spans="1:11" hidden="1" x14ac:dyDescent="0.35">
      <c r="A417">
        <v>228</v>
      </c>
      <c r="B417" s="43" t="s">
        <v>2362</v>
      </c>
      <c r="C417" t="s">
        <v>137</v>
      </c>
      <c r="D417" t="s">
        <v>1200</v>
      </c>
      <c r="E417" t="s">
        <v>1713</v>
      </c>
      <c r="F417" t="s">
        <v>766</v>
      </c>
      <c r="G417" t="s">
        <v>120</v>
      </c>
      <c r="H417" t="s">
        <v>1201</v>
      </c>
      <c r="J417" t="s">
        <v>1202</v>
      </c>
      <c r="K417" t="s">
        <v>2363</v>
      </c>
    </row>
    <row r="418" spans="1:11" hidden="1" x14ac:dyDescent="0.35">
      <c r="A418">
        <v>808</v>
      </c>
      <c r="B418" s="61" t="s">
        <v>2364</v>
      </c>
      <c r="C418" t="s">
        <v>1374</v>
      </c>
      <c r="D418" t="s">
        <v>34</v>
      </c>
      <c r="E418" t="s">
        <v>1713</v>
      </c>
      <c r="F418" t="s">
        <v>33</v>
      </c>
      <c r="G418" t="s">
        <v>1171</v>
      </c>
      <c r="H418" t="s">
        <v>1288</v>
      </c>
      <c r="J418" t="s">
        <v>1289</v>
      </c>
      <c r="K418" t="s">
        <v>1293</v>
      </c>
    </row>
    <row r="419" spans="1:11" hidden="1" x14ac:dyDescent="0.35">
      <c r="A419">
        <v>27</v>
      </c>
      <c r="B419" t="s">
        <v>2365</v>
      </c>
      <c r="C419" t="s">
        <v>1711</v>
      </c>
      <c r="D419" t="s">
        <v>157</v>
      </c>
      <c r="E419" t="s">
        <v>1713</v>
      </c>
      <c r="F419" t="s">
        <v>1714</v>
      </c>
      <c r="G419" t="s">
        <v>362</v>
      </c>
      <c r="H419" t="s">
        <v>2366</v>
      </c>
      <c r="I419" t="s">
        <v>27</v>
      </c>
      <c r="J419" t="s">
        <v>2367</v>
      </c>
      <c r="K419" t="s">
        <v>2368</v>
      </c>
    </row>
    <row r="420" spans="1:11" hidden="1" x14ac:dyDescent="0.35">
      <c r="A420">
        <v>27</v>
      </c>
      <c r="B420" t="s">
        <v>2369</v>
      </c>
      <c r="C420" t="s">
        <v>1711</v>
      </c>
      <c r="D420" t="s">
        <v>157</v>
      </c>
      <c r="E420" t="s">
        <v>1713</v>
      </c>
      <c r="F420" t="s">
        <v>1714</v>
      </c>
      <c r="G420" t="s">
        <v>362</v>
      </c>
      <c r="H420" t="s">
        <v>2366</v>
      </c>
      <c r="I420" t="s">
        <v>27</v>
      </c>
      <c r="J420" t="s">
        <v>2367</v>
      </c>
      <c r="K420" t="s">
        <v>2368</v>
      </c>
    </row>
    <row r="421" spans="1:11" hidden="1" x14ac:dyDescent="0.35">
      <c r="A421">
        <v>27</v>
      </c>
      <c r="B421" t="s">
        <v>2370</v>
      </c>
      <c r="C421" t="s">
        <v>1711</v>
      </c>
      <c r="D421" t="s">
        <v>157</v>
      </c>
      <c r="E421" t="s">
        <v>1713</v>
      </c>
      <c r="F421" t="s">
        <v>1374</v>
      </c>
      <c r="G421" t="s">
        <v>362</v>
      </c>
      <c r="H421" t="s">
        <v>2366</v>
      </c>
      <c r="I421" t="s">
        <v>27</v>
      </c>
      <c r="J421" t="s">
        <v>2371</v>
      </c>
      <c r="K421" t="s">
        <v>2372</v>
      </c>
    </row>
    <row r="422" spans="1:11" hidden="1" x14ac:dyDescent="0.35">
      <c r="A422">
        <v>27</v>
      </c>
      <c r="B422" s="61" t="s">
        <v>2373</v>
      </c>
      <c r="C422" t="s">
        <v>1374</v>
      </c>
      <c r="D422" t="s">
        <v>34</v>
      </c>
      <c r="E422" t="s">
        <v>1713</v>
      </c>
      <c r="F422" t="s">
        <v>1714</v>
      </c>
      <c r="G422" t="s">
        <v>362</v>
      </c>
      <c r="H422" t="s">
        <v>2366</v>
      </c>
      <c r="I422" t="s">
        <v>27</v>
      </c>
      <c r="J422" t="s">
        <v>2374</v>
      </c>
      <c r="K422" t="s">
        <v>2375</v>
      </c>
    </row>
    <row r="423" spans="1:11" hidden="1" x14ac:dyDescent="0.35">
      <c r="A423">
        <v>27</v>
      </c>
      <c r="B423" t="s">
        <v>2376</v>
      </c>
      <c r="C423" t="s">
        <v>1711</v>
      </c>
      <c r="D423" t="s">
        <v>2377</v>
      </c>
      <c r="E423" t="s">
        <v>1713</v>
      </c>
      <c r="F423" t="s">
        <v>1714</v>
      </c>
      <c r="G423" t="s">
        <v>382</v>
      </c>
      <c r="H423" t="s">
        <v>2366</v>
      </c>
      <c r="I423" t="s">
        <v>27</v>
      </c>
      <c r="J423" t="s">
        <v>2378</v>
      </c>
      <c r="K423" t="s">
        <v>2379</v>
      </c>
    </row>
    <row r="424" spans="1:11" hidden="1" x14ac:dyDescent="0.35">
      <c r="A424">
        <v>123</v>
      </c>
      <c r="B424" s="19" t="s">
        <v>2179</v>
      </c>
      <c r="C424" t="s">
        <v>766</v>
      </c>
      <c r="D424" t="s">
        <v>34</v>
      </c>
      <c r="E424" t="s">
        <v>1713</v>
      </c>
      <c r="F424" t="s">
        <v>766</v>
      </c>
      <c r="H424" t="s">
        <v>2035</v>
      </c>
      <c r="I424" t="s">
        <v>27</v>
      </c>
      <c r="J424" t="s">
        <v>2380</v>
      </c>
      <c r="K424" t="s">
        <v>2381</v>
      </c>
    </row>
    <row r="425" spans="1:11" hidden="1" x14ac:dyDescent="0.35">
      <c r="A425">
        <v>123</v>
      </c>
      <c r="B425" s="19" t="s">
        <v>2382</v>
      </c>
      <c r="C425" t="s">
        <v>766</v>
      </c>
      <c r="D425" t="s">
        <v>34</v>
      </c>
      <c r="E425" t="s">
        <v>1713</v>
      </c>
      <c r="F425" t="s">
        <v>766</v>
      </c>
      <c r="H425" t="s">
        <v>2035</v>
      </c>
      <c r="I425" t="s">
        <v>27</v>
      </c>
      <c r="J425" t="s">
        <v>2380</v>
      </c>
      <c r="K425" t="s">
        <v>2381</v>
      </c>
    </row>
    <row r="426" spans="1:11" hidden="1" x14ac:dyDescent="0.35">
      <c r="A426">
        <v>123</v>
      </c>
      <c r="B426" s="7" t="s">
        <v>2383</v>
      </c>
      <c r="C426" t="s">
        <v>766</v>
      </c>
      <c r="D426" t="s">
        <v>34</v>
      </c>
      <c r="E426" t="s">
        <v>1713</v>
      </c>
      <c r="F426" t="s">
        <v>766</v>
      </c>
      <c r="H426" t="s">
        <v>2035</v>
      </c>
      <c r="I426" t="s">
        <v>27</v>
      </c>
      <c r="J426" t="s">
        <v>2380</v>
      </c>
      <c r="K426" t="s">
        <v>2381</v>
      </c>
    </row>
    <row r="427" spans="1:11" hidden="1" x14ac:dyDescent="0.35">
      <c r="A427">
        <v>123</v>
      </c>
      <c r="B427" s="63" t="s">
        <v>1388</v>
      </c>
      <c r="C427" t="s">
        <v>766</v>
      </c>
      <c r="D427" t="s">
        <v>1389</v>
      </c>
      <c r="E427" t="s">
        <v>1713</v>
      </c>
      <c r="F427" t="s">
        <v>766</v>
      </c>
      <c r="H427" t="s">
        <v>2384</v>
      </c>
      <c r="I427" t="s">
        <v>27</v>
      </c>
      <c r="K427" t="s">
        <v>2385</v>
      </c>
    </row>
    <row r="428" spans="1:11" hidden="1" x14ac:dyDescent="0.35">
      <c r="A428">
        <v>123</v>
      </c>
      <c r="B428" s="7" t="s">
        <v>2386</v>
      </c>
      <c r="C428" t="s">
        <v>766</v>
      </c>
      <c r="D428" t="s">
        <v>1383</v>
      </c>
      <c r="E428" t="s">
        <v>1713</v>
      </c>
      <c r="F428" t="s">
        <v>766</v>
      </c>
      <c r="H428" t="s">
        <v>2035</v>
      </c>
      <c r="I428" t="s">
        <v>27</v>
      </c>
      <c r="J428" t="s">
        <v>2380</v>
      </c>
      <c r="K428" t="s">
        <v>2387</v>
      </c>
    </row>
    <row r="429" spans="1:11" hidden="1" x14ac:dyDescent="0.35">
      <c r="A429">
        <v>123</v>
      </c>
      <c r="B429" s="7" t="s">
        <v>2388</v>
      </c>
      <c r="C429" t="s">
        <v>766</v>
      </c>
      <c r="D429" t="s">
        <v>1383</v>
      </c>
      <c r="E429" t="s">
        <v>1713</v>
      </c>
      <c r="F429" t="s">
        <v>766</v>
      </c>
      <c r="H429" t="s">
        <v>2384</v>
      </c>
      <c r="I429" t="s">
        <v>27</v>
      </c>
      <c r="K429" t="s">
        <v>2385</v>
      </c>
    </row>
    <row r="430" spans="1:11" hidden="1" x14ac:dyDescent="0.35">
      <c r="A430">
        <v>123</v>
      </c>
      <c r="B430" s="19" t="s">
        <v>2389</v>
      </c>
      <c r="C430" t="s">
        <v>766</v>
      </c>
      <c r="D430" t="s">
        <v>1383</v>
      </c>
      <c r="E430" t="s">
        <v>1713</v>
      </c>
      <c r="F430" t="s">
        <v>766</v>
      </c>
      <c r="H430" t="s">
        <v>2035</v>
      </c>
      <c r="I430" t="s">
        <v>27</v>
      </c>
      <c r="J430" t="s">
        <v>2380</v>
      </c>
      <c r="K430" t="s">
        <v>2387</v>
      </c>
    </row>
    <row r="431" spans="1:11" hidden="1" x14ac:dyDescent="0.35">
      <c r="A431">
        <v>123</v>
      </c>
      <c r="B431" s="7" t="s">
        <v>2390</v>
      </c>
      <c r="C431" t="s">
        <v>766</v>
      </c>
      <c r="D431" t="s">
        <v>1383</v>
      </c>
      <c r="E431" t="s">
        <v>1713</v>
      </c>
      <c r="F431" t="s">
        <v>766</v>
      </c>
      <c r="H431" t="s">
        <v>2384</v>
      </c>
      <c r="I431" t="s">
        <v>27</v>
      </c>
      <c r="K431" t="s">
        <v>2385</v>
      </c>
    </row>
    <row r="432" spans="1:11" hidden="1" x14ac:dyDescent="0.35">
      <c r="A432">
        <v>123</v>
      </c>
      <c r="B432" s="17" t="s">
        <v>2391</v>
      </c>
      <c r="C432" t="s">
        <v>137</v>
      </c>
      <c r="D432" t="s">
        <v>1383</v>
      </c>
      <c r="E432" t="s">
        <v>1713</v>
      </c>
      <c r="F432" t="s">
        <v>766</v>
      </c>
      <c r="H432" t="s">
        <v>2035</v>
      </c>
      <c r="I432" t="s">
        <v>27</v>
      </c>
      <c r="J432" t="s">
        <v>2380</v>
      </c>
      <c r="K432" t="s">
        <v>2392</v>
      </c>
    </row>
    <row r="433" spans="1:11" hidden="1" x14ac:dyDescent="0.35">
      <c r="A433">
        <v>123</v>
      </c>
      <c r="B433" s="17" t="s">
        <v>2393</v>
      </c>
      <c r="C433" t="s">
        <v>137</v>
      </c>
      <c r="D433" t="s">
        <v>1383</v>
      </c>
      <c r="E433" t="s">
        <v>1713</v>
      </c>
      <c r="F433" t="s">
        <v>766</v>
      </c>
      <c r="H433" t="s">
        <v>2035</v>
      </c>
      <c r="I433" t="s">
        <v>27</v>
      </c>
      <c r="J433" t="s">
        <v>2380</v>
      </c>
      <c r="K433" t="s">
        <v>2392</v>
      </c>
    </row>
    <row r="434" spans="1:11" hidden="1" x14ac:dyDescent="0.35">
      <c r="A434">
        <v>123</v>
      </c>
      <c r="B434" s="17" t="s">
        <v>2394</v>
      </c>
      <c r="C434" t="s">
        <v>137</v>
      </c>
      <c r="D434" t="s">
        <v>1389</v>
      </c>
      <c r="E434" t="s">
        <v>1713</v>
      </c>
      <c r="F434" t="s">
        <v>766</v>
      </c>
      <c r="H434" t="s">
        <v>2035</v>
      </c>
      <c r="I434" t="s">
        <v>27</v>
      </c>
      <c r="J434" t="s">
        <v>2380</v>
      </c>
      <c r="K434" t="s">
        <v>2395</v>
      </c>
    </row>
    <row r="435" spans="1:11" hidden="1" x14ac:dyDescent="0.35">
      <c r="A435">
        <v>123</v>
      </c>
      <c r="B435" s="17" t="s">
        <v>2396</v>
      </c>
      <c r="C435" t="s">
        <v>137</v>
      </c>
      <c r="D435" t="s">
        <v>1383</v>
      </c>
      <c r="E435" t="s">
        <v>1713</v>
      </c>
      <c r="F435" t="s">
        <v>766</v>
      </c>
      <c r="H435" t="s">
        <v>2035</v>
      </c>
      <c r="I435" t="s">
        <v>27</v>
      </c>
      <c r="J435" t="s">
        <v>2380</v>
      </c>
      <c r="K435" t="s">
        <v>2392</v>
      </c>
    </row>
    <row r="436" spans="1:11" hidden="1" x14ac:dyDescent="0.35">
      <c r="A436">
        <v>123</v>
      </c>
      <c r="B436" s="2" t="s">
        <v>2124</v>
      </c>
      <c r="C436" t="s">
        <v>766</v>
      </c>
      <c r="D436" t="s">
        <v>2397</v>
      </c>
      <c r="E436" t="s">
        <v>1713</v>
      </c>
      <c r="F436" t="s">
        <v>766</v>
      </c>
      <c r="H436" t="s">
        <v>2035</v>
      </c>
      <c r="I436" t="s">
        <v>27</v>
      </c>
      <c r="J436" t="s">
        <v>2380</v>
      </c>
      <c r="K436" t="s">
        <v>2387</v>
      </c>
    </row>
    <row r="437" spans="1:11" hidden="1" x14ac:dyDescent="0.35">
      <c r="A437">
        <v>123</v>
      </c>
      <c r="B437" s="17" t="s">
        <v>2313</v>
      </c>
      <c r="C437" t="s">
        <v>1374</v>
      </c>
      <c r="D437" t="s">
        <v>2398</v>
      </c>
      <c r="E437" t="s">
        <v>1713</v>
      </c>
      <c r="F437" t="s">
        <v>1374</v>
      </c>
      <c r="H437" t="s">
        <v>2035</v>
      </c>
      <c r="I437" t="s">
        <v>27</v>
      </c>
      <c r="J437" t="s">
        <v>2380</v>
      </c>
      <c r="K437" t="s">
        <v>2387</v>
      </c>
    </row>
    <row r="438" spans="1:11" hidden="1" x14ac:dyDescent="0.35">
      <c r="A438">
        <v>151</v>
      </c>
      <c r="B438" s="59" t="s">
        <v>2152</v>
      </c>
      <c r="C438" t="s">
        <v>1374</v>
      </c>
      <c r="D438" t="s">
        <v>2399</v>
      </c>
      <c r="E438" t="s">
        <v>1713</v>
      </c>
      <c r="F438" t="s">
        <v>1374</v>
      </c>
      <c r="G438" t="s">
        <v>120</v>
      </c>
      <c r="H438" t="s">
        <v>1164</v>
      </c>
      <c r="I438" t="s">
        <v>27</v>
      </c>
      <c r="J438" t="s">
        <v>2400</v>
      </c>
      <c r="K438" t="s">
        <v>2401</v>
      </c>
    </row>
    <row r="439" spans="1:11" hidden="1" x14ac:dyDescent="0.35">
      <c r="A439">
        <v>151</v>
      </c>
      <c r="B439" s="19" t="s">
        <v>2402</v>
      </c>
      <c r="C439" t="s">
        <v>1374</v>
      </c>
      <c r="D439" t="s">
        <v>2403</v>
      </c>
      <c r="E439" t="s">
        <v>1713</v>
      </c>
      <c r="F439" t="s">
        <v>1374</v>
      </c>
      <c r="G439" t="s">
        <v>120</v>
      </c>
      <c r="H439" t="s">
        <v>1164</v>
      </c>
      <c r="I439" t="s">
        <v>27</v>
      </c>
      <c r="J439" t="s">
        <v>2400</v>
      </c>
      <c r="K439" t="s">
        <v>2401</v>
      </c>
    </row>
    <row r="440" spans="1:11" hidden="1" x14ac:dyDescent="0.35">
      <c r="A440">
        <v>151</v>
      </c>
      <c r="B440" s="7" t="s">
        <v>2404</v>
      </c>
      <c r="C440" t="s">
        <v>766</v>
      </c>
      <c r="D440" t="s">
        <v>2403</v>
      </c>
      <c r="E440" t="s">
        <v>1713</v>
      </c>
      <c r="F440" t="s">
        <v>766</v>
      </c>
      <c r="G440" t="s">
        <v>120</v>
      </c>
      <c r="H440" t="s">
        <v>1164</v>
      </c>
      <c r="I440" t="s">
        <v>27</v>
      </c>
      <c r="J440" t="s">
        <v>2400</v>
      </c>
      <c r="K440" t="s">
        <v>2401</v>
      </c>
    </row>
    <row r="441" spans="1:11" hidden="1" x14ac:dyDescent="0.35">
      <c r="A441">
        <v>151</v>
      </c>
      <c r="B441" s="19" t="s">
        <v>2179</v>
      </c>
      <c r="C441" t="s">
        <v>766</v>
      </c>
      <c r="D441" t="s">
        <v>2403</v>
      </c>
      <c r="E441" t="s">
        <v>1713</v>
      </c>
      <c r="F441" t="s">
        <v>766</v>
      </c>
      <c r="G441" t="s">
        <v>120</v>
      </c>
      <c r="H441" t="s">
        <v>1164</v>
      </c>
      <c r="I441" t="s">
        <v>27</v>
      </c>
      <c r="J441" t="s">
        <v>2400</v>
      </c>
      <c r="K441" t="s">
        <v>2401</v>
      </c>
    </row>
    <row r="442" spans="1:11" hidden="1" x14ac:dyDescent="0.35">
      <c r="A442">
        <v>151</v>
      </c>
      <c r="B442" s="19" t="s">
        <v>2405</v>
      </c>
      <c r="C442" t="s">
        <v>766</v>
      </c>
      <c r="D442" t="s">
        <v>2403</v>
      </c>
      <c r="E442" t="s">
        <v>1713</v>
      </c>
      <c r="F442" t="s">
        <v>766</v>
      </c>
      <c r="G442" t="s">
        <v>120</v>
      </c>
      <c r="H442" t="s">
        <v>1164</v>
      </c>
      <c r="I442" t="s">
        <v>27</v>
      </c>
      <c r="J442" t="s">
        <v>2400</v>
      </c>
      <c r="K442" t="s">
        <v>2401</v>
      </c>
    </row>
    <row r="443" spans="1:11" hidden="1" x14ac:dyDescent="0.35">
      <c r="A443">
        <v>151</v>
      </c>
      <c r="B443" s="2" t="s">
        <v>2124</v>
      </c>
      <c r="C443" t="s">
        <v>766</v>
      </c>
      <c r="D443" t="s">
        <v>2406</v>
      </c>
      <c r="E443" t="s">
        <v>1713</v>
      </c>
      <c r="F443" t="s">
        <v>766</v>
      </c>
      <c r="G443" t="s">
        <v>120</v>
      </c>
      <c r="H443" t="s">
        <v>1164</v>
      </c>
      <c r="I443" t="s">
        <v>27</v>
      </c>
      <c r="J443" t="s">
        <v>2400</v>
      </c>
      <c r="K443" t="s">
        <v>2401</v>
      </c>
    </row>
    <row r="444" spans="1:11" hidden="1" x14ac:dyDescent="0.35">
      <c r="A444">
        <v>151</v>
      </c>
      <c r="B444" s="58" t="s">
        <v>2407</v>
      </c>
      <c r="C444" t="s">
        <v>766</v>
      </c>
      <c r="D444" t="s">
        <v>2200</v>
      </c>
      <c r="E444" t="s">
        <v>1713</v>
      </c>
      <c r="F444" t="s">
        <v>766</v>
      </c>
      <c r="G444" t="s">
        <v>120</v>
      </c>
      <c r="H444" t="s">
        <v>1164</v>
      </c>
      <c r="I444" t="s">
        <v>27</v>
      </c>
      <c r="J444" t="s">
        <v>2400</v>
      </c>
      <c r="K444" t="s">
        <v>2401</v>
      </c>
    </row>
    <row r="445" spans="1:11" hidden="1" x14ac:dyDescent="0.35">
      <c r="A445">
        <v>151</v>
      </c>
      <c r="B445" s="24" t="s">
        <v>2408</v>
      </c>
      <c r="C445" t="s">
        <v>766</v>
      </c>
      <c r="D445" t="s">
        <v>2117</v>
      </c>
      <c r="E445" t="s">
        <v>1713</v>
      </c>
      <c r="F445" t="s">
        <v>766</v>
      </c>
      <c r="G445" t="s">
        <v>120</v>
      </c>
      <c r="H445" t="s">
        <v>1164</v>
      </c>
      <c r="I445" t="s">
        <v>27</v>
      </c>
      <c r="J445" t="s">
        <v>2400</v>
      </c>
      <c r="K445" t="s">
        <v>2401</v>
      </c>
    </row>
    <row r="446" spans="1:11" hidden="1" x14ac:dyDescent="0.35">
      <c r="A446">
        <v>151</v>
      </c>
      <c r="B446" s="24" t="s">
        <v>2409</v>
      </c>
      <c r="C446" t="s">
        <v>766</v>
      </c>
      <c r="D446" t="s">
        <v>2117</v>
      </c>
      <c r="E446" t="s">
        <v>1713</v>
      </c>
      <c r="F446" t="s">
        <v>766</v>
      </c>
      <c r="G446" t="s">
        <v>120</v>
      </c>
      <c r="H446" t="s">
        <v>1164</v>
      </c>
      <c r="I446" t="s">
        <v>27</v>
      </c>
      <c r="J446" t="s">
        <v>2400</v>
      </c>
      <c r="K446" t="s">
        <v>2401</v>
      </c>
    </row>
    <row r="447" spans="1:11" hidden="1" x14ac:dyDescent="0.35">
      <c r="A447">
        <v>151</v>
      </c>
      <c r="B447" s="24" t="s">
        <v>2410</v>
      </c>
      <c r="C447" t="s">
        <v>766</v>
      </c>
      <c r="D447" t="s">
        <v>2117</v>
      </c>
      <c r="E447" t="s">
        <v>1713</v>
      </c>
      <c r="F447" t="s">
        <v>766</v>
      </c>
      <c r="G447" t="s">
        <v>120</v>
      </c>
      <c r="H447" t="s">
        <v>1164</v>
      </c>
      <c r="I447" t="s">
        <v>27</v>
      </c>
      <c r="J447" t="s">
        <v>2400</v>
      </c>
      <c r="K447" t="s">
        <v>2401</v>
      </c>
    </row>
    <row r="448" spans="1:11" hidden="1" x14ac:dyDescent="0.35">
      <c r="A448">
        <v>151</v>
      </c>
      <c r="B448" s="24" t="s">
        <v>2411</v>
      </c>
      <c r="C448" t="s">
        <v>766</v>
      </c>
      <c r="D448" t="s">
        <v>2117</v>
      </c>
      <c r="E448" t="s">
        <v>1713</v>
      </c>
      <c r="F448" t="s">
        <v>766</v>
      </c>
      <c r="G448" t="s">
        <v>120</v>
      </c>
      <c r="H448" t="s">
        <v>1164</v>
      </c>
      <c r="I448" t="s">
        <v>27</v>
      </c>
      <c r="J448" t="s">
        <v>2400</v>
      </c>
      <c r="K448" t="s">
        <v>2401</v>
      </c>
    </row>
    <row r="449" spans="1:11" hidden="1" x14ac:dyDescent="0.35">
      <c r="A449">
        <v>151</v>
      </c>
      <c r="B449" s="7" t="s">
        <v>2412</v>
      </c>
      <c r="C449" t="s">
        <v>766</v>
      </c>
      <c r="D449" t="s">
        <v>2117</v>
      </c>
      <c r="E449" t="s">
        <v>1713</v>
      </c>
      <c r="F449" t="s">
        <v>766</v>
      </c>
      <c r="G449" t="s">
        <v>120</v>
      </c>
      <c r="H449" t="s">
        <v>1164</v>
      </c>
      <c r="I449" t="s">
        <v>27</v>
      </c>
      <c r="J449" t="s">
        <v>2400</v>
      </c>
      <c r="K449" t="s">
        <v>2401</v>
      </c>
    </row>
    <row r="450" spans="1:11" hidden="1" x14ac:dyDescent="0.35">
      <c r="A450">
        <v>151</v>
      </c>
      <c r="B450" s="23" t="s">
        <v>2413</v>
      </c>
      <c r="C450" t="s">
        <v>766</v>
      </c>
      <c r="D450" t="s">
        <v>2117</v>
      </c>
      <c r="E450" t="s">
        <v>1713</v>
      </c>
      <c r="F450" t="s">
        <v>766</v>
      </c>
      <c r="G450" t="s">
        <v>120</v>
      </c>
      <c r="H450" t="s">
        <v>1164</v>
      </c>
      <c r="I450" t="s">
        <v>27</v>
      </c>
      <c r="J450" t="s">
        <v>2400</v>
      </c>
      <c r="K450" t="s">
        <v>2401</v>
      </c>
    </row>
    <row r="451" spans="1:11" hidden="1" x14ac:dyDescent="0.35">
      <c r="A451">
        <v>151</v>
      </c>
      <c r="B451" s="23" t="s">
        <v>2414</v>
      </c>
      <c r="C451" t="s">
        <v>766</v>
      </c>
      <c r="D451" t="s">
        <v>2117</v>
      </c>
      <c r="E451" t="s">
        <v>1713</v>
      </c>
      <c r="F451" t="s">
        <v>766</v>
      </c>
      <c r="G451" t="s">
        <v>120</v>
      </c>
      <c r="H451" t="s">
        <v>1164</v>
      </c>
      <c r="I451" t="s">
        <v>27</v>
      </c>
      <c r="J451" t="s">
        <v>2400</v>
      </c>
      <c r="K451" t="s">
        <v>2401</v>
      </c>
    </row>
    <row r="452" spans="1:11" hidden="1" x14ac:dyDescent="0.35">
      <c r="A452">
        <v>151</v>
      </c>
      <c r="B452" s="23" t="s">
        <v>2415</v>
      </c>
      <c r="C452" t="s">
        <v>766</v>
      </c>
      <c r="D452" t="s">
        <v>2117</v>
      </c>
      <c r="E452" t="s">
        <v>1713</v>
      </c>
      <c r="F452" t="s">
        <v>766</v>
      </c>
      <c r="G452" t="s">
        <v>120</v>
      </c>
      <c r="H452" t="s">
        <v>1164</v>
      </c>
      <c r="I452" t="s">
        <v>27</v>
      </c>
      <c r="J452" t="s">
        <v>2400</v>
      </c>
      <c r="K452" t="s">
        <v>2401</v>
      </c>
    </row>
    <row r="453" spans="1:11" hidden="1" x14ac:dyDescent="0.35">
      <c r="A453">
        <v>151</v>
      </c>
      <c r="B453" s="23" t="s">
        <v>2416</v>
      </c>
      <c r="C453" t="s">
        <v>766</v>
      </c>
      <c r="D453" t="s">
        <v>2117</v>
      </c>
      <c r="E453" t="s">
        <v>1713</v>
      </c>
      <c r="F453" t="s">
        <v>766</v>
      </c>
      <c r="G453" t="s">
        <v>120</v>
      </c>
      <c r="H453" t="s">
        <v>1164</v>
      </c>
      <c r="I453" t="s">
        <v>27</v>
      </c>
      <c r="J453" t="s">
        <v>2400</v>
      </c>
      <c r="K453" t="s">
        <v>2401</v>
      </c>
    </row>
    <row r="454" spans="1:11" hidden="1" x14ac:dyDescent="0.35">
      <c r="A454">
        <v>151</v>
      </c>
      <c r="B454" s="23" t="s">
        <v>2417</v>
      </c>
      <c r="C454" t="s">
        <v>766</v>
      </c>
      <c r="D454" t="s">
        <v>2117</v>
      </c>
      <c r="E454" t="s">
        <v>1713</v>
      </c>
      <c r="F454" t="s">
        <v>766</v>
      </c>
      <c r="G454" t="s">
        <v>120</v>
      </c>
      <c r="H454" t="s">
        <v>1164</v>
      </c>
      <c r="I454" t="s">
        <v>27</v>
      </c>
      <c r="J454" t="s">
        <v>2400</v>
      </c>
      <c r="K454" t="s">
        <v>2401</v>
      </c>
    </row>
    <row r="455" spans="1:11" hidden="1" x14ac:dyDescent="0.35">
      <c r="A455">
        <v>151</v>
      </c>
      <c r="B455" s="23" t="s">
        <v>2418</v>
      </c>
      <c r="C455" t="s">
        <v>766</v>
      </c>
      <c r="D455" t="s">
        <v>2117</v>
      </c>
      <c r="E455" t="s">
        <v>1713</v>
      </c>
      <c r="F455" t="s">
        <v>766</v>
      </c>
      <c r="G455" t="s">
        <v>120</v>
      </c>
      <c r="H455" t="s">
        <v>1164</v>
      </c>
      <c r="I455" t="s">
        <v>27</v>
      </c>
      <c r="J455" t="s">
        <v>2400</v>
      </c>
      <c r="K455" t="s">
        <v>2401</v>
      </c>
    </row>
    <row r="456" spans="1:11" hidden="1" x14ac:dyDescent="0.35">
      <c r="A456">
        <v>151</v>
      </c>
      <c r="B456" s="23" t="s">
        <v>2419</v>
      </c>
      <c r="C456" t="s">
        <v>766</v>
      </c>
      <c r="D456" t="s">
        <v>2117</v>
      </c>
      <c r="E456" t="s">
        <v>1713</v>
      </c>
      <c r="F456" t="s">
        <v>766</v>
      </c>
      <c r="G456" t="s">
        <v>120</v>
      </c>
      <c r="H456" t="s">
        <v>1164</v>
      </c>
      <c r="I456" t="s">
        <v>27</v>
      </c>
      <c r="J456" t="s">
        <v>2400</v>
      </c>
      <c r="K456" t="s">
        <v>2401</v>
      </c>
    </row>
    <row r="457" spans="1:11" hidden="1" x14ac:dyDescent="0.35">
      <c r="A457">
        <v>151</v>
      </c>
      <c r="B457" s="23" t="s">
        <v>2420</v>
      </c>
      <c r="C457" t="s">
        <v>766</v>
      </c>
      <c r="D457" t="s">
        <v>2117</v>
      </c>
      <c r="E457" t="s">
        <v>1713</v>
      </c>
      <c r="F457" t="s">
        <v>766</v>
      </c>
      <c r="G457" t="s">
        <v>120</v>
      </c>
      <c r="H457" t="s">
        <v>1164</v>
      </c>
      <c r="I457" t="s">
        <v>27</v>
      </c>
      <c r="J457" t="s">
        <v>2400</v>
      </c>
      <c r="K457" t="s">
        <v>2401</v>
      </c>
    </row>
    <row r="458" spans="1:11" hidden="1" x14ac:dyDescent="0.35">
      <c r="A458">
        <v>151</v>
      </c>
      <c r="B458" s="23" t="s">
        <v>2421</v>
      </c>
      <c r="C458" t="s">
        <v>766</v>
      </c>
      <c r="D458" t="s">
        <v>2117</v>
      </c>
      <c r="E458" t="s">
        <v>1713</v>
      </c>
      <c r="F458" t="s">
        <v>766</v>
      </c>
      <c r="G458" t="s">
        <v>120</v>
      </c>
      <c r="H458" t="s">
        <v>1164</v>
      </c>
      <c r="I458" t="s">
        <v>27</v>
      </c>
      <c r="J458" t="s">
        <v>2400</v>
      </c>
      <c r="K458" t="s">
        <v>2401</v>
      </c>
    </row>
    <row r="459" spans="1:11" hidden="1" x14ac:dyDescent="0.35">
      <c r="A459">
        <v>151</v>
      </c>
      <c r="B459" s="63" t="s">
        <v>1785</v>
      </c>
      <c r="C459" t="s">
        <v>766</v>
      </c>
      <c r="D459" t="s">
        <v>1389</v>
      </c>
      <c r="E459" t="s">
        <v>1713</v>
      </c>
      <c r="F459" t="s">
        <v>766</v>
      </c>
      <c r="G459" t="s">
        <v>120</v>
      </c>
      <c r="H459" t="s">
        <v>1164</v>
      </c>
      <c r="I459" t="s">
        <v>27</v>
      </c>
      <c r="J459" t="s">
        <v>2400</v>
      </c>
      <c r="K459" t="s">
        <v>2401</v>
      </c>
    </row>
    <row r="460" spans="1:11" hidden="1" x14ac:dyDescent="0.35">
      <c r="A460">
        <v>151</v>
      </c>
      <c r="B460" t="s">
        <v>2422</v>
      </c>
      <c r="C460" t="s">
        <v>766</v>
      </c>
      <c r="D460" t="s">
        <v>1389</v>
      </c>
      <c r="E460" t="s">
        <v>1713</v>
      </c>
      <c r="F460" t="s">
        <v>766</v>
      </c>
      <c r="G460" t="s">
        <v>120</v>
      </c>
      <c r="H460" t="s">
        <v>1164</v>
      </c>
      <c r="I460" t="s">
        <v>27</v>
      </c>
      <c r="J460" t="s">
        <v>2400</v>
      </c>
      <c r="K460" t="s">
        <v>2401</v>
      </c>
    </row>
    <row r="461" spans="1:11" hidden="1" x14ac:dyDescent="0.35">
      <c r="A461">
        <v>151</v>
      </c>
      <c r="B461" s="7" t="s">
        <v>2423</v>
      </c>
      <c r="C461" t="s">
        <v>766</v>
      </c>
      <c r="D461" t="s">
        <v>1389</v>
      </c>
      <c r="E461" t="s">
        <v>1713</v>
      </c>
      <c r="F461" t="s">
        <v>766</v>
      </c>
      <c r="G461" t="s">
        <v>120</v>
      </c>
      <c r="H461" t="s">
        <v>1164</v>
      </c>
      <c r="I461" t="s">
        <v>27</v>
      </c>
      <c r="J461" t="s">
        <v>2400</v>
      </c>
      <c r="K461" t="s">
        <v>2401</v>
      </c>
    </row>
    <row r="462" spans="1:11" hidden="1" x14ac:dyDescent="0.35">
      <c r="A462">
        <v>151</v>
      </c>
      <c r="B462" s="7" t="s">
        <v>2424</v>
      </c>
      <c r="C462" t="s">
        <v>766</v>
      </c>
      <c r="D462" t="s">
        <v>1389</v>
      </c>
      <c r="E462" t="s">
        <v>1713</v>
      </c>
      <c r="F462" t="s">
        <v>766</v>
      </c>
      <c r="G462" t="s">
        <v>120</v>
      </c>
      <c r="H462" t="s">
        <v>1164</v>
      </c>
      <c r="I462" t="s">
        <v>27</v>
      </c>
      <c r="J462" t="s">
        <v>2400</v>
      </c>
      <c r="K462" t="s">
        <v>2401</v>
      </c>
    </row>
    <row r="463" spans="1:11" hidden="1" x14ac:dyDescent="0.35">
      <c r="A463">
        <v>156</v>
      </c>
      <c r="B463" s="43" t="s">
        <v>2425</v>
      </c>
      <c r="C463" t="s">
        <v>137</v>
      </c>
      <c r="D463" t="s">
        <v>1389</v>
      </c>
      <c r="E463" t="s">
        <v>1713</v>
      </c>
      <c r="F463" t="s">
        <v>22</v>
      </c>
      <c r="G463" t="s">
        <v>120</v>
      </c>
      <c r="H463" t="s">
        <v>2426</v>
      </c>
      <c r="I463" t="s">
        <v>27</v>
      </c>
      <c r="J463" t="s">
        <v>2427</v>
      </c>
      <c r="K463" t="s">
        <v>2428</v>
      </c>
    </row>
    <row r="464" spans="1:11" hidden="1" x14ac:dyDescent="0.35">
      <c r="A464">
        <v>156</v>
      </c>
      <c r="B464" s="43" t="s">
        <v>2429</v>
      </c>
      <c r="C464" t="s">
        <v>137</v>
      </c>
      <c r="D464" t="s">
        <v>34</v>
      </c>
      <c r="E464" t="s">
        <v>1713</v>
      </c>
      <c r="F464" t="s">
        <v>22</v>
      </c>
      <c r="G464" t="s">
        <v>120</v>
      </c>
      <c r="H464" t="s">
        <v>2426</v>
      </c>
      <c r="I464" t="s">
        <v>27</v>
      </c>
      <c r="J464" t="s">
        <v>2427</v>
      </c>
      <c r="K464" t="s">
        <v>2428</v>
      </c>
    </row>
    <row r="465" spans="1:11" hidden="1" x14ac:dyDescent="0.35">
      <c r="A465">
        <v>156</v>
      </c>
      <c r="B465" s="43" t="s">
        <v>2430</v>
      </c>
      <c r="C465" t="s">
        <v>137</v>
      </c>
      <c r="D465" t="s">
        <v>1389</v>
      </c>
      <c r="E465" t="s">
        <v>1713</v>
      </c>
      <c r="F465" t="s">
        <v>22</v>
      </c>
      <c r="G465" t="s">
        <v>120</v>
      </c>
      <c r="H465" t="s">
        <v>2426</v>
      </c>
      <c r="I465" t="s">
        <v>27</v>
      </c>
      <c r="J465" t="s">
        <v>2427</v>
      </c>
      <c r="K465" t="s">
        <v>2428</v>
      </c>
    </row>
    <row r="466" spans="1:11" hidden="1" x14ac:dyDescent="0.35">
      <c r="A466">
        <v>156</v>
      </c>
      <c r="B466" s="43" t="s">
        <v>2431</v>
      </c>
      <c r="C466" t="s">
        <v>137</v>
      </c>
      <c r="D466" t="s">
        <v>34</v>
      </c>
      <c r="E466" t="s">
        <v>1713</v>
      </c>
      <c r="F466" t="s">
        <v>22</v>
      </c>
      <c r="G466" t="s">
        <v>120</v>
      </c>
      <c r="H466" t="s">
        <v>2426</v>
      </c>
      <c r="I466" t="s">
        <v>27</v>
      </c>
      <c r="J466" t="s">
        <v>2427</v>
      </c>
      <c r="K466" t="s">
        <v>2428</v>
      </c>
    </row>
    <row r="467" spans="1:11" hidden="1" x14ac:dyDescent="0.35">
      <c r="A467">
        <v>156</v>
      </c>
      <c r="B467" s="43" t="s">
        <v>2432</v>
      </c>
      <c r="C467" t="s">
        <v>137</v>
      </c>
      <c r="D467" t="s">
        <v>1389</v>
      </c>
      <c r="E467" t="s">
        <v>1713</v>
      </c>
      <c r="F467" t="s">
        <v>22</v>
      </c>
      <c r="G467" t="s">
        <v>120</v>
      </c>
      <c r="H467" t="s">
        <v>2426</v>
      </c>
      <c r="I467" t="s">
        <v>27</v>
      </c>
      <c r="J467" t="s">
        <v>2427</v>
      </c>
      <c r="K467" t="s">
        <v>2428</v>
      </c>
    </row>
    <row r="468" spans="1:11" hidden="1" x14ac:dyDescent="0.35">
      <c r="A468">
        <v>162</v>
      </c>
      <c r="B468" s="61" t="s">
        <v>2433</v>
      </c>
      <c r="C468" t="s">
        <v>1374</v>
      </c>
      <c r="D468" t="s">
        <v>1406</v>
      </c>
      <c r="E468" t="s">
        <v>1713</v>
      </c>
      <c r="G468" t="s">
        <v>120</v>
      </c>
      <c r="H468" t="s">
        <v>1393</v>
      </c>
      <c r="I468" t="s">
        <v>27</v>
      </c>
      <c r="J468" t="s">
        <v>2434</v>
      </c>
      <c r="K468" t="s">
        <v>2435</v>
      </c>
    </row>
    <row r="469" spans="1:11" hidden="1" x14ac:dyDescent="0.35">
      <c r="A469">
        <v>162</v>
      </c>
      <c r="B469" t="s">
        <v>2436</v>
      </c>
      <c r="C469" t="s">
        <v>137</v>
      </c>
      <c r="D469" t="s">
        <v>1406</v>
      </c>
      <c r="E469" t="s">
        <v>1713</v>
      </c>
      <c r="G469" t="s">
        <v>120</v>
      </c>
      <c r="H469" t="s">
        <v>1393</v>
      </c>
      <c r="I469" t="s">
        <v>27</v>
      </c>
      <c r="J469" t="s">
        <v>2434</v>
      </c>
      <c r="K469" t="s">
        <v>2435</v>
      </c>
    </row>
    <row r="470" spans="1:11" hidden="1" x14ac:dyDescent="0.35">
      <c r="A470">
        <v>162</v>
      </c>
      <c r="B470" t="s">
        <v>2437</v>
      </c>
      <c r="C470" t="s">
        <v>137</v>
      </c>
      <c r="D470" t="s">
        <v>1406</v>
      </c>
      <c r="E470" t="s">
        <v>1713</v>
      </c>
      <c r="G470" t="s">
        <v>120</v>
      </c>
      <c r="H470" t="s">
        <v>1393</v>
      </c>
      <c r="I470" t="s">
        <v>27</v>
      </c>
      <c r="J470" t="s">
        <v>2434</v>
      </c>
      <c r="K470" t="s">
        <v>2435</v>
      </c>
    </row>
    <row r="471" spans="1:11" hidden="1" x14ac:dyDescent="0.35">
      <c r="A471">
        <v>221</v>
      </c>
      <c r="B471" t="s">
        <v>2438</v>
      </c>
      <c r="C471" t="s">
        <v>1711</v>
      </c>
      <c r="D471" t="s">
        <v>157</v>
      </c>
      <c r="E471" t="s">
        <v>1713</v>
      </c>
      <c r="F471" t="s">
        <v>1714</v>
      </c>
      <c r="G471" t="s">
        <v>120</v>
      </c>
      <c r="H471" t="s">
        <v>2439</v>
      </c>
      <c r="I471" t="s">
        <v>27</v>
      </c>
      <c r="J471" t="s">
        <v>2440</v>
      </c>
      <c r="K471" t="s">
        <v>2441</v>
      </c>
    </row>
    <row r="472" spans="1:11" hidden="1" x14ac:dyDescent="0.35">
      <c r="A472">
        <v>221</v>
      </c>
      <c r="B472" t="s">
        <v>2442</v>
      </c>
      <c r="C472" t="s">
        <v>1711</v>
      </c>
      <c r="D472" t="s">
        <v>2443</v>
      </c>
      <c r="E472" t="s">
        <v>1713</v>
      </c>
      <c r="F472" t="s">
        <v>1714</v>
      </c>
      <c r="G472" t="s">
        <v>120</v>
      </c>
      <c r="H472" t="s">
        <v>2439</v>
      </c>
      <c r="I472" t="s">
        <v>27</v>
      </c>
      <c r="J472" t="s">
        <v>2440</v>
      </c>
      <c r="K472" t="s">
        <v>2444</v>
      </c>
    </row>
    <row r="473" spans="1:11" hidden="1" x14ac:dyDescent="0.35">
      <c r="A473">
        <v>221</v>
      </c>
      <c r="B473" t="s">
        <v>2445</v>
      </c>
      <c r="C473" t="s">
        <v>1711</v>
      </c>
      <c r="D473" t="s">
        <v>2446</v>
      </c>
      <c r="E473" t="s">
        <v>1713</v>
      </c>
      <c r="F473" t="s">
        <v>1714</v>
      </c>
      <c r="H473" t="s">
        <v>2439</v>
      </c>
      <c r="I473" t="s">
        <v>27</v>
      </c>
      <c r="J473" t="s">
        <v>2447</v>
      </c>
      <c r="K473" t="s">
        <v>2448</v>
      </c>
    </row>
    <row r="474" spans="1:11" hidden="1" x14ac:dyDescent="0.35">
      <c r="A474">
        <v>223</v>
      </c>
      <c r="B474" t="s">
        <v>2449</v>
      </c>
      <c r="C474" t="s">
        <v>1711</v>
      </c>
      <c r="D474" t="s">
        <v>2399</v>
      </c>
      <c r="E474" t="s">
        <v>1713</v>
      </c>
      <c r="F474" t="s">
        <v>1374</v>
      </c>
      <c r="G474" t="s">
        <v>120</v>
      </c>
      <c r="H474" t="s">
        <v>2450</v>
      </c>
      <c r="I474" t="s">
        <v>27</v>
      </c>
      <c r="J474" t="s">
        <v>2451</v>
      </c>
      <c r="K474" t="s">
        <v>2452</v>
      </c>
    </row>
    <row r="475" spans="1:11" hidden="1" x14ac:dyDescent="0.35">
      <c r="A475">
        <v>223</v>
      </c>
      <c r="B475" s="17" t="s">
        <v>2453</v>
      </c>
      <c r="C475" t="s">
        <v>1374</v>
      </c>
      <c r="D475" t="s">
        <v>2454</v>
      </c>
      <c r="E475" t="s">
        <v>1713</v>
      </c>
      <c r="F475" t="s">
        <v>1374</v>
      </c>
      <c r="G475" t="s">
        <v>362</v>
      </c>
      <c r="H475" t="s">
        <v>2450</v>
      </c>
      <c r="I475" t="s">
        <v>27</v>
      </c>
      <c r="J475" t="s">
        <v>2451</v>
      </c>
      <c r="K475" t="s">
        <v>2455</v>
      </c>
    </row>
    <row r="476" spans="1:11" hidden="1" x14ac:dyDescent="0.35">
      <c r="A476">
        <v>223</v>
      </c>
      <c r="B476" s="17" t="s">
        <v>2456</v>
      </c>
      <c r="C476" t="s">
        <v>1374</v>
      </c>
      <c r="D476" t="s">
        <v>2454</v>
      </c>
      <c r="E476" t="s">
        <v>1713</v>
      </c>
      <c r="F476" t="s">
        <v>1374</v>
      </c>
      <c r="G476" t="s">
        <v>362</v>
      </c>
      <c r="H476" t="s">
        <v>2450</v>
      </c>
      <c r="I476" t="s">
        <v>27</v>
      </c>
      <c r="J476" t="s">
        <v>2451</v>
      </c>
      <c r="K476" t="s">
        <v>2455</v>
      </c>
    </row>
    <row r="477" spans="1:11" hidden="1" x14ac:dyDescent="0.35">
      <c r="A477">
        <v>223</v>
      </c>
      <c r="B477" t="s">
        <v>2457</v>
      </c>
      <c r="C477" t="s">
        <v>1711</v>
      </c>
      <c r="D477" t="s">
        <v>2399</v>
      </c>
      <c r="E477" t="s">
        <v>1713</v>
      </c>
      <c r="F477" t="s">
        <v>1714</v>
      </c>
      <c r="G477" t="s">
        <v>120</v>
      </c>
      <c r="H477" t="s">
        <v>2450</v>
      </c>
      <c r="I477" t="s">
        <v>27</v>
      </c>
      <c r="J477" t="s">
        <v>2451</v>
      </c>
      <c r="K477" t="s">
        <v>2452</v>
      </c>
    </row>
    <row r="478" spans="1:11" hidden="1" x14ac:dyDescent="0.35">
      <c r="A478">
        <v>223</v>
      </c>
      <c r="B478" t="s">
        <v>2442</v>
      </c>
      <c r="C478" t="s">
        <v>1711</v>
      </c>
      <c r="D478" t="s">
        <v>196</v>
      </c>
      <c r="E478" t="s">
        <v>1713</v>
      </c>
      <c r="F478" t="s">
        <v>1714</v>
      </c>
      <c r="G478" t="s">
        <v>120</v>
      </c>
      <c r="H478" t="s">
        <v>2450</v>
      </c>
      <c r="I478" t="s">
        <v>27</v>
      </c>
      <c r="J478" t="s">
        <v>2458</v>
      </c>
      <c r="K478" t="s">
        <v>2452</v>
      </c>
    </row>
    <row r="479" spans="1:11" hidden="1" x14ac:dyDescent="0.35">
      <c r="A479">
        <v>223</v>
      </c>
      <c r="B479" t="s">
        <v>2459</v>
      </c>
      <c r="C479" t="s">
        <v>1711</v>
      </c>
      <c r="D479" t="s">
        <v>34</v>
      </c>
      <c r="E479" t="s">
        <v>1713</v>
      </c>
      <c r="F479" t="s">
        <v>1714</v>
      </c>
      <c r="G479" t="s">
        <v>120</v>
      </c>
      <c r="H479" t="s">
        <v>2450</v>
      </c>
      <c r="I479" t="s">
        <v>27</v>
      </c>
      <c r="J479" t="s">
        <v>2460</v>
      </c>
      <c r="K479" t="s">
        <v>2452</v>
      </c>
    </row>
    <row r="480" spans="1:11" hidden="1" x14ac:dyDescent="0.35">
      <c r="A480">
        <v>223</v>
      </c>
      <c r="B480" s="59" t="s">
        <v>2461</v>
      </c>
      <c r="C480" t="s">
        <v>1374</v>
      </c>
      <c r="D480" t="s">
        <v>2399</v>
      </c>
      <c r="E480" t="s">
        <v>1713</v>
      </c>
      <c r="F480" t="s">
        <v>1714</v>
      </c>
      <c r="H480" t="s">
        <v>2450</v>
      </c>
      <c r="I480" t="s">
        <v>27</v>
      </c>
      <c r="J480" t="s">
        <v>2462</v>
      </c>
      <c r="K480" t="s">
        <v>2463</v>
      </c>
    </row>
    <row r="481" spans="1:11" hidden="1" x14ac:dyDescent="0.35">
      <c r="A481">
        <v>223</v>
      </c>
      <c r="B481" t="s">
        <v>2464</v>
      </c>
      <c r="C481" t="s">
        <v>766</v>
      </c>
      <c r="D481" t="s">
        <v>2465</v>
      </c>
      <c r="E481" t="s">
        <v>1713</v>
      </c>
      <c r="F481" t="s">
        <v>1714</v>
      </c>
      <c r="G481" t="s">
        <v>120</v>
      </c>
      <c r="H481" t="s">
        <v>2466</v>
      </c>
      <c r="I481" t="s">
        <v>27</v>
      </c>
      <c r="J481" t="s">
        <v>2467</v>
      </c>
      <c r="K481" t="s">
        <v>2468</v>
      </c>
    </row>
    <row r="482" spans="1:11" hidden="1" x14ac:dyDescent="0.35">
      <c r="A482">
        <v>223</v>
      </c>
      <c r="B482" t="s">
        <v>2469</v>
      </c>
      <c r="C482" t="s">
        <v>1711</v>
      </c>
      <c r="D482" t="s">
        <v>2470</v>
      </c>
      <c r="E482" t="s">
        <v>1713</v>
      </c>
      <c r="F482" t="s">
        <v>1714</v>
      </c>
      <c r="G482" t="s">
        <v>120</v>
      </c>
      <c r="H482" t="s">
        <v>2466</v>
      </c>
      <c r="I482" t="s">
        <v>27</v>
      </c>
      <c r="J482" t="s">
        <v>2471</v>
      </c>
      <c r="K482" t="s">
        <v>2472</v>
      </c>
    </row>
    <row r="483" spans="1:11" hidden="1" x14ac:dyDescent="0.35">
      <c r="A483">
        <v>225</v>
      </c>
      <c r="B483" t="s">
        <v>2473</v>
      </c>
      <c r="C483" t="s">
        <v>1711</v>
      </c>
      <c r="D483" t="s">
        <v>34</v>
      </c>
      <c r="E483" t="s">
        <v>1713</v>
      </c>
      <c r="F483" t="s">
        <v>1714</v>
      </c>
      <c r="G483" t="s">
        <v>120</v>
      </c>
      <c r="H483" t="s">
        <v>1458</v>
      </c>
      <c r="I483" t="s">
        <v>27</v>
      </c>
      <c r="K483" t="s">
        <v>2474</v>
      </c>
    </row>
    <row r="484" spans="1:11" hidden="1" x14ac:dyDescent="0.35">
      <c r="A484">
        <v>225</v>
      </c>
      <c r="B484" t="s">
        <v>2475</v>
      </c>
      <c r="C484" t="s">
        <v>1711</v>
      </c>
      <c r="D484" t="s">
        <v>2476</v>
      </c>
      <c r="E484" t="s">
        <v>1713</v>
      </c>
      <c r="F484" t="s">
        <v>1714</v>
      </c>
      <c r="G484" t="s">
        <v>120</v>
      </c>
      <c r="H484" t="s">
        <v>1458</v>
      </c>
      <c r="I484" t="s">
        <v>27</v>
      </c>
      <c r="J484" t="s">
        <v>2477</v>
      </c>
      <c r="K484" t="s">
        <v>2478</v>
      </c>
    </row>
    <row r="485" spans="1:11" hidden="1" x14ac:dyDescent="0.35">
      <c r="A485">
        <v>231</v>
      </c>
      <c r="B485" t="s">
        <v>2479</v>
      </c>
      <c r="C485" t="s">
        <v>1711</v>
      </c>
      <c r="D485" t="s">
        <v>2480</v>
      </c>
      <c r="E485" t="s">
        <v>1713</v>
      </c>
      <c r="F485" t="s">
        <v>1714</v>
      </c>
      <c r="G485" t="s">
        <v>857</v>
      </c>
      <c r="H485" t="s">
        <v>1400</v>
      </c>
      <c r="I485" t="s">
        <v>27</v>
      </c>
      <c r="J485" t="s">
        <v>27</v>
      </c>
      <c r="K485" t="s">
        <v>2481</v>
      </c>
    </row>
    <row r="486" spans="1:11" hidden="1" x14ac:dyDescent="0.35">
      <c r="A486">
        <v>268</v>
      </c>
      <c r="B486" s="43" t="s">
        <v>2482</v>
      </c>
      <c r="C486" t="s">
        <v>137</v>
      </c>
      <c r="D486" t="s">
        <v>34</v>
      </c>
      <c r="E486" t="s">
        <v>1713</v>
      </c>
      <c r="F486" t="s">
        <v>24</v>
      </c>
      <c r="G486" t="s">
        <v>120</v>
      </c>
      <c r="H486" t="s">
        <v>1124</v>
      </c>
      <c r="I486" t="s">
        <v>27</v>
      </c>
      <c r="J486" t="s">
        <v>2483</v>
      </c>
      <c r="K486" t="s">
        <v>2484</v>
      </c>
    </row>
    <row r="487" spans="1:11" hidden="1" x14ac:dyDescent="0.35">
      <c r="A487">
        <v>268</v>
      </c>
      <c r="B487" s="24" t="s">
        <v>2485</v>
      </c>
      <c r="C487" t="s">
        <v>1374</v>
      </c>
      <c r="D487" t="s">
        <v>34</v>
      </c>
      <c r="E487" t="s">
        <v>1713</v>
      </c>
      <c r="F487" t="s">
        <v>137</v>
      </c>
      <c r="G487" t="s">
        <v>120</v>
      </c>
      <c r="H487" t="s">
        <v>1124</v>
      </c>
      <c r="I487" t="s">
        <v>27</v>
      </c>
      <c r="J487" t="s">
        <v>2486</v>
      </c>
      <c r="K487" t="s">
        <v>2487</v>
      </c>
    </row>
    <row r="488" spans="1:11" hidden="1" x14ac:dyDescent="0.35">
      <c r="A488">
        <v>281</v>
      </c>
      <c r="B488" s="43" t="s">
        <v>2488</v>
      </c>
      <c r="C488" t="s">
        <v>137</v>
      </c>
      <c r="D488" t="s">
        <v>34</v>
      </c>
      <c r="E488" t="s">
        <v>1713</v>
      </c>
      <c r="F488" t="s">
        <v>22</v>
      </c>
      <c r="G488" t="s">
        <v>362</v>
      </c>
      <c r="H488" t="s">
        <v>2489</v>
      </c>
      <c r="I488" t="s">
        <v>27</v>
      </c>
      <c r="J488" t="s">
        <v>2490</v>
      </c>
      <c r="K488" t="s">
        <v>2491</v>
      </c>
    </row>
    <row r="489" spans="1:11" hidden="1" x14ac:dyDescent="0.35">
      <c r="A489">
        <v>281</v>
      </c>
      <c r="B489" s="43" t="s">
        <v>2492</v>
      </c>
      <c r="C489" t="s">
        <v>137</v>
      </c>
      <c r="D489" t="s">
        <v>34</v>
      </c>
      <c r="E489" t="s">
        <v>1713</v>
      </c>
      <c r="F489" t="s">
        <v>22</v>
      </c>
      <c r="G489" t="s">
        <v>362</v>
      </c>
      <c r="H489" t="s">
        <v>2489</v>
      </c>
      <c r="I489" t="s">
        <v>27</v>
      </c>
      <c r="J489" t="s">
        <v>2493</v>
      </c>
    </row>
    <row r="490" spans="1:11" hidden="1" x14ac:dyDescent="0.35">
      <c r="A490">
        <v>281</v>
      </c>
      <c r="B490" s="43" t="s">
        <v>2494</v>
      </c>
      <c r="C490" t="s">
        <v>137</v>
      </c>
      <c r="D490" t="s">
        <v>2495</v>
      </c>
      <c r="E490" t="s">
        <v>1713</v>
      </c>
      <c r="F490" t="s">
        <v>22</v>
      </c>
      <c r="G490" t="s">
        <v>362</v>
      </c>
      <c r="H490" t="s">
        <v>2489</v>
      </c>
      <c r="I490" t="s">
        <v>27</v>
      </c>
      <c r="J490" t="s">
        <v>2496</v>
      </c>
    </row>
    <row r="491" spans="1:11" hidden="1" x14ac:dyDescent="0.35">
      <c r="A491">
        <v>281</v>
      </c>
      <c r="B491" s="43" t="s">
        <v>2497</v>
      </c>
      <c r="C491" t="s">
        <v>137</v>
      </c>
      <c r="D491" t="s">
        <v>2397</v>
      </c>
      <c r="E491" t="s">
        <v>1713</v>
      </c>
      <c r="F491" t="s">
        <v>22</v>
      </c>
      <c r="G491" t="s">
        <v>362</v>
      </c>
      <c r="H491" t="s">
        <v>2489</v>
      </c>
      <c r="I491" t="s">
        <v>27</v>
      </c>
      <c r="J491" t="s">
        <v>2496</v>
      </c>
    </row>
    <row r="492" spans="1:11" hidden="1" x14ac:dyDescent="0.35">
      <c r="A492">
        <v>281</v>
      </c>
      <c r="B492" s="43" t="s">
        <v>2498</v>
      </c>
      <c r="C492" t="s">
        <v>137</v>
      </c>
      <c r="D492" t="s">
        <v>2397</v>
      </c>
      <c r="E492" t="s">
        <v>1713</v>
      </c>
      <c r="F492" t="s">
        <v>22</v>
      </c>
      <c r="G492" t="s">
        <v>362</v>
      </c>
      <c r="H492" t="s">
        <v>2489</v>
      </c>
      <c r="I492" t="s">
        <v>27</v>
      </c>
      <c r="J492" t="s">
        <v>2499</v>
      </c>
    </row>
    <row r="493" spans="1:11" hidden="1" x14ac:dyDescent="0.35">
      <c r="A493">
        <v>324</v>
      </c>
      <c r="B493" t="s">
        <v>2500</v>
      </c>
      <c r="C493" t="s">
        <v>137</v>
      </c>
      <c r="D493" t="s">
        <v>34</v>
      </c>
      <c r="E493" t="s">
        <v>1713</v>
      </c>
      <c r="G493" t="s">
        <v>120</v>
      </c>
      <c r="H493" t="s">
        <v>917</v>
      </c>
      <c r="I493" t="s">
        <v>1512</v>
      </c>
      <c r="J493" t="s">
        <v>1509</v>
      </c>
      <c r="K493" t="s">
        <v>1510</v>
      </c>
    </row>
    <row r="494" spans="1:11" hidden="1" x14ac:dyDescent="0.35">
      <c r="A494">
        <v>324</v>
      </c>
      <c r="B494" t="s">
        <v>2501</v>
      </c>
      <c r="C494" t="s">
        <v>137</v>
      </c>
      <c r="D494" t="s">
        <v>34</v>
      </c>
      <c r="E494" t="s">
        <v>1713</v>
      </c>
      <c r="G494" t="s">
        <v>120</v>
      </c>
      <c r="H494" t="s">
        <v>917</v>
      </c>
      <c r="I494" t="s">
        <v>1512</v>
      </c>
      <c r="J494" t="s">
        <v>1509</v>
      </c>
      <c r="K494" t="s">
        <v>1510</v>
      </c>
    </row>
    <row r="495" spans="1:11" hidden="1" x14ac:dyDescent="0.35">
      <c r="A495">
        <v>324</v>
      </c>
      <c r="B495" s="61" t="s">
        <v>2502</v>
      </c>
      <c r="C495" t="s">
        <v>1374</v>
      </c>
      <c r="D495" t="s">
        <v>34</v>
      </c>
      <c r="E495" t="s">
        <v>1713</v>
      </c>
      <c r="F495" t="s">
        <v>1374</v>
      </c>
      <c r="G495" t="s">
        <v>120</v>
      </c>
      <c r="H495" t="s">
        <v>917</v>
      </c>
      <c r="I495" t="s">
        <v>1512</v>
      </c>
      <c r="J495" t="s">
        <v>1509</v>
      </c>
      <c r="K495" t="s">
        <v>1510</v>
      </c>
    </row>
    <row r="496" spans="1:11" hidden="1" x14ac:dyDescent="0.35">
      <c r="A496">
        <v>324</v>
      </c>
      <c r="B496" s="61" t="s">
        <v>2503</v>
      </c>
      <c r="C496" t="s">
        <v>1374</v>
      </c>
      <c r="D496" t="s">
        <v>34</v>
      </c>
      <c r="E496" t="s">
        <v>1713</v>
      </c>
      <c r="F496" t="s">
        <v>1374</v>
      </c>
      <c r="G496" t="s">
        <v>120</v>
      </c>
      <c r="H496" t="s">
        <v>917</v>
      </c>
      <c r="I496" t="s">
        <v>1512</v>
      </c>
      <c r="J496" t="s">
        <v>1509</v>
      </c>
      <c r="K496" t="s">
        <v>1510</v>
      </c>
    </row>
    <row r="497" spans="1:11" hidden="1" x14ac:dyDescent="0.35">
      <c r="A497">
        <v>333</v>
      </c>
      <c r="B497" s="7" t="s">
        <v>1750</v>
      </c>
      <c r="C497" t="s">
        <v>766</v>
      </c>
      <c r="D497" t="s">
        <v>34</v>
      </c>
      <c r="E497" t="s">
        <v>1713</v>
      </c>
      <c r="F497" t="s">
        <v>766</v>
      </c>
      <c r="G497" t="s">
        <v>120</v>
      </c>
      <c r="H497" t="s">
        <v>333</v>
      </c>
      <c r="I497" t="s">
        <v>163</v>
      </c>
      <c r="J497" t="s">
        <v>2504</v>
      </c>
      <c r="K497" t="s">
        <v>2505</v>
      </c>
    </row>
    <row r="498" spans="1:11" hidden="1" x14ac:dyDescent="0.35">
      <c r="A498">
        <v>333</v>
      </c>
      <c r="B498" s="7" t="s">
        <v>1752</v>
      </c>
      <c r="C498" t="s">
        <v>766</v>
      </c>
      <c r="D498" t="s">
        <v>1751</v>
      </c>
      <c r="E498" t="s">
        <v>1713</v>
      </c>
      <c r="F498" t="s">
        <v>766</v>
      </c>
      <c r="G498" t="s">
        <v>120</v>
      </c>
      <c r="H498" t="s">
        <v>333</v>
      </c>
      <c r="I498" t="s">
        <v>163</v>
      </c>
      <c r="J498" t="s">
        <v>2504</v>
      </c>
      <c r="K498" t="s">
        <v>2505</v>
      </c>
    </row>
    <row r="499" spans="1:11" hidden="1" x14ac:dyDescent="0.35">
      <c r="A499">
        <v>333</v>
      </c>
      <c r="B499" s="7" t="s">
        <v>2506</v>
      </c>
      <c r="C499" t="s">
        <v>766</v>
      </c>
      <c r="D499" t="s">
        <v>1751</v>
      </c>
      <c r="E499" t="s">
        <v>1713</v>
      </c>
      <c r="F499" t="s">
        <v>766</v>
      </c>
      <c r="G499" t="s">
        <v>120</v>
      </c>
      <c r="H499" t="s">
        <v>333</v>
      </c>
      <c r="I499" t="s">
        <v>163</v>
      </c>
      <c r="J499" t="s">
        <v>2504</v>
      </c>
      <c r="K499" t="s">
        <v>2505</v>
      </c>
    </row>
    <row r="500" spans="1:11" hidden="1" x14ac:dyDescent="0.35">
      <c r="A500">
        <v>333</v>
      </c>
      <c r="B500" s="19" t="s">
        <v>2507</v>
      </c>
      <c r="C500" t="s">
        <v>766</v>
      </c>
      <c r="D500" t="s">
        <v>34</v>
      </c>
      <c r="E500" t="s">
        <v>1713</v>
      </c>
      <c r="F500" t="s">
        <v>766</v>
      </c>
      <c r="G500" t="s">
        <v>120</v>
      </c>
      <c r="H500" t="s">
        <v>333</v>
      </c>
      <c r="I500" t="s">
        <v>163</v>
      </c>
      <c r="J500" t="s">
        <v>2504</v>
      </c>
      <c r="K500" t="s">
        <v>2505</v>
      </c>
    </row>
    <row r="501" spans="1:11" hidden="1" x14ac:dyDescent="0.35">
      <c r="A501">
        <v>339</v>
      </c>
      <c r="B501" s="59" t="s">
        <v>1797</v>
      </c>
      <c r="C501" t="s">
        <v>1374</v>
      </c>
      <c r="D501" t="s">
        <v>34</v>
      </c>
      <c r="E501" t="s">
        <v>1713</v>
      </c>
      <c r="F501" t="s">
        <v>1374</v>
      </c>
      <c r="G501" t="s">
        <v>362</v>
      </c>
      <c r="H501" t="s">
        <v>131</v>
      </c>
      <c r="I501" t="s">
        <v>163</v>
      </c>
      <c r="J501" t="s">
        <v>1536</v>
      </c>
    </row>
    <row r="502" spans="1:11" hidden="1" x14ac:dyDescent="0.35">
      <c r="A502">
        <v>339</v>
      </c>
      <c r="B502" s="59" t="s">
        <v>2508</v>
      </c>
      <c r="C502" t="s">
        <v>1374</v>
      </c>
      <c r="D502" t="s">
        <v>34</v>
      </c>
      <c r="E502" t="s">
        <v>1713</v>
      </c>
      <c r="F502" t="s">
        <v>1374</v>
      </c>
      <c r="G502" t="s">
        <v>362</v>
      </c>
      <c r="H502" t="s">
        <v>2509</v>
      </c>
      <c r="I502" t="s">
        <v>163</v>
      </c>
      <c r="J502" t="s">
        <v>1536</v>
      </c>
    </row>
    <row r="503" spans="1:11" hidden="1" x14ac:dyDescent="0.35">
      <c r="B503" s="17" t="s">
        <v>2014</v>
      </c>
      <c r="C503" t="s">
        <v>1374</v>
      </c>
      <c r="D503" t="s">
        <v>34</v>
      </c>
      <c r="E503" t="s">
        <v>1713</v>
      </c>
      <c r="F503" t="s">
        <v>1374</v>
      </c>
      <c r="G503" t="s">
        <v>362</v>
      </c>
      <c r="H503" t="s">
        <v>2510</v>
      </c>
      <c r="I503" t="s">
        <v>163</v>
      </c>
      <c r="J503" t="s">
        <v>1536</v>
      </c>
    </row>
    <row r="504" spans="1:11" hidden="1" x14ac:dyDescent="0.35">
      <c r="A504">
        <v>339</v>
      </c>
      <c r="B504" s="17" t="s">
        <v>1717</v>
      </c>
      <c r="C504" t="s">
        <v>1374</v>
      </c>
      <c r="D504" t="s">
        <v>2511</v>
      </c>
      <c r="E504" t="s">
        <v>1713</v>
      </c>
      <c r="F504" t="s">
        <v>1374</v>
      </c>
      <c r="G504" t="s">
        <v>362</v>
      </c>
      <c r="H504" t="s">
        <v>2512</v>
      </c>
      <c r="I504" t="s">
        <v>163</v>
      </c>
      <c r="J504" t="s">
        <v>1536</v>
      </c>
    </row>
    <row r="505" spans="1:11" hidden="1" x14ac:dyDescent="0.35">
      <c r="A505">
        <v>339</v>
      </c>
      <c r="B505" s="2" t="s">
        <v>1849</v>
      </c>
      <c r="C505" t="s">
        <v>766</v>
      </c>
      <c r="E505" t="s">
        <v>1713</v>
      </c>
      <c r="F505" t="s">
        <v>766</v>
      </c>
      <c r="G505" t="s">
        <v>362</v>
      </c>
      <c r="H505" t="s">
        <v>2513</v>
      </c>
      <c r="I505" t="s">
        <v>163</v>
      </c>
      <c r="J505" t="s">
        <v>1536</v>
      </c>
    </row>
    <row r="506" spans="1:11" hidden="1" x14ac:dyDescent="0.35">
      <c r="A506">
        <v>339</v>
      </c>
      <c r="B506" s="58" t="s">
        <v>1799</v>
      </c>
      <c r="C506" t="s">
        <v>766</v>
      </c>
      <c r="D506" t="s">
        <v>2514</v>
      </c>
      <c r="E506" t="s">
        <v>1713</v>
      </c>
      <c r="F506" t="s">
        <v>766</v>
      </c>
      <c r="G506" t="s">
        <v>362</v>
      </c>
      <c r="H506" t="s">
        <v>2515</v>
      </c>
      <c r="I506" t="s">
        <v>163</v>
      </c>
      <c r="J506" t="s">
        <v>1536</v>
      </c>
    </row>
    <row r="507" spans="1:11" hidden="1" x14ac:dyDescent="0.35">
      <c r="A507">
        <v>339</v>
      </c>
      <c r="B507" s="24" t="s">
        <v>1748</v>
      </c>
      <c r="C507" t="s">
        <v>766</v>
      </c>
      <c r="D507" t="s">
        <v>1532</v>
      </c>
      <c r="E507" t="s">
        <v>1713</v>
      </c>
      <c r="F507" t="s">
        <v>766</v>
      </c>
      <c r="G507" t="s">
        <v>362</v>
      </c>
      <c r="H507" t="s">
        <v>2516</v>
      </c>
      <c r="I507" t="s">
        <v>163</v>
      </c>
      <c r="J507" t="s">
        <v>1536</v>
      </c>
    </row>
    <row r="508" spans="1:11" hidden="1" x14ac:dyDescent="0.35">
      <c r="A508">
        <v>339</v>
      </c>
      <c r="B508" s="19" t="s">
        <v>1790</v>
      </c>
      <c r="C508" t="s">
        <v>766</v>
      </c>
      <c r="D508" t="s">
        <v>2517</v>
      </c>
      <c r="E508" t="s">
        <v>1713</v>
      </c>
      <c r="F508" t="s">
        <v>766</v>
      </c>
      <c r="G508" t="s">
        <v>362</v>
      </c>
      <c r="H508" t="s">
        <v>2518</v>
      </c>
      <c r="I508" t="s">
        <v>163</v>
      </c>
      <c r="J508" t="s">
        <v>1536</v>
      </c>
    </row>
    <row r="509" spans="1:11" hidden="1" x14ac:dyDescent="0.35">
      <c r="A509">
        <v>339</v>
      </c>
      <c r="B509" s="19" t="s">
        <v>2519</v>
      </c>
      <c r="C509" t="s">
        <v>766</v>
      </c>
      <c r="D509" t="s">
        <v>2517</v>
      </c>
      <c r="E509" t="s">
        <v>1713</v>
      </c>
      <c r="F509" t="s">
        <v>766</v>
      </c>
      <c r="G509" t="s">
        <v>362</v>
      </c>
      <c r="H509" t="s">
        <v>2520</v>
      </c>
      <c r="I509" t="s">
        <v>163</v>
      </c>
      <c r="J509" t="s">
        <v>1536</v>
      </c>
    </row>
    <row r="510" spans="1:11" hidden="1" x14ac:dyDescent="0.35">
      <c r="A510">
        <v>339</v>
      </c>
      <c r="B510" s="17" t="s">
        <v>1832</v>
      </c>
      <c r="C510" t="s">
        <v>137</v>
      </c>
      <c r="D510" t="s">
        <v>2521</v>
      </c>
      <c r="E510" t="s">
        <v>1713</v>
      </c>
      <c r="F510" t="s">
        <v>137</v>
      </c>
      <c r="G510" t="s">
        <v>362</v>
      </c>
      <c r="H510" t="s">
        <v>2522</v>
      </c>
      <c r="I510" t="s">
        <v>163</v>
      </c>
      <c r="J510" t="s">
        <v>1536</v>
      </c>
    </row>
    <row r="511" spans="1:11" hidden="1" x14ac:dyDescent="0.35">
      <c r="A511">
        <v>339</v>
      </c>
      <c r="B511" s="7" t="s">
        <v>1784</v>
      </c>
      <c r="C511" t="s">
        <v>766</v>
      </c>
      <c r="D511" t="s">
        <v>2090</v>
      </c>
      <c r="E511" t="s">
        <v>1713</v>
      </c>
      <c r="F511" t="s">
        <v>766</v>
      </c>
      <c r="G511" t="s">
        <v>362</v>
      </c>
      <c r="H511" t="s">
        <v>2523</v>
      </c>
      <c r="I511" t="s">
        <v>163</v>
      </c>
      <c r="J511" t="s">
        <v>1536</v>
      </c>
    </row>
    <row r="512" spans="1:11" hidden="1" x14ac:dyDescent="0.35">
      <c r="A512">
        <v>339</v>
      </c>
      <c r="B512" s="63" t="s">
        <v>1785</v>
      </c>
      <c r="C512" t="s">
        <v>766</v>
      </c>
      <c r="E512" t="s">
        <v>1713</v>
      </c>
      <c r="F512" t="s">
        <v>766</v>
      </c>
      <c r="G512" t="s">
        <v>362</v>
      </c>
      <c r="H512" t="s">
        <v>1804</v>
      </c>
      <c r="I512" t="s">
        <v>163</v>
      </c>
      <c r="J512" t="s">
        <v>1536</v>
      </c>
    </row>
    <row r="513" spans="1:10" hidden="1" x14ac:dyDescent="0.35">
      <c r="A513">
        <v>339</v>
      </c>
      <c r="B513" s="7" t="s">
        <v>2524</v>
      </c>
      <c r="C513" t="s">
        <v>766</v>
      </c>
      <c r="D513" t="s">
        <v>2525</v>
      </c>
      <c r="E513" t="s">
        <v>1713</v>
      </c>
      <c r="F513" t="s">
        <v>766</v>
      </c>
      <c r="G513" t="s">
        <v>362</v>
      </c>
      <c r="H513" t="s">
        <v>2526</v>
      </c>
      <c r="I513" t="s">
        <v>163</v>
      </c>
      <c r="J513" t="s">
        <v>1536</v>
      </c>
    </row>
    <row r="514" spans="1:10" hidden="1" x14ac:dyDescent="0.35">
      <c r="A514">
        <v>339</v>
      </c>
      <c r="B514" s="7" t="s">
        <v>2527</v>
      </c>
      <c r="C514" t="s">
        <v>766</v>
      </c>
      <c r="D514" t="s">
        <v>2525</v>
      </c>
      <c r="E514" t="s">
        <v>1713</v>
      </c>
      <c r="F514" t="s">
        <v>766</v>
      </c>
      <c r="G514" t="s">
        <v>362</v>
      </c>
      <c r="H514" t="s">
        <v>2526</v>
      </c>
      <c r="I514" t="s">
        <v>163</v>
      </c>
      <c r="J514" t="s">
        <v>1536</v>
      </c>
    </row>
    <row r="515" spans="1:10" hidden="1" x14ac:dyDescent="0.35">
      <c r="A515">
        <v>339</v>
      </c>
      <c r="B515" s="24" t="s">
        <v>1691</v>
      </c>
      <c r="C515" t="s">
        <v>1374</v>
      </c>
      <c r="D515" t="s">
        <v>1778</v>
      </c>
      <c r="E515" t="s">
        <v>1713</v>
      </c>
      <c r="F515" t="s">
        <v>1374</v>
      </c>
      <c r="G515" t="s">
        <v>362</v>
      </c>
      <c r="H515" t="s">
        <v>2528</v>
      </c>
      <c r="I515" t="s">
        <v>163</v>
      </c>
      <c r="J515" t="s">
        <v>1536</v>
      </c>
    </row>
    <row r="516" spans="1:10" hidden="1" x14ac:dyDescent="0.35">
      <c r="A516">
        <v>350</v>
      </c>
      <c r="B516" t="s">
        <v>2529</v>
      </c>
      <c r="C516" t="s">
        <v>1711</v>
      </c>
      <c r="D516" t="s">
        <v>34</v>
      </c>
      <c r="E516" t="s">
        <v>1713</v>
      </c>
      <c r="F516" t="s">
        <v>137</v>
      </c>
      <c r="G516" t="s">
        <v>362</v>
      </c>
      <c r="H516" t="s">
        <v>2509</v>
      </c>
      <c r="I516" t="s">
        <v>163</v>
      </c>
      <c r="J516" t="s">
        <v>2530</v>
      </c>
    </row>
    <row r="517" spans="1:10" x14ac:dyDescent="0.35">
      <c r="B517" t="s">
        <v>2531</v>
      </c>
      <c r="C517" t="s">
        <v>1777</v>
      </c>
      <c r="D517" t="s">
        <v>2532</v>
      </c>
      <c r="E517" t="s">
        <v>1713</v>
      </c>
      <c r="F517" t="s">
        <v>137</v>
      </c>
      <c r="G517" t="s">
        <v>362</v>
      </c>
      <c r="H517" t="s">
        <v>2509</v>
      </c>
      <c r="I517" t="s">
        <v>163</v>
      </c>
      <c r="J517" t="s">
        <v>2530</v>
      </c>
    </row>
    <row r="518" spans="1:10" hidden="1" x14ac:dyDescent="0.35">
      <c r="A518">
        <v>350</v>
      </c>
      <c r="B518" s="17" t="s">
        <v>1832</v>
      </c>
      <c r="C518" t="s">
        <v>137</v>
      </c>
      <c r="D518" t="s">
        <v>2533</v>
      </c>
      <c r="E518" t="s">
        <v>1713</v>
      </c>
      <c r="F518" t="s">
        <v>137</v>
      </c>
      <c r="G518" t="s">
        <v>362</v>
      </c>
      <c r="H518" t="s">
        <v>2510</v>
      </c>
      <c r="I518" t="s">
        <v>163</v>
      </c>
      <c r="J518" t="s">
        <v>2530</v>
      </c>
    </row>
    <row r="519" spans="1:10" hidden="1" x14ac:dyDescent="0.35">
      <c r="A519">
        <v>350</v>
      </c>
      <c r="B519" s="67" t="s">
        <v>2534</v>
      </c>
      <c r="C519" t="s">
        <v>137</v>
      </c>
      <c r="D519" t="s">
        <v>2535</v>
      </c>
      <c r="E519" t="s">
        <v>1713</v>
      </c>
      <c r="F519" t="s">
        <v>766</v>
      </c>
      <c r="G519" t="s">
        <v>362</v>
      </c>
      <c r="H519" t="s">
        <v>2510</v>
      </c>
      <c r="I519" t="s">
        <v>163</v>
      </c>
      <c r="J519" t="s">
        <v>2530</v>
      </c>
    </row>
    <row r="520" spans="1:10" hidden="1" x14ac:dyDescent="0.35">
      <c r="A520">
        <v>350</v>
      </c>
      <c r="B520" s="67" t="s">
        <v>2536</v>
      </c>
      <c r="C520" t="s">
        <v>137</v>
      </c>
      <c r="D520" t="s">
        <v>2537</v>
      </c>
      <c r="E520" t="s">
        <v>1713</v>
      </c>
      <c r="F520" t="s">
        <v>766</v>
      </c>
      <c r="G520" t="s">
        <v>362</v>
      </c>
      <c r="H520" t="s">
        <v>2510</v>
      </c>
      <c r="I520" t="s">
        <v>163</v>
      </c>
      <c r="J520" t="s">
        <v>2530</v>
      </c>
    </row>
    <row r="521" spans="1:10" hidden="1" x14ac:dyDescent="0.35">
      <c r="A521">
        <v>350</v>
      </c>
      <c r="B521" s="67" t="s">
        <v>2538</v>
      </c>
      <c r="C521" t="s">
        <v>137</v>
      </c>
      <c r="D521" t="s">
        <v>2539</v>
      </c>
      <c r="E521" t="s">
        <v>1713</v>
      </c>
      <c r="F521" t="s">
        <v>766</v>
      </c>
      <c r="G521" t="s">
        <v>362</v>
      </c>
      <c r="H521" t="s">
        <v>2510</v>
      </c>
      <c r="I521" t="s">
        <v>163</v>
      </c>
      <c r="J521" t="s">
        <v>2530</v>
      </c>
    </row>
    <row r="522" spans="1:10" hidden="1" x14ac:dyDescent="0.35">
      <c r="A522">
        <v>361</v>
      </c>
      <c r="B522" s="19" t="s">
        <v>2540</v>
      </c>
      <c r="C522" t="s">
        <v>766</v>
      </c>
      <c r="D522" t="s">
        <v>2321</v>
      </c>
      <c r="E522" t="s">
        <v>1713</v>
      </c>
      <c r="F522" t="s">
        <v>766</v>
      </c>
      <c r="G522" t="s">
        <v>671</v>
      </c>
      <c r="H522" t="s">
        <v>27</v>
      </c>
      <c r="I522" t="s">
        <v>27</v>
      </c>
      <c r="J522" t="s">
        <v>2541</v>
      </c>
    </row>
    <row r="523" spans="1:10" hidden="1" x14ac:dyDescent="0.35">
      <c r="A523">
        <v>361</v>
      </c>
      <c r="B523" s="59" t="s">
        <v>2542</v>
      </c>
      <c r="C523" t="s">
        <v>1374</v>
      </c>
      <c r="D523" t="s">
        <v>2117</v>
      </c>
      <c r="E523" t="s">
        <v>1713</v>
      </c>
      <c r="F523" t="s">
        <v>1374</v>
      </c>
      <c r="G523" t="s">
        <v>671</v>
      </c>
      <c r="H523" t="s">
        <v>27</v>
      </c>
      <c r="I523" t="s">
        <v>27</v>
      </c>
      <c r="J523" t="s">
        <v>2541</v>
      </c>
    </row>
    <row r="524" spans="1:10" hidden="1" x14ac:dyDescent="0.35">
      <c r="A524">
        <v>361</v>
      </c>
      <c r="B524" t="s">
        <v>2543</v>
      </c>
      <c r="C524" t="s">
        <v>1374</v>
      </c>
      <c r="D524" t="s">
        <v>2544</v>
      </c>
      <c r="E524" t="s">
        <v>1713</v>
      </c>
      <c r="F524" t="s">
        <v>1374</v>
      </c>
      <c r="G524" t="s">
        <v>671</v>
      </c>
      <c r="H524" t="s">
        <v>27</v>
      </c>
      <c r="I524" t="s">
        <v>27</v>
      </c>
      <c r="J524" t="s">
        <v>2545</v>
      </c>
    </row>
    <row r="525" spans="1:10" hidden="1" x14ac:dyDescent="0.35">
      <c r="A525">
        <v>361</v>
      </c>
      <c r="B525" s="59" t="s">
        <v>2546</v>
      </c>
      <c r="C525" t="s">
        <v>1374</v>
      </c>
      <c r="E525" t="s">
        <v>1713</v>
      </c>
      <c r="F525" t="s">
        <v>1374</v>
      </c>
      <c r="G525" t="s">
        <v>671</v>
      </c>
      <c r="H525" t="s">
        <v>27</v>
      </c>
      <c r="I525" t="s">
        <v>27</v>
      </c>
      <c r="J525" t="s">
        <v>2545</v>
      </c>
    </row>
    <row r="526" spans="1:10" hidden="1" x14ac:dyDescent="0.35">
      <c r="A526">
        <v>361</v>
      </c>
      <c r="B526" t="s">
        <v>2547</v>
      </c>
      <c r="C526" t="s">
        <v>1374</v>
      </c>
      <c r="D526" t="s">
        <v>2548</v>
      </c>
      <c r="E526" t="s">
        <v>1713</v>
      </c>
      <c r="F526" t="s">
        <v>1374</v>
      </c>
      <c r="G526" t="s">
        <v>671</v>
      </c>
      <c r="H526" t="s">
        <v>27</v>
      </c>
      <c r="I526" t="s">
        <v>27</v>
      </c>
      <c r="J526" t="s">
        <v>2545</v>
      </c>
    </row>
    <row r="527" spans="1:10" hidden="1" x14ac:dyDescent="0.35">
      <c r="A527">
        <v>361</v>
      </c>
      <c r="B527" t="s">
        <v>2549</v>
      </c>
      <c r="C527" t="s">
        <v>1374</v>
      </c>
      <c r="D527" t="s">
        <v>2548</v>
      </c>
      <c r="E527" t="s">
        <v>1713</v>
      </c>
      <c r="F527" t="s">
        <v>1374</v>
      </c>
      <c r="G527" t="s">
        <v>671</v>
      </c>
      <c r="H527" t="s">
        <v>27</v>
      </c>
      <c r="I527" t="s">
        <v>27</v>
      </c>
      <c r="J527" t="s">
        <v>2545</v>
      </c>
    </row>
    <row r="528" spans="1:10" hidden="1" x14ac:dyDescent="0.35">
      <c r="A528">
        <v>383</v>
      </c>
      <c r="B528" s="19" t="s">
        <v>2550</v>
      </c>
      <c r="C528" t="s">
        <v>766</v>
      </c>
      <c r="D528" t="s">
        <v>2321</v>
      </c>
      <c r="E528" t="s">
        <v>1713</v>
      </c>
      <c r="F528" t="s">
        <v>766</v>
      </c>
      <c r="G528" t="s">
        <v>120</v>
      </c>
      <c r="H528" t="s">
        <v>1744</v>
      </c>
      <c r="I528" t="s">
        <v>27</v>
      </c>
      <c r="J528" t="s">
        <v>2551</v>
      </c>
    </row>
    <row r="529" spans="1:10" hidden="1" x14ac:dyDescent="0.35">
      <c r="A529">
        <v>383</v>
      </c>
      <c r="B529" s="7" t="s">
        <v>2203</v>
      </c>
      <c r="C529" t="s">
        <v>766</v>
      </c>
      <c r="D529" t="s">
        <v>1751</v>
      </c>
      <c r="E529" t="s">
        <v>1713</v>
      </c>
      <c r="F529" t="s">
        <v>766</v>
      </c>
      <c r="G529" t="s">
        <v>120</v>
      </c>
      <c r="H529" t="s">
        <v>1744</v>
      </c>
      <c r="I529" t="s">
        <v>27</v>
      </c>
      <c r="J529" t="s">
        <v>2552</v>
      </c>
    </row>
    <row r="530" spans="1:10" hidden="1" x14ac:dyDescent="0.35">
      <c r="A530">
        <v>383</v>
      </c>
      <c r="B530" s="67" t="s">
        <v>2206</v>
      </c>
      <c r="C530" t="s">
        <v>137</v>
      </c>
      <c r="D530" t="s">
        <v>2553</v>
      </c>
      <c r="E530" t="s">
        <v>1713</v>
      </c>
      <c r="F530" t="s">
        <v>137</v>
      </c>
      <c r="G530" t="s">
        <v>120</v>
      </c>
      <c r="H530" t="s">
        <v>1744</v>
      </c>
      <c r="I530" t="s">
        <v>27</v>
      </c>
      <c r="J530" t="s">
        <v>2551</v>
      </c>
    </row>
    <row r="531" spans="1:10" hidden="1" x14ac:dyDescent="0.35">
      <c r="A531">
        <v>383</v>
      </c>
      <c r="B531" s="17" t="s">
        <v>2208</v>
      </c>
      <c r="C531" t="s">
        <v>137</v>
      </c>
      <c r="D531" t="s">
        <v>2117</v>
      </c>
      <c r="E531" t="s">
        <v>1713</v>
      </c>
      <c r="F531" t="s">
        <v>137</v>
      </c>
      <c r="G531" t="s">
        <v>120</v>
      </c>
      <c r="H531" t="s">
        <v>1744</v>
      </c>
      <c r="I531" t="s">
        <v>27</v>
      </c>
      <c r="J531" t="s">
        <v>2552</v>
      </c>
    </row>
    <row r="532" spans="1:10" hidden="1" x14ac:dyDescent="0.35">
      <c r="A532">
        <v>383</v>
      </c>
      <c r="B532" s="67" t="s">
        <v>2554</v>
      </c>
      <c r="C532" t="s">
        <v>137</v>
      </c>
      <c r="D532" t="s">
        <v>2555</v>
      </c>
      <c r="E532" t="s">
        <v>1713</v>
      </c>
      <c r="F532" t="s">
        <v>137</v>
      </c>
      <c r="G532" t="s">
        <v>120</v>
      </c>
      <c r="H532" t="s">
        <v>1744</v>
      </c>
      <c r="I532" t="s">
        <v>27</v>
      </c>
      <c r="J532" t="s">
        <v>2551</v>
      </c>
    </row>
    <row r="533" spans="1:10" hidden="1" x14ac:dyDescent="0.35">
      <c r="A533">
        <v>383</v>
      </c>
      <c r="B533" s="67" t="s">
        <v>2556</v>
      </c>
      <c r="C533" t="s">
        <v>137</v>
      </c>
      <c r="E533" t="s">
        <v>1713</v>
      </c>
      <c r="F533" t="s">
        <v>137</v>
      </c>
      <c r="G533" t="s">
        <v>120</v>
      </c>
      <c r="H533" t="s">
        <v>1744</v>
      </c>
      <c r="I533" t="s">
        <v>27</v>
      </c>
      <c r="J533" t="s">
        <v>2552</v>
      </c>
    </row>
    <row r="534" spans="1:10" hidden="1" x14ac:dyDescent="0.35">
      <c r="A534">
        <v>383</v>
      </c>
      <c r="B534" t="s">
        <v>2557</v>
      </c>
      <c r="C534" t="s">
        <v>137</v>
      </c>
      <c r="D534" t="s">
        <v>34</v>
      </c>
      <c r="E534" t="s">
        <v>1713</v>
      </c>
      <c r="F534" t="s">
        <v>137</v>
      </c>
      <c r="G534" t="s">
        <v>120</v>
      </c>
      <c r="H534" t="s">
        <v>1744</v>
      </c>
      <c r="I534" t="s">
        <v>27</v>
      </c>
      <c r="J534" t="s">
        <v>2552</v>
      </c>
    </row>
    <row r="535" spans="1:10" hidden="1" x14ac:dyDescent="0.35">
      <c r="A535">
        <v>383</v>
      </c>
      <c r="B535" s="67" t="s">
        <v>2163</v>
      </c>
      <c r="C535" t="s">
        <v>137</v>
      </c>
      <c r="D535" t="s">
        <v>2558</v>
      </c>
      <c r="E535" t="s">
        <v>1713</v>
      </c>
      <c r="F535" t="s">
        <v>137</v>
      </c>
      <c r="G535" t="s">
        <v>120</v>
      </c>
      <c r="H535" t="s">
        <v>1744</v>
      </c>
      <c r="I535" t="s">
        <v>27</v>
      </c>
      <c r="J535" t="s">
        <v>2552</v>
      </c>
    </row>
    <row r="536" spans="1:10" hidden="1" x14ac:dyDescent="0.35">
      <c r="A536">
        <v>383</v>
      </c>
      <c r="B536" s="67" t="s">
        <v>1758</v>
      </c>
      <c r="C536" t="s">
        <v>137</v>
      </c>
      <c r="D536" t="s">
        <v>2559</v>
      </c>
      <c r="E536" t="s">
        <v>1713</v>
      </c>
      <c r="F536" t="s">
        <v>137</v>
      </c>
      <c r="G536" t="s">
        <v>120</v>
      </c>
      <c r="H536" t="s">
        <v>1744</v>
      </c>
      <c r="I536" t="s">
        <v>27</v>
      </c>
      <c r="J536" t="s">
        <v>2552</v>
      </c>
    </row>
    <row r="537" spans="1:10" hidden="1" x14ac:dyDescent="0.35">
      <c r="A537">
        <v>383</v>
      </c>
      <c r="B537" s="67" t="s">
        <v>2560</v>
      </c>
      <c r="C537" t="s">
        <v>137</v>
      </c>
      <c r="D537" t="s">
        <v>2558</v>
      </c>
      <c r="E537" t="s">
        <v>1713</v>
      </c>
      <c r="F537" t="s">
        <v>137</v>
      </c>
      <c r="G537" t="s">
        <v>120</v>
      </c>
      <c r="H537" t="s">
        <v>1744</v>
      </c>
      <c r="I537" t="s">
        <v>27</v>
      </c>
      <c r="J537" t="s">
        <v>2552</v>
      </c>
    </row>
    <row r="538" spans="1:10" hidden="1" x14ac:dyDescent="0.35">
      <c r="A538">
        <v>387</v>
      </c>
      <c r="B538" t="s">
        <v>2561</v>
      </c>
      <c r="C538" t="s">
        <v>1711</v>
      </c>
      <c r="D538" t="s">
        <v>1389</v>
      </c>
      <c r="E538" t="s">
        <v>1713</v>
      </c>
      <c r="F538" t="s">
        <v>1714</v>
      </c>
      <c r="G538" t="s">
        <v>2562</v>
      </c>
      <c r="H538" t="s">
        <v>2563</v>
      </c>
      <c r="I538" t="s">
        <v>27</v>
      </c>
      <c r="J538" t="s">
        <v>2564</v>
      </c>
    </row>
    <row r="539" spans="1:10" hidden="1" x14ac:dyDescent="0.35">
      <c r="A539">
        <v>387</v>
      </c>
      <c r="B539" t="s">
        <v>2565</v>
      </c>
      <c r="C539" t="s">
        <v>1711</v>
      </c>
      <c r="D539" t="s">
        <v>34</v>
      </c>
      <c r="E539" t="s">
        <v>1713</v>
      </c>
      <c r="F539" t="s">
        <v>1714</v>
      </c>
      <c r="G539" t="s">
        <v>2562</v>
      </c>
      <c r="H539" t="s">
        <v>2563</v>
      </c>
      <c r="I539" t="s">
        <v>27</v>
      </c>
      <c r="J539" t="s">
        <v>2566</v>
      </c>
    </row>
    <row r="540" spans="1:10" hidden="1" x14ac:dyDescent="0.35">
      <c r="A540">
        <v>387</v>
      </c>
      <c r="B540" t="s">
        <v>2567</v>
      </c>
      <c r="C540" t="s">
        <v>1711</v>
      </c>
      <c r="D540" t="s">
        <v>205</v>
      </c>
      <c r="E540" t="s">
        <v>1713</v>
      </c>
      <c r="F540" t="s">
        <v>1714</v>
      </c>
      <c r="G540" t="s">
        <v>2562</v>
      </c>
      <c r="H540" t="s">
        <v>2563</v>
      </c>
      <c r="I540" t="s">
        <v>27</v>
      </c>
      <c r="J540" t="s">
        <v>2566</v>
      </c>
    </row>
    <row r="541" spans="1:10" hidden="1" x14ac:dyDescent="0.35">
      <c r="A541">
        <v>387</v>
      </c>
      <c r="B541" t="s">
        <v>2568</v>
      </c>
      <c r="C541" t="s">
        <v>1711</v>
      </c>
      <c r="D541" t="s">
        <v>353</v>
      </c>
      <c r="E541" t="s">
        <v>1713</v>
      </c>
      <c r="F541" t="s">
        <v>1714</v>
      </c>
      <c r="G541" t="s">
        <v>2562</v>
      </c>
      <c r="H541" t="s">
        <v>2563</v>
      </c>
      <c r="I541" t="s">
        <v>27</v>
      </c>
      <c r="J541" t="s">
        <v>2566</v>
      </c>
    </row>
    <row r="542" spans="1:10" hidden="1" x14ac:dyDescent="0.35">
      <c r="A542">
        <v>387</v>
      </c>
      <c r="B542" t="s">
        <v>2569</v>
      </c>
      <c r="C542" t="s">
        <v>1711</v>
      </c>
      <c r="E542" t="s">
        <v>1713</v>
      </c>
      <c r="F542" t="s">
        <v>1714</v>
      </c>
      <c r="G542" t="s">
        <v>2562</v>
      </c>
      <c r="H542" t="s">
        <v>2563</v>
      </c>
      <c r="I542" t="s">
        <v>27</v>
      </c>
      <c r="J542" t="s">
        <v>2570</v>
      </c>
    </row>
    <row r="543" spans="1:10" hidden="1" x14ac:dyDescent="0.35">
      <c r="A543">
        <v>396</v>
      </c>
      <c r="B543" s="43" t="s">
        <v>2571</v>
      </c>
      <c r="C543" t="s">
        <v>137</v>
      </c>
      <c r="D543" t="s">
        <v>2572</v>
      </c>
      <c r="E543" t="s">
        <v>1713</v>
      </c>
      <c r="F543" t="s">
        <v>137</v>
      </c>
      <c r="G543" t="s">
        <v>120</v>
      </c>
      <c r="H543" t="s">
        <v>2573</v>
      </c>
      <c r="I543" t="s">
        <v>386</v>
      </c>
      <c r="J543" t="s">
        <v>2574</v>
      </c>
    </row>
    <row r="544" spans="1:10" hidden="1" x14ac:dyDescent="0.35">
      <c r="A544">
        <v>396</v>
      </c>
      <c r="B544" s="43" t="s">
        <v>2575</v>
      </c>
      <c r="C544" t="s">
        <v>137</v>
      </c>
      <c r="D544" t="s">
        <v>2572</v>
      </c>
      <c r="E544" t="s">
        <v>1713</v>
      </c>
      <c r="F544" t="s">
        <v>137</v>
      </c>
      <c r="G544" t="s">
        <v>120</v>
      </c>
      <c r="H544" t="s">
        <v>2573</v>
      </c>
      <c r="I544" t="s">
        <v>386</v>
      </c>
      <c r="J544" t="s">
        <v>2574</v>
      </c>
    </row>
    <row r="545" spans="1:10" hidden="1" x14ac:dyDescent="0.35">
      <c r="A545">
        <v>396</v>
      </c>
      <c r="B545" s="43" t="s">
        <v>2576</v>
      </c>
      <c r="C545" t="s">
        <v>137</v>
      </c>
      <c r="D545" t="s">
        <v>2572</v>
      </c>
      <c r="E545" t="s">
        <v>1713</v>
      </c>
      <c r="F545" t="s">
        <v>137</v>
      </c>
      <c r="G545" t="s">
        <v>120</v>
      </c>
      <c r="H545" t="s">
        <v>2573</v>
      </c>
      <c r="I545" t="s">
        <v>386</v>
      </c>
      <c r="J545" t="s">
        <v>2574</v>
      </c>
    </row>
    <row r="546" spans="1:10" hidden="1" x14ac:dyDescent="0.35">
      <c r="A546">
        <v>396</v>
      </c>
      <c r="B546" s="43" t="s">
        <v>2577</v>
      </c>
      <c r="C546" t="s">
        <v>137</v>
      </c>
      <c r="D546" t="s">
        <v>2578</v>
      </c>
      <c r="E546" t="s">
        <v>1713</v>
      </c>
      <c r="F546" t="s">
        <v>137</v>
      </c>
      <c r="G546" t="s">
        <v>120</v>
      </c>
      <c r="H546" t="s">
        <v>2573</v>
      </c>
      <c r="I546" t="s">
        <v>386</v>
      </c>
      <c r="J546" t="s">
        <v>2574</v>
      </c>
    </row>
    <row r="547" spans="1:10" hidden="1" x14ac:dyDescent="0.35">
      <c r="A547">
        <v>396</v>
      </c>
      <c r="B547" s="43" t="s">
        <v>2579</v>
      </c>
      <c r="C547" t="s">
        <v>137</v>
      </c>
      <c r="D547" t="s">
        <v>2580</v>
      </c>
      <c r="E547" t="s">
        <v>1713</v>
      </c>
      <c r="F547" t="s">
        <v>137</v>
      </c>
      <c r="G547" t="s">
        <v>120</v>
      </c>
      <c r="H547" t="s">
        <v>2573</v>
      </c>
      <c r="I547" t="s">
        <v>386</v>
      </c>
      <c r="J547" t="s">
        <v>2574</v>
      </c>
    </row>
    <row r="548" spans="1:10" hidden="1" x14ac:dyDescent="0.35">
      <c r="A548">
        <v>425</v>
      </c>
      <c r="B548" s="59" t="s">
        <v>2581</v>
      </c>
      <c r="C548" t="s">
        <v>1374</v>
      </c>
      <c r="D548" t="s">
        <v>34</v>
      </c>
      <c r="E548" t="s">
        <v>1713</v>
      </c>
      <c r="F548" t="s">
        <v>1374</v>
      </c>
      <c r="G548" t="s">
        <v>2582</v>
      </c>
      <c r="H548" t="s">
        <v>2583</v>
      </c>
      <c r="I548" t="s">
        <v>266</v>
      </c>
      <c r="J548" t="s">
        <v>2584</v>
      </c>
    </row>
    <row r="549" spans="1:10" hidden="1" x14ac:dyDescent="0.35">
      <c r="A549">
        <v>425</v>
      </c>
      <c r="B549" s="17" t="s">
        <v>2242</v>
      </c>
      <c r="C549" t="s">
        <v>1374</v>
      </c>
      <c r="D549" t="s">
        <v>2511</v>
      </c>
      <c r="E549" t="s">
        <v>1713</v>
      </c>
      <c r="F549" t="s">
        <v>1374</v>
      </c>
      <c r="G549" t="s">
        <v>2582</v>
      </c>
      <c r="H549" t="s">
        <v>2583</v>
      </c>
      <c r="I549" t="s">
        <v>266</v>
      </c>
      <c r="J549" t="s">
        <v>2584</v>
      </c>
    </row>
    <row r="550" spans="1:10" hidden="1" x14ac:dyDescent="0.35">
      <c r="A550">
        <v>425</v>
      </c>
      <c r="B550" s="59" t="s">
        <v>2508</v>
      </c>
      <c r="C550" t="s">
        <v>1374</v>
      </c>
      <c r="D550" t="s">
        <v>34</v>
      </c>
      <c r="E550" t="s">
        <v>1713</v>
      </c>
      <c r="F550" t="s">
        <v>1374</v>
      </c>
      <c r="G550" t="s">
        <v>2582</v>
      </c>
      <c r="H550" t="s">
        <v>2583</v>
      </c>
      <c r="I550" t="s">
        <v>266</v>
      </c>
      <c r="J550" t="s">
        <v>2584</v>
      </c>
    </row>
    <row r="551" spans="1:10" hidden="1" x14ac:dyDescent="0.35">
      <c r="A551">
        <v>425</v>
      </c>
      <c r="B551" s="24" t="s">
        <v>2585</v>
      </c>
      <c r="C551" t="s">
        <v>1374</v>
      </c>
      <c r="D551" t="s">
        <v>2586</v>
      </c>
      <c r="E551" t="s">
        <v>1713</v>
      </c>
      <c r="F551" t="s">
        <v>1374</v>
      </c>
      <c r="G551" t="s">
        <v>2582</v>
      </c>
      <c r="H551" t="s">
        <v>2583</v>
      </c>
      <c r="I551" t="s">
        <v>266</v>
      </c>
      <c r="J551" t="s">
        <v>2584</v>
      </c>
    </row>
    <row r="552" spans="1:10" hidden="1" x14ac:dyDescent="0.35">
      <c r="A552">
        <v>425</v>
      </c>
      <c r="B552" s="2" t="s">
        <v>1742</v>
      </c>
      <c r="C552" t="s">
        <v>766</v>
      </c>
      <c r="E552" t="s">
        <v>1713</v>
      </c>
      <c r="F552" t="s">
        <v>766</v>
      </c>
      <c r="G552" t="s">
        <v>2582</v>
      </c>
      <c r="H552" t="s">
        <v>2583</v>
      </c>
      <c r="I552" t="s">
        <v>266</v>
      </c>
      <c r="J552" t="s">
        <v>2584</v>
      </c>
    </row>
    <row r="553" spans="1:10" hidden="1" x14ac:dyDescent="0.35">
      <c r="A553">
        <v>425</v>
      </c>
      <c r="B553" s="58" t="s">
        <v>1799</v>
      </c>
      <c r="C553" t="s">
        <v>766</v>
      </c>
      <c r="D553" t="s">
        <v>2587</v>
      </c>
      <c r="E553" t="s">
        <v>1713</v>
      </c>
      <c r="F553" t="s">
        <v>766</v>
      </c>
      <c r="G553" t="s">
        <v>2582</v>
      </c>
      <c r="H553" t="s">
        <v>2583</v>
      </c>
      <c r="I553" t="s">
        <v>266</v>
      </c>
      <c r="J553" t="s">
        <v>2584</v>
      </c>
    </row>
    <row r="554" spans="1:10" hidden="1" x14ac:dyDescent="0.35">
      <c r="A554">
        <v>425</v>
      </c>
      <c r="B554" s="19" t="s">
        <v>2588</v>
      </c>
      <c r="C554" t="s">
        <v>766</v>
      </c>
      <c r="D554" t="s">
        <v>34</v>
      </c>
      <c r="E554" t="s">
        <v>1713</v>
      </c>
      <c r="F554" t="s">
        <v>137</v>
      </c>
      <c r="G554" t="s">
        <v>2582</v>
      </c>
      <c r="H554" t="s">
        <v>2583</v>
      </c>
      <c r="I554" t="s">
        <v>266</v>
      </c>
      <c r="J554" t="s">
        <v>2584</v>
      </c>
    </row>
    <row r="555" spans="1:10" hidden="1" x14ac:dyDescent="0.35">
      <c r="A555">
        <v>425</v>
      </c>
      <c r="B555" s="7" t="s">
        <v>1784</v>
      </c>
      <c r="C555" t="s">
        <v>766</v>
      </c>
      <c r="D555" t="s">
        <v>34</v>
      </c>
      <c r="E555" t="s">
        <v>1713</v>
      </c>
      <c r="F555" t="s">
        <v>766</v>
      </c>
      <c r="G555" t="s">
        <v>2582</v>
      </c>
      <c r="H555" t="s">
        <v>2583</v>
      </c>
      <c r="I555" t="s">
        <v>266</v>
      </c>
      <c r="J555" t="s">
        <v>2584</v>
      </c>
    </row>
    <row r="556" spans="1:10" hidden="1" x14ac:dyDescent="0.35">
      <c r="A556">
        <v>425</v>
      </c>
      <c r="B556" s="24" t="s">
        <v>1748</v>
      </c>
      <c r="C556" t="s">
        <v>766</v>
      </c>
      <c r="D556" t="s">
        <v>2109</v>
      </c>
      <c r="E556" t="s">
        <v>1713</v>
      </c>
      <c r="F556" t="s">
        <v>766</v>
      </c>
      <c r="G556" t="s">
        <v>2582</v>
      </c>
      <c r="H556" t="s">
        <v>2583</v>
      </c>
      <c r="I556" t="s">
        <v>266</v>
      </c>
      <c r="J556" t="s">
        <v>2584</v>
      </c>
    </row>
    <row r="557" spans="1:10" hidden="1" x14ac:dyDescent="0.35">
      <c r="A557">
        <v>425</v>
      </c>
      <c r="B557" s="24" t="s">
        <v>2589</v>
      </c>
      <c r="C557" t="s">
        <v>766</v>
      </c>
      <c r="D557" t="s">
        <v>2109</v>
      </c>
      <c r="E557" t="s">
        <v>1713</v>
      </c>
      <c r="F557" t="s">
        <v>766</v>
      </c>
      <c r="G557" t="s">
        <v>2582</v>
      </c>
      <c r="H557" t="s">
        <v>2583</v>
      </c>
      <c r="I557" t="s">
        <v>266</v>
      </c>
      <c r="J557" t="s">
        <v>2584</v>
      </c>
    </row>
    <row r="558" spans="1:10" hidden="1" x14ac:dyDescent="0.35">
      <c r="A558">
        <v>425</v>
      </c>
      <c r="B558" s="24" t="s">
        <v>2590</v>
      </c>
      <c r="C558" t="s">
        <v>766</v>
      </c>
      <c r="D558" t="s">
        <v>2109</v>
      </c>
      <c r="E558" t="s">
        <v>1713</v>
      </c>
      <c r="F558" t="s">
        <v>766</v>
      </c>
      <c r="G558" t="s">
        <v>2582</v>
      </c>
      <c r="H558" t="s">
        <v>2583</v>
      </c>
      <c r="I558" t="s">
        <v>266</v>
      </c>
      <c r="J558" t="s">
        <v>2584</v>
      </c>
    </row>
    <row r="559" spans="1:10" hidden="1" x14ac:dyDescent="0.35">
      <c r="A559">
        <v>425</v>
      </c>
      <c r="B559" s="24" t="s">
        <v>2591</v>
      </c>
      <c r="C559" t="s">
        <v>766</v>
      </c>
      <c r="D559" t="s">
        <v>2109</v>
      </c>
      <c r="E559" t="s">
        <v>1713</v>
      </c>
      <c r="F559" t="s">
        <v>766</v>
      </c>
      <c r="G559" t="s">
        <v>2582</v>
      </c>
      <c r="H559" t="s">
        <v>2583</v>
      </c>
      <c r="I559" t="s">
        <v>266</v>
      </c>
      <c r="J559" t="s">
        <v>2584</v>
      </c>
    </row>
    <row r="560" spans="1:10" hidden="1" x14ac:dyDescent="0.35">
      <c r="A560">
        <v>425</v>
      </c>
      <c r="B560" s="24" t="s">
        <v>2592</v>
      </c>
      <c r="C560" t="s">
        <v>766</v>
      </c>
      <c r="D560" t="s">
        <v>2109</v>
      </c>
      <c r="E560" t="s">
        <v>1713</v>
      </c>
      <c r="F560" t="s">
        <v>766</v>
      </c>
      <c r="G560" t="s">
        <v>2582</v>
      </c>
      <c r="H560" t="s">
        <v>2583</v>
      </c>
      <c r="I560" t="s">
        <v>266</v>
      </c>
      <c r="J560" t="s">
        <v>2584</v>
      </c>
    </row>
    <row r="561" spans="1:10" hidden="1" x14ac:dyDescent="0.35">
      <c r="A561">
        <v>425</v>
      </c>
      <c r="B561" s="7" t="s">
        <v>2203</v>
      </c>
      <c r="C561" t="s">
        <v>766</v>
      </c>
      <c r="D561" t="s">
        <v>2117</v>
      </c>
      <c r="E561" t="s">
        <v>1713</v>
      </c>
      <c r="F561" t="s">
        <v>766</v>
      </c>
      <c r="G561" t="s">
        <v>2582</v>
      </c>
      <c r="H561" t="s">
        <v>2583</v>
      </c>
      <c r="I561" t="s">
        <v>266</v>
      </c>
      <c r="J561" t="s">
        <v>2584</v>
      </c>
    </row>
    <row r="562" spans="1:10" hidden="1" x14ac:dyDescent="0.35">
      <c r="A562">
        <v>425</v>
      </c>
      <c r="B562" s="19" t="s">
        <v>2593</v>
      </c>
      <c r="C562" t="s">
        <v>766</v>
      </c>
      <c r="D562" t="s">
        <v>2594</v>
      </c>
      <c r="E562" t="s">
        <v>1713</v>
      </c>
      <c r="F562" t="s">
        <v>766</v>
      </c>
      <c r="G562" t="s">
        <v>2582</v>
      </c>
      <c r="H562" t="s">
        <v>2583</v>
      </c>
      <c r="I562" t="s">
        <v>266</v>
      </c>
      <c r="J562" t="s">
        <v>2584</v>
      </c>
    </row>
    <row r="563" spans="1:10" hidden="1" x14ac:dyDescent="0.35">
      <c r="A563">
        <v>425</v>
      </c>
      <c r="B563" t="s">
        <v>2595</v>
      </c>
      <c r="C563" t="s">
        <v>1711</v>
      </c>
      <c r="D563" t="s">
        <v>2596</v>
      </c>
      <c r="E563" t="s">
        <v>1713</v>
      </c>
      <c r="F563" t="s">
        <v>1714</v>
      </c>
      <c r="G563" t="s">
        <v>2582</v>
      </c>
      <c r="H563" t="s">
        <v>2583</v>
      </c>
      <c r="I563" t="s">
        <v>266</v>
      </c>
      <c r="J563" t="s">
        <v>2584</v>
      </c>
    </row>
    <row r="564" spans="1:10" hidden="1" x14ac:dyDescent="0.35">
      <c r="A564">
        <v>425</v>
      </c>
      <c r="B564" t="s">
        <v>2597</v>
      </c>
      <c r="C564" t="s">
        <v>1711</v>
      </c>
      <c r="D564" t="s">
        <v>157</v>
      </c>
      <c r="E564" t="s">
        <v>1713</v>
      </c>
      <c r="F564" t="s">
        <v>1714</v>
      </c>
      <c r="G564" t="s">
        <v>2582</v>
      </c>
      <c r="H564" t="s">
        <v>2583</v>
      </c>
      <c r="I564" t="s">
        <v>266</v>
      </c>
      <c r="J564" t="s">
        <v>2584</v>
      </c>
    </row>
    <row r="565" spans="1:10" hidden="1" x14ac:dyDescent="0.35">
      <c r="A565">
        <v>425</v>
      </c>
      <c r="B565" t="s">
        <v>2598</v>
      </c>
      <c r="C565" t="s">
        <v>1711</v>
      </c>
      <c r="D565" t="s">
        <v>196</v>
      </c>
      <c r="E565" t="s">
        <v>1713</v>
      </c>
      <c r="F565" t="s">
        <v>1714</v>
      </c>
      <c r="G565" t="s">
        <v>2582</v>
      </c>
      <c r="H565" t="s">
        <v>2583</v>
      </c>
      <c r="I565" t="s">
        <v>266</v>
      </c>
      <c r="J565" t="s">
        <v>2584</v>
      </c>
    </row>
    <row r="566" spans="1:10" hidden="1" x14ac:dyDescent="0.35">
      <c r="A566">
        <v>428</v>
      </c>
      <c r="B566" s="2" t="s">
        <v>1742</v>
      </c>
      <c r="C566" t="s">
        <v>766</v>
      </c>
      <c r="E566" t="s">
        <v>1713</v>
      </c>
      <c r="F566" t="s">
        <v>766</v>
      </c>
      <c r="G566" t="s">
        <v>671</v>
      </c>
      <c r="H566" t="s">
        <v>1986</v>
      </c>
      <c r="I566" t="s">
        <v>27</v>
      </c>
      <c r="J566" t="s">
        <v>2599</v>
      </c>
    </row>
    <row r="567" spans="1:10" hidden="1" x14ac:dyDescent="0.35">
      <c r="A567">
        <v>428</v>
      </c>
      <c r="B567" s="58" t="s">
        <v>1799</v>
      </c>
      <c r="C567" t="s">
        <v>766</v>
      </c>
      <c r="D567" t="s">
        <v>2200</v>
      </c>
      <c r="E567" t="s">
        <v>1713</v>
      </c>
      <c r="F567" t="s">
        <v>766</v>
      </c>
      <c r="G567" t="s">
        <v>671</v>
      </c>
      <c r="H567" t="s">
        <v>1986</v>
      </c>
      <c r="I567" t="s">
        <v>27</v>
      </c>
      <c r="J567" t="s">
        <v>2599</v>
      </c>
    </row>
    <row r="568" spans="1:10" hidden="1" x14ac:dyDescent="0.35">
      <c r="A568">
        <v>428</v>
      </c>
      <c r="B568" t="s">
        <v>2508</v>
      </c>
      <c r="C568" t="s">
        <v>766</v>
      </c>
      <c r="D568" t="s">
        <v>34</v>
      </c>
      <c r="E568" t="s">
        <v>1713</v>
      </c>
      <c r="F568" t="s">
        <v>766</v>
      </c>
      <c r="G568" t="s">
        <v>671</v>
      </c>
      <c r="H568" t="s">
        <v>1986</v>
      </c>
      <c r="I568" t="s">
        <v>27</v>
      </c>
      <c r="J568" t="s">
        <v>2599</v>
      </c>
    </row>
    <row r="569" spans="1:10" hidden="1" x14ac:dyDescent="0.35">
      <c r="A569">
        <v>428</v>
      </c>
      <c r="B569" s="7" t="s">
        <v>1784</v>
      </c>
      <c r="C569" t="s">
        <v>766</v>
      </c>
      <c r="D569" t="s">
        <v>34</v>
      </c>
      <c r="E569" t="s">
        <v>1713</v>
      </c>
      <c r="F569" t="s">
        <v>766</v>
      </c>
      <c r="G569" t="s">
        <v>671</v>
      </c>
      <c r="H569" t="s">
        <v>1986</v>
      </c>
      <c r="I569" t="s">
        <v>27</v>
      </c>
      <c r="J569" t="s">
        <v>2599</v>
      </c>
    </row>
    <row r="570" spans="1:10" hidden="1" x14ac:dyDescent="0.35">
      <c r="A570">
        <v>428</v>
      </c>
      <c r="B570" s="19" t="s">
        <v>1187</v>
      </c>
      <c r="C570" t="s">
        <v>766</v>
      </c>
      <c r="D570" t="s">
        <v>34</v>
      </c>
      <c r="E570" t="s">
        <v>1713</v>
      </c>
      <c r="F570" t="s">
        <v>766</v>
      </c>
      <c r="G570" t="s">
        <v>671</v>
      </c>
      <c r="H570" t="s">
        <v>1986</v>
      </c>
      <c r="I570" t="s">
        <v>27</v>
      </c>
      <c r="J570" t="s">
        <v>2599</v>
      </c>
    </row>
    <row r="571" spans="1:10" hidden="1" x14ac:dyDescent="0.35">
      <c r="A571">
        <v>428</v>
      </c>
      <c r="B571" s="19" t="s">
        <v>2600</v>
      </c>
      <c r="C571" t="s">
        <v>766</v>
      </c>
      <c r="D571" t="s">
        <v>34</v>
      </c>
      <c r="E571" t="s">
        <v>1713</v>
      </c>
      <c r="F571" t="s">
        <v>766</v>
      </c>
      <c r="G571" t="s">
        <v>671</v>
      </c>
      <c r="H571" t="s">
        <v>1986</v>
      </c>
      <c r="I571" t="s">
        <v>27</v>
      </c>
      <c r="J571" t="s">
        <v>2599</v>
      </c>
    </row>
    <row r="572" spans="1:10" hidden="1" x14ac:dyDescent="0.35">
      <c r="A572">
        <v>428</v>
      </c>
      <c r="B572" s="63" t="s">
        <v>2601</v>
      </c>
      <c r="C572" t="s">
        <v>766</v>
      </c>
      <c r="E572" t="s">
        <v>1713</v>
      </c>
      <c r="F572" t="s">
        <v>766</v>
      </c>
      <c r="G572" t="s">
        <v>671</v>
      </c>
      <c r="H572" t="s">
        <v>1986</v>
      </c>
      <c r="I572" t="s">
        <v>27</v>
      </c>
      <c r="J572" t="s">
        <v>2599</v>
      </c>
    </row>
    <row r="573" spans="1:10" hidden="1" x14ac:dyDescent="0.35">
      <c r="A573">
        <v>428</v>
      </c>
      <c r="B573" t="s">
        <v>2602</v>
      </c>
      <c r="C573" t="s">
        <v>766</v>
      </c>
      <c r="D573" t="s">
        <v>34</v>
      </c>
      <c r="E573" t="s">
        <v>1713</v>
      </c>
      <c r="F573" t="s">
        <v>766</v>
      </c>
      <c r="G573" t="s">
        <v>671</v>
      </c>
      <c r="H573" t="s">
        <v>1986</v>
      </c>
      <c r="I573" t="s">
        <v>27</v>
      </c>
      <c r="J573" t="s">
        <v>2599</v>
      </c>
    </row>
    <row r="574" spans="1:10" hidden="1" x14ac:dyDescent="0.35">
      <c r="A574">
        <v>428</v>
      </c>
      <c r="B574" t="s">
        <v>2603</v>
      </c>
      <c r="C574" t="s">
        <v>766</v>
      </c>
      <c r="D574" t="s">
        <v>34</v>
      </c>
      <c r="E574" t="s">
        <v>1713</v>
      </c>
      <c r="F574" t="s">
        <v>766</v>
      </c>
      <c r="G574" t="s">
        <v>671</v>
      </c>
      <c r="H574" t="s">
        <v>1986</v>
      </c>
      <c r="I574" t="s">
        <v>27</v>
      </c>
      <c r="J574" t="s">
        <v>2599</v>
      </c>
    </row>
    <row r="575" spans="1:10" hidden="1" x14ac:dyDescent="0.35">
      <c r="A575">
        <v>428</v>
      </c>
      <c r="B575" t="s">
        <v>2604</v>
      </c>
      <c r="C575" t="s">
        <v>766</v>
      </c>
      <c r="D575" t="s">
        <v>2605</v>
      </c>
      <c r="E575" t="s">
        <v>1713</v>
      </c>
      <c r="F575" t="s">
        <v>766</v>
      </c>
      <c r="G575" t="s">
        <v>671</v>
      </c>
      <c r="H575" t="s">
        <v>1986</v>
      </c>
      <c r="I575" t="s">
        <v>27</v>
      </c>
      <c r="J575" t="s">
        <v>2599</v>
      </c>
    </row>
    <row r="576" spans="1:10" hidden="1" x14ac:dyDescent="0.35">
      <c r="A576">
        <v>432</v>
      </c>
      <c r="B576" s="19" t="s">
        <v>2204</v>
      </c>
      <c r="C576" t="s">
        <v>1374</v>
      </c>
      <c r="D576" t="s">
        <v>34</v>
      </c>
      <c r="E576" t="s">
        <v>1713</v>
      </c>
      <c r="F576" t="s">
        <v>1374</v>
      </c>
      <c r="G576" t="s">
        <v>120</v>
      </c>
      <c r="H576" t="s">
        <v>2606</v>
      </c>
      <c r="I576" t="s">
        <v>266</v>
      </c>
      <c r="J576" t="s">
        <v>1548</v>
      </c>
    </row>
    <row r="577" spans="1:10" hidden="1" x14ac:dyDescent="0.35">
      <c r="A577">
        <v>432</v>
      </c>
      <c r="B577" s="19" t="s">
        <v>2099</v>
      </c>
      <c r="C577" t="s">
        <v>766</v>
      </c>
      <c r="D577" t="s">
        <v>34</v>
      </c>
      <c r="E577" t="s">
        <v>1713</v>
      </c>
      <c r="F577" t="s">
        <v>137</v>
      </c>
      <c r="G577" t="s">
        <v>120</v>
      </c>
      <c r="H577" t="s">
        <v>2606</v>
      </c>
      <c r="I577" t="s">
        <v>266</v>
      </c>
      <c r="J577" t="s">
        <v>1548</v>
      </c>
    </row>
    <row r="578" spans="1:10" hidden="1" x14ac:dyDescent="0.35">
      <c r="A578">
        <v>432</v>
      </c>
      <c r="B578" s="59" t="s">
        <v>2607</v>
      </c>
      <c r="C578" t="s">
        <v>1374</v>
      </c>
      <c r="D578" t="s">
        <v>2608</v>
      </c>
      <c r="E578" t="s">
        <v>1713</v>
      </c>
      <c r="F578" t="s">
        <v>1374</v>
      </c>
      <c r="G578" t="s">
        <v>120</v>
      </c>
      <c r="H578" t="s">
        <v>2606</v>
      </c>
      <c r="I578" t="s">
        <v>266</v>
      </c>
      <c r="J578" t="s">
        <v>1548</v>
      </c>
    </row>
    <row r="579" spans="1:10" hidden="1" x14ac:dyDescent="0.35">
      <c r="A579">
        <v>432</v>
      </c>
      <c r="B579" s="17" t="s">
        <v>2242</v>
      </c>
      <c r="C579" t="s">
        <v>1374</v>
      </c>
      <c r="D579" t="s">
        <v>2511</v>
      </c>
      <c r="E579" t="s">
        <v>1713</v>
      </c>
      <c r="F579" t="s">
        <v>1374</v>
      </c>
      <c r="G579" t="s">
        <v>120</v>
      </c>
      <c r="H579" t="s">
        <v>2606</v>
      </c>
      <c r="I579" t="s">
        <v>266</v>
      </c>
      <c r="J579" t="s">
        <v>1548</v>
      </c>
    </row>
    <row r="580" spans="1:10" hidden="1" x14ac:dyDescent="0.35">
      <c r="A580">
        <v>432</v>
      </c>
      <c r="B580" s="7" t="s">
        <v>2202</v>
      </c>
      <c r="C580" t="s">
        <v>766</v>
      </c>
      <c r="D580" t="s">
        <v>34</v>
      </c>
      <c r="E580" t="s">
        <v>1713</v>
      </c>
      <c r="F580" t="s">
        <v>1374</v>
      </c>
      <c r="G580" t="s">
        <v>120</v>
      </c>
      <c r="H580" t="s">
        <v>2606</v>
      </c>
      <c r="I580" t="s">
        <v>266</v>
      </c>
      <c r="J580" t="s">
        <v>1548</v>
      </c>
    </row>
    <row r="581" spans="1:10" hidden="1" x14ac:dyDescent="0.35">
      <c r="A581">
        <v>432</v>
      </c>
      <c r="B581" s="7" t="s">
        <v>2203</v>
      </c>
      <c r="C581" t="s">
        <v>766</v>
      </c>
      <c r="D581" t="s">
        <v>2117</v>
      </c>
      <c r="E581" t="s">
        <v>1713</v>
      </c>
      <c r="F581" t="s">
        <v>1374</v>
      </c>
      <c r="G581" t="s">
        <v>120</v>
      </c>
      <c r="H581" t="s">
        <v>2606</v>
      </c>
      <c r="I581" t="s">
        <v>266</v>
      </c>
      <c r="J581" t="s">
        <v>1548</v>
      </c>
    </row>
    <row r="582" spans="1:10" hidden="1" x14ac:dyDescent="0.35">
      <c r="A582">
        <v>432</v>
      </c>
      <c r="B582" t="s">
        <v>2609</v>
      </c>
      <c r="C582" t="s">
        <v>1374</v>
      </c>
      <c r="D582" t="s">
        <v>34</v>
      </c>
      <c r="E582" t="s">
        <v>1713</v>
      </c>
      <c r="F582" t="s">
        <v>1374</v>
      </c>
      <c r="G582" t="s">
        <v>120</v>
      </c>
      <c r="H582" t="s">
        <v>2606</v>
      </c>
      <c r="I582" t="s">
        <v>266</v>
      </c>
      <c r="J582" t="s">
        <v>1548</v>
      </c>
    </row>
    <row r="583" spans="1:10" hidden="1" x14ac:dyDescent="0.35">
      <c r="A583">
        <v>432</v>
      </c>
      <c r="B583" s="67" t="s">
        <v>2206</v>
      </c>
      <c r="C583" t="s">
        <v>137</v>
      </c>
      <c r="D583" t="s">
        <v>2610</v>
      </c>
      <c r="E583" t="s">
        <v>1713</v>
      </c>
      <c r="F583" t="s">
        <v>137</v>
      </c>
      <c r="G583" t="s">
        <v>120</v>
      </c>
      <c r="H583" t="s">
        <v>2606</v>
      </c>
      <c r="I583" t="s">
        <v>266</v>
      </c>
      <c r="J583" t="s">
        <v>1548</v>
      </c>
    </row>
    <row r="584" spans="1:10" hidden="1" x14ac:dyDescent="0.35">
      <c r="A584">
        <v>432</v>
      </c>
      <c r="B584" s="17" t="s">
        <v>1832</v>
      </c>
      <c r="C584" t="s">
        <v>137</v>
      </c>
      <c r="D584" t="s">
        <v>2611</v>
      </c>
      <c r="E584" t="s">
        <v>1713</v>
      </c>
      <c r="F584" t="s">
        <v>137</v>
      </c>
      <c r="G584" t="s">
        <v>120</v>
      </c>
      <c r="H584" t="s">
        <v>2606</v>
      </c>
      <c r="I584" t="s">
        <v>266</v>
      </c>
      <c r="J584" t="s">
        <v>1548</v>
      </c>
    </row>
    <row r="585" spans="1:10" hidden="1" x14ac:dyDescent="0.35">
      <c r="A585">
        <v>435</v>
      </c>
      <c r="B585" s="2" t="s">
        <v>1742</v>
      </c>
      <c r="C585" t="s">
        <v>766</v>
      </c>
      <c r="E585" t="s">
        <v>1713</v>
      </c>
      <c r="F585" t="s">
        <v>766</v>
      </c>
      <c r="G585" t="s">
        <v>120</v>
      </c>
      <c r="H585" t="s">
        <v>1613</v>
      </c>
      <c r="I585" t="s">
        <v>27</v>
      </c>
      <c r="J585" t="s">
        <v>2612</v>
      </c>
    </row>
    <row r="586" spans="1:10" hidden="1" x14ac:dyDescent="0.35">
      <c r="A586">
        <v>435</v>
      </c>
      <c r="B586" s="59" t="s">
        <v>2508</v>
      </c>
      <c r="C586" t="s">
        <v>1374</v>
      </c>
      <c r="D586" t="s">
        <v>34</v>
      </c>
      <c r="E586" t="s">
        <v>1713</v>
      </c>
      <c r="F586" t="s">
        <v>1374</v>
      </c>
      <c r="G586" t="s">
        <v>120</v>
      </c>
      <c r="H586" t="s">
        <v>1613</v>
      </c>
      <c r="I586" t="s">
        <v>27</v>
      </c>
      <c r="J586" t="s">
        <v>2612</v>
      </c>
    </row>
    <row r="587" spans="1:10" hidden="1" x14ac:dyDescent="0.35">
      <c r="A587">
        <v>435</v>
      </c>
      <c r="B587" s="19" t="s">
        <v>2613</v>
      </c>
      <c r="C587" t="s">
        <v>766</v>
      </c>
      <c r="D587" t="s">
        <v>34</v>
      </c>
      <c r="E587" t="s">
        <v>1713</v>
      </c>
      <c r="F587" t="s">
        <v>766</v>
      </c>
      <c r="G587" t="s">
        <v>120</v>
      </c>
      <c r="H587" t="s">
        <v>1613</v>
      </c>
      <c r="I587" t="s">
        <v>27</v>
      </c>
      <c r="J587" t="s">
        <v>2612</v>
      </c>
    </row>
    <row r="588" spans="1:10" hidden="1" x14ac:dyDescent="0.35">
      <c r="A588">
        <v>435</v>
      </c>
      <c r="B588" s="7" t="s">
        <v>1784</v>
      </c>
      <c r="C588" t="s">
        <v>766</v>
      </c>
      <c r="D588" t="s">
        <v>34</v>
      </c>
      <c r="E588" t="s">
        <v>1713</v>
      </c>
      <c r="F588" t="s">
        <v>766</v>
      </c>
      <c r="G588" t="s">
        <v>120</v>
      </c>
      <c r="H588" t="s">
        <v>1613</v>
      </c>
      <c r="I588" t="s">
        <v>27</v>
      </c>
      <c r="J588" t="s">
        <v>2612</v>
      </c>
    </row>
    <row r="589" spans="1:10" hidden="1" x14ac:dyDescent="0.35">
      <c r="A589">
        <v>435</v>
      </c>
      <c r="B589" s="63" t="s">
        <v>1785</v>
      </c>
      <c r="C589" t="s">
        <v>766</v>
      </c>
      <c r="E589" t="s">
        <v>1713</v>
      </c>
      <c r="F589" t="s">
        <v>766</v>
      </c>
      <c r="G589" t="s">
        <v>120</v>
      </c>
      <c r="H589" t="s">
        <v>1613</v>
      </c>
      <c r="I589" t="s">
        <v>27</v>
      </c>
      <c r="J589" t="s">
        <v>2612</v>
      </c>
    </row>
    <row r="590" spans="1:10" hidden="1" x14ac:dyDescent="0.35">
      <c r="A590">
        <v>435</v>
      </c>
      <c r="B590" s="19" t="s">
        <v>2614</v>
      </c>
      <c r="C590" t="s">
        <v>766</v>
      </c>
      <c r="D590" t="s">
        <v>34</v>
      </c>
      <c r="E590" t="s">
        <v>1713</v>
      </c>
      <c r="F590" t="s">
        <v>137</v>
      </c>
      <c r="G590" t="s">
        <v>120</v>
      </c>
      <c r="H590" t="s">
        <v>1613</v>
      </c>
      <c r="I590" t="s">
        <v>27</v>
      </c>
      <c r="J590" t="s">
        <v>2612</v>
      </c>
    </row>
    <row r="591" spans="1:10" hidden="1" x14ac:dyDescent="0.35">
      <c r="A591">
        <v>435</v>
      </c>
      <c r="B591" s="43" t="s">
        <v>2615</v>
      </c>
      <c r="C591" t="s">
        <v>137</v>
      </c>
      <c r="D591" t="s">
        <v>2616</v>
      </c>
      <c r="E591" t="s">
        <v>1713</v>
      </c>
      <c r="F591" t="s">
        <v>137</v>
      </c>
      <c r="G591" t="s">
        <v>120</v>
      </c>
      <c r="H591" t="s">
        <v>1613</v>
      </c>
      <c r="I591" t="s">
        <v>27</v>
      </c>
      <c r="J591" t="s">
        <v>2612</v>
      </c>
    </row>
    <row r="592" spans="1:10" hidden="1" x14ac:dyDescent="0.35">
      <c r="A592">
        <v>435</v>
      </c>
      <c r="B592" s="43" t="s">
        <v>2617</v>
      </c>
      <c r="C592" t="s">
        <v>137</v>
      </c>
      <c r="D592" t="s">
        <v>2616</v>
      </c>
      <c r="E592" t="s">
        <v>1713</v>
      </c>
      <c r="F592" t="s">
        <v>137</v>
      </c>
      <c r="G592" t="s">
        <v>120</v>
      </c>
      <c r="H592" t="s">
        <v>1613</v>
      </c>
      <c r="I592" t="s">
        <v>27</v>
      </c>
      <c r="J592" t="s">
        <v>2612</v>
      </c>
    </row>
    <row r="593" spans="1:10" hidden="1" x14ac:dyDescent="0.35">
      <c r="A593">
        <v>435</v>
      </c>
      <c r="B593" s="67" t="s">
        <v>2618</v>
      </c>
      <c r="C593" t="s">
        <v>137</v>
      </c>
      <c r="D593" t="s">
        <v>2619</v>
      </c>
      <c r="E593" t="s">
        <v>1713</v>
      </c>
      <c r="F593" t="s">
        <v>137</v>
      </c>
      <c r="G593" t="s">
        <v>120</v>
      </c>
      <c r="H593" t="s">
        <v>1613</v>
      </c>
      <c r="I593" t="s">
        <v>27</v>
      </c>
      <c r="J593" t="s">
        <v>2612</v>
      </c>
    </row>
    <row r="594" spans="1:10" hidden="1" x14ac:dyDescent="0.35">
      <c r="A594">
        <v>435</v>
      </c>
      <c r="B594" s="67" t="s">
        <v>2534</v>
      </c>
      <c r="C594" t="s">
        <v>137</v>
      </c>
      <c r="D594" t="s">
        <v>2620</v>
      </c>
      <c r="E594" t="s">
        <v>1713</v>
      </c>
      <c r="F594" t="s">
        <v>137</v>
      </c>
      <c r="G594" t="s">
        <v>120</v>
      </c>
      <c r="H594" t="s">
        <v>1613</v>
      </c>
      <c r="I594" t="s">
        <v>27</v>
      </c>
      <c r="J594" t="s">
        <v>2612</v>
      </c>
    </row>
    <row r="595" spans="1:10" hidden="1" x14ac:dyDescent="0.35">
      <c r="A595">
        <v>435</v>
      </c>
      <c r="B595" s="67" t="s">
        <v>2621</v>
      </c>
      <c r="C595" t="s">
        <v>137</v>
      </c>
      <c r="D595" t="s">
        <v>2620</v>
      </c>
      <c r="E595" t="s">
        <v>1713</v>
      </c>
      <c r="F595" t="s">
        <v>137</v>
      </c>
      <c r="G595" t="s">
        <v>120</v>
      </c>
      <c r="H595" t="s">
        <v>1613</v>
      </c>
      <c r="I595" t="s">
        <v>27</v>
      </c>
      <c r="J595" t="s">
        <v>2612</v>
      </c>
    </row>
    <row r="596" spans="1:10" hidden="1" x14ac:dyDescent="0.35">
      <c r="A596">
        <v>435</v>
      </c>
      <c r="B596" s="67" t="s">
        <v>2622</v>
      </c>
      <c r="C596" t="s">
        <v>137</v>
      </c>
      <c r="D596" t="s">
        <v>2620</v>
      </c>
      <c r="E596" t="s">
        <v>1713</v>
      </c>
      <c r="F596" t="s">
        <v>137</v>
      </c>
      <c r="G596" t="s">
        <v>120</v>
      </c>
      <c r="H596" t="s">
        <v>1613</v>
      </c>
      <c r="I596" t="s">
        <v>27</v>
      </c>
      <c r="J596" t="s">
        <v>2612</v>
      </c>
    </row>
    <row r="597" spans="1:10" hidden="1" x14ac:dyDescent="0.35">
      <c r="A597">
        <v>435</v>
      </c>
      <c r="B597" s="67" t="s">
        <v>2536</v>
      </c>
      <c r="C597" t="s">
        <v>137</v>
      </c>
      <c r="D597" t="s">
        <v>2620</v>
      </c>
      <c r="E597" t="s">
        <v>1713</v>
      </c>
      <c r="F597" t="s">
        <v>137</v>
      </c>
      <c r="G597" t="s">
        <v>120</v>
      </c>
      <c r="H597" t="s">
        <v>1613</v>
      </c>
      <c r="I597" t="s">
        <v>27</v>
      </c>
      <c r="J597" t="s">
        <v>2612</v>
      </c>
    </row>
    <row r="598" spans="1:10" hidden="1" x14ac:dyDescent="0.35">
      <c r="A598">
        <v>435</v>
      </c>
      <c r="B598" s="67" t="s">
        <v>2623</v>
      </c>
      <c r="C598" t="s">
        <v>137</v>
      </c>
      <c r="D598" t="s">
        <v>2620</v>
      </c>
      <c r="E598" t="s">
        <v>1713</v>
      </c>
      <c r="F598" t="s">
        <v>137</v>
      </c>
      <c r="G598" t="s">
        <v>120</v>
      </c>
      <c r="H598" t="s">
        <v>1613</v>
      </c>
      <c r="I598" t="s">
        <v>27</v>
      </c>
      <c r="J598" t="s">
        <v>2612</v>
      </c>
    </row>
    <row r="599" spans="1:10" hidden="1" x14ac:dyDescent="0.35">
      <c r="A599">
        <v>435</v>
      </c>
      <c r="B599" s="67" t="s">
        <v>2624</v>
      </c>
      <c r="C599" t="s">
        <v>137</v>
      </c>
      <c r="D599" t="s">
        <v>2620</v>
      </c>
      <c r="E599" t="s">
        <v>1713</v>
      </c>
      <c r="F599" t="s">
        <v>137</v>
      </c>
      <c r="G599" t="s">
        <v>120</v>
      </c>
      <c r="H599" t="s">
        <v>1613</v>
      </c>
      <c r="I599" t="s">
        <v>27</v>
      </c>
      <c r="J599" t="s">
        <v>2612</v>
      </c>
    </row>
    <row r="600" spans="1:10" hidden="1" x14ac:dyDescent="0.35">
      <c r="A600">
        <v>435</v>
      </c>
      <c r="B600" s="67" t="s">
        <v>2625</v>
      </c>
      <c r="C600" t="s">
        <v>137</v>
      </c>
      <c r="D600" t="s">
        <v>2620</v>
      </c>
      <c r="E600" t="s">
        <v>1713</v>
      </c>
      <c r="F600" t="s">
        <v>137</v>
      </c>
      <c r="G600" t="s">
        <v>120</v>
      </c>
      <c r="H600" t="s">
        <v>1613</v>
      </c>
      <c r="I600" t="s">
        <v>27</v>
      </c>
      <c r="J600" t="s">
        <v>2612</v>
      </c>
    </row>
    <row r="601" spans="1:10" hidden="1" x14ac:dyDescent="0.35">
      <c r="A601">
        <v>435</v>
      </c>
      <c r="B601" s="67" t="s">
        <v>2626</v>
      </c>
      <c r="C601" t="s">
        <v>137</v>
      </c>
      <c r="D601" t="s">
        <v>1552</v>
      </c>
      <c r="E601" t="s">
        <v>1713</v>
      </c>
      <c r="F601" t="s">
        <v>137</v>
      </c>
      <c r="G601" t="s">
        <v>120</v>
      </c>
      <c r="H601" t="s">
        <v>1613</v>
      </c>
      <c r="I601" t="s">
        <v>27</v>
      </c>
      <c r="J601" t="s">
        <v>2612</v>
      </c>
    </row>
    <row r="602" spans="1:10" hidden="1" x14ac:dyDescent="0.35">
      <c r="A602">
        <v>435</v>
      </c>
      <c r="B602" s="43" t="s">
        <v>2627</v>
      </c>
      <c r="C602" t="s">
        <v>137</v>
      </c>
      <c r="D602" t="s">
        <v>34</v>
      </c>
      <c r="E602" t="s">
        <v>1713</v>
      </c>
      <c r="F602" t="s">
        <v>137</v>
      </c>
      <c r="G602" t="s">
        <v>120</v>
      </c>
      <c r="H602" t="s">
        <v>1613</v>
      </c>
      <c r="I602" t="s">
        <v>27</v>
      </c>
      <c r="J602" t="s">
        <v>2612</v>
      </c>
    </row>
    <row r="603" spans="1:10" hidden="1" x14ac:dyDescent="0.35">
      <c r="A603">
        <v>448</v>
      </c>
      <c r="B603" s="19" t="s">
        <v>1738</v>
      </c>
      <c r="C603" t="s">
        <v>766</v>
      </c>
      <c r="D603" t="s">
        <v>34</v>
      </c>
      <c r="E603" t="s">
        <v>1713</v>
      </c>
      <c r="F603" t="s">
        <v>766</v>
      </c>
      <c r="G603" t="s">
        <v>671</v>
      </c>
      <c r="H603" t="s">
        <v>872</v>
      </c>
      <c r="I603" t="s">
        <v>27</v>
      </c>
      <c r="J603" t="s">
        <v>2628</v>
      </c>
    </row>
    <row r="604" spans="1:10" hidden="1" x14ac:dyDescent="0.35">
      <c r="A604">
        <v>448</v>
      </c>
      <c r="B604" s="19" t="s">
        <v>2613</v>
      </c>
      <c r="C604" t="s">
        <v>766</v>
      </c>
      <c r="D604" t="s">
        <v>34</v>
      </c>
      <c r="E604" t="s">
        <v>1713</v>
      </c>
      <c r="F604" t="s">
        <v>766</v>
      </c>
      <c r="G604" t="s">
        <v>671</v>
      </c>
      <c r="H604" t="s">
        <v>872</v>
      </c>
      <c r="I604" t="s">
        <v>27</v>
      </c>
      <c r="J604" t="s">
        <v>2628</v>
      </c>
    </row>
    <row r="605" spans="1:10" hidden="1" x14ac:dyDescent="0.35">
      <c r="A605">
        <v>448</v>
      </c>
      <c r="B605" s="7" t="s">
        <v>1784</v>
      </c>
      <c r="C605" t="s">
        <v>766</v>
      </c>
      <c r="D605" t="s">
        <v>34</v>
      </c>
      <c r="E605" t="s">
        <v>1713</v>
      </c>
      <c r="F605" t="s">
        <v>766</v>
      </c>
      <c r="G605" t="s">
        <v>671</v>
      </c>
      <c r="H605" t="s">
        <v>872</v>
      </c>
      <c r="I605" t="s">
        <v>27</v>
      </c>
      <c r="J605" t="s">
        <v>2628</v>
      </c>
    </row>
    <row r="606" spans="1:10" hidden="1" x14ac:dyDescent="0.35">
      <c r="A606">
        <v>448</v>
      </c>
      <c r="B606" s="6" t="s">
        <v>2629</v>
      </c>
      <c r="C606" t="s">
        <v>766</v>
      </c>
      <c r="D606" t="s">
        <v>2630</v>
      </c>
      <c r="E606" t="s">
        <v>1713</v>
      </c>
      <c r="F606" t="s">
        <v>766</v>
      </c>
      <c r="G606" t="s">
        <v>671</v>
      </c>
      <c r="H606" t="s">
        <v>872</v>
      </c>
      <c r="I606" t="s">
        <v>27</v>
      </c>
      <c r="J606" t="s">
        <v>2628</v>
      </c>
    </row>
    <row r="607" spans="1:10" hidden="1" x14ac:dyDescent="0.35">
      <c r="A607">
        <v>448</v>
      </c>
      <c r="B607" s="6" t="s">
        <v>2631</v>
      </c>
      <c r="C607" t="s">
        <v>766</v>
      </c>
      <c r="D607" t="s">
        <v>2632</v>
      </c>
      <c r="E607" t="s">
        <v>1713</v>
      </c>
      <c r="F607" t="s">
        <v>766</v>
      </c>
      <c r="G607" t="s">
        <v>671</v>
      </c>
      <c r="H607" t="s">
        <v>872</v>
      </c>
      <c r="I607" t="s">
        <v>27</v>
      </c>
      <c r="J607" t="s">
        <v>2628</v>
      </c>
    </row>
    <row r="608" spans="1:10" hidden="1" x14ac:dyDescent="0.35">
      <c r="A608">
        <v>448</v>
      </c>
      <c r="B608" s="7" t="s">
        <v>2633</v>
      </c>
      <c r="C608" t="s">
        <v>766</v>
      </c>
      <c r="D608" t="s">
        <v>2634</v>
      </c>
      <c r="E608" t="s">
        <v>1713</v>
      </c>
      <c r="F608" t="s">
        <v>766</v>
      </c>
      <c r="G608" t="s">
        <v>671</v>
      </c>
      <c r="H608" t="s">
        <v>872</v>
      </c>
      <c r="I608" t="s">
        <v>27</v>
      </c>
      <c r="J608" t="s">
        <v>2628</v>
      </c>
    </row>
    <row r="609" spans="1:10" hidden="1" x14ac:dyDescent="0.35">
      <c r="A609">
        <v>448</v>
      </c>
      <c r="B609" s="17" t="s">
        <v>2635</v>
      </c>
      <c r="C609" t="s">
        <v>137</v>
      </c>
      <c r="D609" t="s">
        <v>2636</v>
      </c>
      <c r="E609" t="s">
        <v>1713</v>
      </c>
      <c r="F609" t="s">
        <v>137</v>
      </c>
      <c r="G609" t="s">
        <v>671</v>
      </c>
      <c r="H609" t="s">
        <v>872</v>
      </c>
      <c r="I609" t="s">
        <v>27</v>
      </c>
      <c r="J609" t="s">
        <v>2628</v>
      </c>
    </row>
    <row r="610" spans="1:10" hidden="1" x14ac:dyDescent="0.35">
      <c r="A610">
        <v>448</v>
      </c>
      <c r="B610" s="17" t="s">
        <v>2637</v>
      </c>
      <c r="C610" t="s">
        <v>137</v>
      </c>
      <c r="D610" t="s">
        <v>2638</v>
      </c>
      <c r="E610" t="s">
        <v>1713</v>
      </c>
      <c r="F610" t="s">
        <v>137</v>
      </c>
      <c r="G610" t="s">
        <v>671</v>
      </c>
      <c r="H610" t="s">
        <v>872</v>
      </c>
      <c r="I610" t="s">
        <v>27</v>
      </c>
      <c r="J610" t="s">
        <v>2628</v>
      </c>
    </row>
    <row r="611" spans="1:10" hidden="1" x14ac:dyDescent="0.35">
      <c r="A611">
        <v>448</v>
      </c>
      <c r="B611" s="6" t="s">
        <v>2639</v>
      </c>
      <c r="C611" t="s">
        <v>766</v>
      </c>
      <c r="D611" t="s">
        <v>2640</v>
      </c>
      <c r="E611" t="s">
        <v>1713</v>
      </c>
      <c r="F611" t="s">
        <v>766</v>
      </c>
      <c r="G611" t="s">
        <v>671</v>
      </c>
      <c r="H611" t="s">
        <v>872</v>
      </c>
      <c r="I611" t="s">
        <v>27</v>
      </c>
      <c r="J611" t="s">
        <v>2628</v>
      </c>
    </row>
    <row r="612" spans="1:10" hidden="1" x14ac:dyDescent="0.35">
      <c r="A612">
        <v>448</v>
      </c>
      <c r="B612" s="6" t="s">
        <v>2641</v>
      </c>
      <c r="C612" t="s">
        <v>766</v>
      </c>
      <c r="D612" t="s">
        <v>2642</v>
      </c>
      <c r="E612" t="s">
        <v>1713</v>
      </c>
      <c r="F612" t="s">
        <v>766</v>
      </c>
      <c r="G612" t="s">
        <v>671</v>
      </c>
      <c r="H612" t="s">
        <v>872</v>
      </c>
      <c r="I612" t="s">
        <v>27</v>
      </c>
      <c r="J612" t="s">
        <v>2628</v>
      </c>
    </row>
    <row r="613" spans="1:10" hidden="1" x14ac:dyDescent="0.35">
      <c r="A613">
        <v>448</v>
      </c>
      <c r="B613" s="67" t="s">
        <v>2643</v>
      </c>
      <c r="C613" t="s">
        <v>137</v>
      </c>
      <c r="D613" t="s">
        <v>2644</v>
      </c>
      <c r="E613" t="s">
        <v>1713</v>
      </c>
      <c r="F613" t="s">
        <v>137</v>
      </c>
      <c r="G613" t="s">
        <v>671</v>
      </c>
      <c r="H613" t="s">
        <v>872</v>
      </c>
      <c r="I613" t="s">
        <v>27</v>
      </c>
      <c r="J613" t="s">
        <v>2628</v>
      </c>
    </row>
    <row r="614" spans="1:10" hidden="1" x14ac:dyDescent="0.35">
      <c r="A614">
        <v>448</v>
      </c>
      <c r="B614" s="67" t="s">
        <v>2645</v>
      </c>
      <c r="C614" t="s">
        <v>137</v>
      </c>
      <c r="D614" t="s">
        <v>2646</v>
      </c>
      <c r="E614" t="s">
        <v>1713</v>
      </c>
      <c r="F614" t="s">
        <v>137</v>
      </c>
      <c r="G614" t="s">
        <v>671</v>
      </c>
      <c r="H614" t="s">
        <v>872</v>
      </c>
      <c r="I614" t="s">
        <v>27</v>
      </c>
      <c r="J614" t="s">
        <v>2628</v>
      </c>
    </row>
    <row r="615" spans="1:10" hidden="1" x14ac:dyDescent="0.35">
      <c r="A615">
        <v>448</v>
      </c>
      <c r="B615" s="59" t="s">
        <v>2647</v>
      </c>
      <c r="C615" t="s">
        <v>1374</v>
      </c>
      <c r="D615" t="s">
        <v>2636</v>
      </c>
      <c r="E615" t="s">
        <v>1713</v>
      </c>
      <c r="F615" t="s">
        <v>1374</v>
      </c>
      <c r="G615" t="s">
        <v>671</v>
      </c>
      <c r="H615" t="s">
        <v>872</v>
      </c>
      <c r="I615" t="s">
        <v>27</v>
      </c>
      <c r="J615" t="s">
        <v>2628</v>
      </c>
    </row>
    <row r="616" spans="1:10" hidden="1" x14ac:dyDescent="0.35">
      <c r="A616">
        <v>448</v>
      </c>
      <c r="B616" s="7" t="s">
        <v>2648</v>
      </c>
      <c r="C616" t="s">
        <v>766</v>
      </c>
      <c r="D616" t="s">
        <v>2638</v>
      </c>
      <c r="E616" t="s">
        <v>1713</v>
      </c>
      <c r="F616" t="s">
        <v>766</v>
      </c>
      <c r="G616" t="s">
        <v>671</v>
      </c>
      <c r="H616" t="s">
        <v>872</v>
      </c>
      <c r="I616" t="s">
        <v>27</v>
      </c>
      <c r="J616" t="s">
        <v>2628</v>
      </c>
    </row>
    <row r="617" spans="1:10" hidden="1" x14ac:dyDescent="0.35">
      <c r="A617">
        <v>448</v>
      </c>
      <c r="B617" s="63" t="s">
        <v>1785</v>
      </c>
      <c r="C617" t="s">
        <v>766</v>
      </c>
      <c r="E617" t="s">
        <v>1713</v>
      </c>
      <c r="F617" t="s">
        <v>766</v>
      </c>
      <c r="G617" t="s">
        <v>671</v>
      </c>
      <c r="H617" t="s">
        <v>872</v>
      </c>
      <c r="I617" t="s">
        <v>27</v>
      </c>
      <c r="J617" t="s">
        <v>2628</v>
      </c>
    </row>
    <row r="618" spans="1:10" hidden="1" x14ac:dyDescent="0.35">
      <c r="A618">
        <v>448</v>
      </c>
      <c r="B618" s="17" t="s">
        <v>2649</v>
      </c>
      <c r="C618" t="s">
        <v>137</v>
      </c>
      <c r="E618" t="s">
        <v>1713</v>
      </c>
      <c r="F618" t="s">
        <v>137</v>
      </c>
      <c r="G618" t="s">
        <v>671</v>
      </c>
      <c r="H618" t="s">
        <v>872</v>
      </c>
      <c r="I618" t="s">
        <v>27</v>
      </c>
      <c r="J618" t="s">
        <v>2628</v>
      </c>
    </row>
    <row r="619" spans="1:10" hidden="1" x14ac:dyDescent="0.35">
      <c r="A619">
        <v>448</v>
      </c>
      <c r="B619" s="43" t="s">
        <v>2650</v>
      </c>
      <c r="C619" t="s">
        <v>137</v>
      </c>
      <c r="D619" t="s">
        <v>2651</v>
      </c>
      <c r="E619" t="s">
        <v>1713</v>
      </c>
      <c r="F619" t="s">
        <v>137</v>
      </c>
      <c r="G619" t="s">
        <v>671</v>
      </c>
      <c r="H619" t="s">
        <v>872</v>
      </c>
      <c r="I619" t="s">
        <v>27</v>
      </c>
      <c r="J619" t="s">
        <v>2628</v>
      </c>
    </row>
    <row r="620" spans="1:10" hidden="1" x14ac:dyDescent="0.35">
      <c r="A620">
        <v>448</v>
      </c>
      <c r="B620" s="43" t="s">
        <v>2652</v>
      </c>
      <c r="C620" t="s">
        <v>137</v>
      </c>
      <c r="D620" t="s">
        <v>2651</v>
      </c>
      <c r="E620" t="s">
        <v>1713</v>
      </c>
      <c r="F620" t="s">
        <v>137</v>
      </c>
      <c r="G620" t="s">
        <v>671</v>
      </c>
      <c r="H620" t="s">
        <v>872</v>
      </c>
      <c r="I620" t="s">
        <v>27</v>
      </c>
      <c r="J620" t="s">
        <v>2628</v>
      </c>
    </row>
    <row r="621" spans="1:10" hidden="1" x14ac:dyDescent="0.35">
      <c r="A621">
        <v>448</v>
      </c>
      <c r="B621" s="43" t="s">
        <v>2653</v>
      </c>
      <c r="C621" t="s">
        <v>137</v>
      </c>
      <c r="D621" t="s">
        <v>2651</v>
      </c>
      <c r="E621" t="s">
        <v>1713</v>
      </c>
      <c r="F621" t="s">
        <v>137</v>
      </c>
      <c r="G621" t="s">
        <v>671</v>
      </c>
      <c r="H621" t="s">
        <v>872</v>
      </c>
      <c r="I621" t="s">
        <v>27</v>
      </c>
      <c r="J621" t="s">
        <v>2628</v>
      </c>
    </row>
    <row r="622" spans="1:10" hidden="1" x14ac:dyDescent="0.35">
      <c r="A622">
        <v>448</v>
      </c>
      <c r="B622" s="43" t="s">
        <v>2654</v>
      </c>
      <c r="C622" t="s">
        <v>137</v>
      </c>
      <c r="D622" t="s">
        <v>2651</v>
      </c>
      <c r="E622" t="s">
        <v>1713</v>
      </c>
      <c r="F622" t="s">
        <v>137</v>
      </c>
      <c r="G622" t="s">
        <v>671</v>
      </c>
      <c r="H622" t="s">
        <v>872</v>
      </c>
      <c r="I622" t="s">
        <v>27</v>
      </c>
      <c r="J622" t="s">
        <v>2628</v>
      </c>
    </row>
    <row r="623" spans="1:10" hidden="1" x14ac:dyDescent="0.35">
      <c r="A623">
        <v>448</v>
      </c>
      <c r="B623" s="43" t="s">
        <v>2655</v>
      </c>
      <c r="C623" t="s">
        <v>137</v>
      </c>
      <c r="D623" t="s">
        <v>2651</v>
      </c>
      <c r="E623" t="s">
        <v>1713</v>
      </c>
      <c r="F623" t="s">
        <v>137</v>
      </c>
      <c r="G623" t="s">
        <v>671</v>
      </c>
      <c r="H623" t="s">
        <v>872</v>
      </c>
      <c r="I623" t="s">
        <v>27</v>
      </c>
      <c r="J623" t="s">
        <v>2628</v>
      </c>
    </row>
    <row r="624" spans="1:10" hidden="1" x14ac:dyDescent="0.35">
      <c r="A624">
        <v>448</v>
      </c>
      <c r="B624" s="43" t="s">
        <v>2656</v>
      </c>
      <c r="C624" t="s">
        <v>137</v>
      </c>
      <c r="D624" t="s">
        <v>2651</v>
      </c>
      <c r="E624" t="s">
        <v>1713</v>
      </c>
      <c r="F624" t="s">
        <v>137</v>
      </c>
      <c r="G624" t="s">
        <v>671</v>
      </c>
      <c r="H624" t="s">
        <v>872</v>
      </c>
      <c r="I624" t="s">
        <v>27</v>
      </c>
      <c r="J624" t="s">
        <v>2628</v>
      </c>
    </row>
    <row r="625" spans="1:10" hidden="1" x14ac:dyDescent="0.35">
      <c r="A625">
        <v>448</v>
      </c>
      <c r="B625" s="43" t="s">
        <v>2657</v>
      </c>
      <c r="C625" t="s">
        <v>137</v>
      </c>
      <c r="E625" t="s">
        <v>1713</v>
      </c>
      <c r="F625" t="s">
        <v>137</v>
      </c>
      <c r="G625" t="s">
        <v>671</v>
      </c>
      <c r="H625" t="s">
        <v>872</v>
      </c>
      <c r="I625" t="s">
        <v>27</v>
      </c>
      <c r="J625" t="s">
        <v>2628</v>
      </c>
    </row>
    <row r="626" spans="1:10" hidden="1" x14ac:dyDescent="0.35">
      <c r="A626">
        <v>448</v>
      </c>
      <c r="B626" s="43" t="s">
        <v>2658</v>
      </c>
      <c r="C626" t="s">
        <v>137</v>
      </c>
      <c r="E626" t="s">
        <v>1713</v>
      </c>
      <c r="F626" t="s">
        <v>137</v>
      </c>
      <c r="G626" t="s">
        <v>671</v>
      </c>
      <c r="H626" t="s">
        <v>872</v>
      </c>
      <c r="I626" t="s">
        <v>27</v>
      </c>
      <c r="J626" t="s">
        <v>2628</v>
      </c>
    </row>
    <row r="627" spans="1:10" hidden="1" x14ac:dyDescent="0.35">
      <c r="A627">
        <v>460</v>
      </c>
      <c r="B627" s="2" t="s">
        <v>1742</v>
      </c>
      <c r="C627" t="s">
        <v>766</v>
      </c>
      <c r="E627" t="s">
        <v>1713</v>
      </c>
      <c r="F627" t="s">
        <v>766</v>
      </c>
      <c r="G627" t="s">
        <v>120</v>
      </c>
      <c r="H627" t="s">
        <v>27</v>
      </c>
      <c r="I627" t="s">
        <v>27</v>
      </c>
      <c r="J627" t="s">
        <v>1558</v>
      </c>
    </row>
    <row r="628" spans="1:10" hidden="1" x14ac:dyDescent="0.35">
      <c r="A628">
        <v>460</v>
      </c>
      <c r="B628" s="19" t="s">
        <v>2229</v>
      </c>
      <c r="C628" t="s">
        <v>766</v>
      </c>
      <c r="D628" t="s">
        <v>34</v>
      </c>
      <c r="E628" t="s">
        <v>1713</v>
      </c>
      <c r="F628" t="s">
        <v>766</v>
      </c>
      <c r="G628" t="s">
        <v>120</v>
      </c>
      <c r="H628" t="s">
        <v>27</v>
      </c>
      <c r="I628" t="s">
        <v>27</v>
      </c>
      <c r="J628" t="s">
        <v>1558</v>
      </c>
    </row>
    <row r="629" spans="1:10" hidden="1" x14ac:dyDescent="0.35">
      <c r="A629">
        <v>460</v>
      </c>
      <c r="B629" s="7" t="s">
        <v>1784</v>
      </c>
      <c r="C629" t="s">
        <v>766</v>
      </c>
      <c r="D629" t="s">
        <v>34</v>
      </c>
      <c r="E629" t="s">
        <v>1713</v>
      </c>
      <c r="F629" t="s">
        <v>766</v>
      </c>
      <c r="G629" t="s">
        <v>120</v>
      </c>
      <c r="H629" t="s">
        <v>27</v>
      </c>
      <c r="I629" t="s">
        <v>27</v>
      </c>
      <c r="J629" t="s">
        <v>1558</v>
      </c>
    </row>
    <row r="630" spans="1:10" hidden="1" x14ac:dyDescent="0.35">
      <c r="A630">
        <v>460</v>
      </c>
      <c r="B630" s="7" t="s">
        <v>2659</v>
      </c>
      <c r="C630" t="s">
        <v>766</v>
      </c>
      <c r="D630" t="s">
        <v>2117</v>
      </c>
      <c r="E630" t="s">
        <v>1713</v>
      </c>
      <c r="F630" t="s">
        <v>766</v>
      </c>
      <c r="G630" t="s">
        <v>120</v>
      </c>
      <c r="H630" t="s">
        <v>27</v>
      </c>
      <c r="I630" t="s">
        <v>27</v>
      </c>
      <c r="J630" t="s">
        <v>1558</v>
      </c>
    </row>
    <row r="631" spans="1:10" hidden="1" x14ac:dyDescent="0.35">
      <c r="A631">
        <v>460</v>
      </c>
      <c r="B631" s="7" t="s">
        <v>2660</v>
      </c>
      <c r="C631" t="s">
        <v>766</v>
      </c>
      <c r="D631" t="s">
        <v>2117</v>
      </c>
      <c r="E631" t="s">
        <v>1713</v>
      </c>
      <c r="F631" t="s">
        <v>766</v>
      </c>
      <c r="G631" t="s">
        <v>120</v>
      </c>
      <c r="H631" t="s">
        <v>27</v>
      </c>
      <c r="I631" t="s">
        <v>27</v>
      </c>
      <c r="J631" t="s">
        <v>1558</v>
      </c>
    </row>
    <row r="632" spans="1:10" hidden="1" x14ac:dyDescent="0.35">
      <c r="A632">
        <v>460</v>
      </c>
      <c r="B632" s="24" t="s">
        <v>2661</v>
      </c>
      <c r="C632" t="s">
        <v>1374</v>
      </c>
      <c r="D632" t="s">
        <v>34</v>
      </c>
      <c r="E632" t="s">
        <v>1713</v>
      </c>
      <c r="F632" t="s">
        <v>1374</v>
      </c>
      <c r="G632" t="s">
        <v>120</v>
      </c>
      <c r="H632" t="s">
        <v>27</v>
      </c>
      <c r="I632" t="s">
        <v>27</v>
      </c>
      <c r="J632" t="s">
        <v>1558</v>
      </c>
    </row>
    <row r="633" spans="1:10" hidden="1" x14ac:dyDescent="0.35">
      <c r="A633">
        <v>460</v>
      </c>
      <c r="B633" s="43" t="s">
        <v>2257</v>
      </c>
      <c r="C633" t="s">
        <v>137</v>
      </c>
      <c r="D633" t="s">
        <v>2662</v>
      </c>
      <c r="E633" t="s">
        <v>1713</v>
      </c>
      <c r="F633" t="s">
        <v>137</v>
      </c>
      <c r="G633" t="s">
        <v>120</v>
      </c>
      <c r="H633" t="s">
        <v>27</v>
      </c>
      <c r="I633" t="s">
        <v>27</v>
      </c>
      <c r="J633" t="s">
        <v>1558</v>
      </c>
    </row>
    <row r="634" spans="1:10" hidden="1" x14ac:dyDescent="0.35">
      <c r="A634">
        <v>460</v>
      </c>
      <c r="B634" s="43" t="s">
        <v>2663</v>
      </c>
      <c r="C634" t="s">
        <v>137</v>
      </c>
      <c r="E634" t="s">
        <v>1713</v>
      </c>
      <c r="F634" t="s">
        <v>137</v>
      </c>
      <c r="G634" t="s">
        <v>120</v>
      </c>
      <c r="H634" t="s">
        <v>27</v>
      </c>
      <c r="I634" t="s">
        <v>27</v>
      </c>
      <c r="J634" t="s">
        <v>2664</v>
      </c>
    </row>
    <row r="635" spans="1:10" hidden="1" x14ac:dyDescent="0.35">
      <c r="A635">
        <v>460</v>
      </c>
      <c r="B635" s="43" t="s">
        <v>2665</v>
      </c>
      <c r="C635" t="s">
        <v>137</v>
      </c>
      <c r="E635" t="s">
        <v>1713</v>
      </c>
      <c r="F635" t="s">
        <v>137</v>
      </c>
      <c r="G635" t="s">
        <v>120</v>
      </c>
      <c r="H635" t="s">
        <v>27</v>
      </c>
      <c r="I635" t="s">
        <v>27</v>
      </c>
      <c r="J635" t="s">
        <v>2664</v>
      </c>
    </row>
    <row r="636" spans="1:10" hidden="1" x14ac:dyDescent="0.35">
      <c r="A636">
        <v>460</v>
      </c>
      <c r="B636" s="43" t="s">
        <v>2666</v>
      </c>
      <c r="C636" t="s">
        <v>137</v>
      </c>
      <c r="D636" t="s">
        <v>34</v>
      </c>
      <c r="E636" t="s">
        <v>1713</v>
      </c>
      <c r="F636" t="s">
        <v>137</v>
      </c>
      <c r="G636" t="s">
        <v>120</v>
      </c>
      <c r="H636" t="s">
        <v>27</v>
      </c>
      <c r="I636" t="s">
        <v>27</v>
      </c>
      <c r="J636" t="s">
        <v>2664</v>
      </c>
    </row>
    <row r="637" spans="1:10" hidden="1" x14ac:dyDescent="0.35">
      <c r="A637">
        <v>462</v>
      </c>
      <c r="B637" s="19" t="s">
        <v>2614</v>
      </c>
      <c r="C637" t="s">
        <v>766</v>
      </c>
      <c r="D637" t="s">
        <v>34</v>
      </c>
      <c r="E637" t="s">
        <v>1713</v>
      </c>
      <c r="F637" t="s">
        <v>137</v>
      </c>
      <c r="G637" t="s">
        <v>362</v>
      </c>
      <c r="H637" t="s">
        <v>2426</v>
      </c>
      <c r="I637" t="s">
        <v>27</v>
      </c>
      <c r="J637" t="s">
        <v>2667</v>
      </c>
    </row>
    <row r="638" spans="1:10" hidden="1" x14ac:dyDescent="0.35">
      <c r="A638">
        <v>462</v>
      </c>
      <c r="B638" s="2" t="s">
        <v>1742</v>
      </c>
      <c r="C638" t="s">
        <v>766</v>
      </c>
      <c r="E638" t="s">
        <v>1713</v>
      </c>
      <c r="F638" t="s">
        <v>766</v>
      </c>
      <c r="G638" t="s">
        <v>362</v>
      </c>
      <c r="H638" t="s">
        <v>2426</v>
      </c>
      <c r="I638" t="s">
        <v>27</v>
      </c>
      <c r="J638" t="s">
        <v>2667</v>
      </c>
    </row>
    <row r="639" spans="1:10" hidden="1" x14ac:dyDescent="0.35">
      <c r="A639">
        <v>462</v>
      </c>
      <c r="B639" s="7" t="s">
        <v>2668</v>
      </c>
      <c r="C639" t="s">
        <v>766</v>
      </c>
      <c r="D639" t="s">
        <v>1751</v>
      </c>
      <c r="E639" t="s">
        <v>1713</v>
      </c>
      <c r="F639" t="s">
        <v>766</v>
      </c>
      <c r="G639" t="s">
        <v>362</v>
      </c>
      <c r="H639" t="s">
        <v>2426</v>
      </c>
      <c r="I639" t="s">
        <v>27</v>
      </c>
      <c r="J639" t="s">
        <v>2667</v>
      </c>
    </row>
    <row r="640" spans="1:10" hidden="1" x14ac:dyDescent="0.35">
      <c r="A640">
        <v>462</v>
      </c>
      <c r="B640" s="7" t="s">
        <v>2669</v>
      </c>
      <c r="C640" t="s">
        <v>766</v>
      </c>
      <c r="D640" t="s">
        <v>1751</v>
      </c>
      <c r="E640" t="s">
        <v>1713</v>
      </c>
      <c r="F640" t="s">
        <v>766</v>
      </c>
      <c r="G640" t="s">
        <v>362</v>
      </c>
      <c r="H640" t="s">
        <v>2426</v>
      </c>
      <c r="I640" t="s">
        <v>27</v>
      </c>
      <c r="J640" t="s">
        <v>2667</v>
      </c>
    </row>
    <row r="641" spans="1:10" hidden="1" x14ac:dyDescent="0.35">
      <c r="A641">
        <v>462</v>
      </c>
      <c r="B641" s="7" t="s">
        <v>2670</v>
      </c>
      <c r="C641" t="s">
        <v>766</v>
      </c>
      <c r="D641" t="s">
        <v>2671</v>
      </c>
      <c r="E641" t="s">
        <v>1713</v>
      </c>
      <c r="F641" t="s">
        <v>766</v>
      </c>
      <c r="G641" t="s">
        <v>362</v>
      </c>
      <c r="H641" t="s">
        <v>2426</v>
      </c>
      <c r="I641" t="s">
        <v>27</v>
      </c>
      <c r="J641" t="s">
        <v>2667</v>
      </c>
    </row>
    <row r="642" spans="1:10" hidden="1" x14ac:dyDescent="0.35">
      <c r="A642">
        <v>462</v>
      </c>
      <c r="B642" s="7" t="s">
        <v>2672</v>
      </c>
      <c r="C642" t="s">
        <v>766</v>
      </c>
      <c r="D642" t="s">
        <v>2671</v>
      </c>
      <c r="E642" t="s">
        <v>1713</v>
      </c>
      <c r="F642" t="s">
        <v>766</v>
      </c>
      <c r="G642" t="s">
        <v>362</v>
      </c>
      <c r="H642" t="s">
        <v>2426</v>
      </c>
      <c r="I642" t="s">
        <v>27</v>
      </c>
      <c r="J642" t="s">
        <v>2667</v>
      </c>
    </row>
    <row r="643" spans="1:10" hidden="1" x14ac:dyDescent="0.35">
      <c r="A643">
        <v>462</v>
      </c>
      <c r="B643" s="7" t="s">
        <v>2262</v>
      </c>
      <c r="C643" t="s">
        <v>766</v>
      </c>
      <c r="D643" t="s">
        <v>34</v>
      </c>
      <c r="E643" t="s">
        <v>1713</v>
      </c>
      <c r="F643" t="s">
        <v>766</v>
      </c>
      <c r="G643" t="s">
        <v>362</v>
      </c>
      <c r="H643" t="s">
        <v>2426</v>
      </c>
      <c r="I643" t="s">
        <v>27</v>
      </c>
      <c r="J643" t="s">
        <v>2667</v>
      </c>
    </row>
    <row r="644" spans="1:10" hidden="1" x14ac:dyDescent="0.35">
      <c r="A644">
        <v>462</v>
      </c>
      <c r="B644" s="43" t="s">
        <v>2673</v>
      </c>
      <c r="C644" t="s">
        <v>137</v>
      </c>
      <c r="D644" t="s">
        <v>840</v>
      </c>
      <c r="E644" t="s">
        <v>1713</v>
      </c>
      <c r="F644" t="s">
        <v>137</v>
      </c>
      <c r="G644" t="s">
        <v>362</v>
      </c>
      <c r="H644" t="s">
        <v>2426</v>
      </c>
      <c r="I644" t="s">
        <v>27</v>
      </c>
      <c r="J644" t="s">
        <v>2674</v>
      </c>
    </row>
    <row r="645" spans="1:10" hidden="1" x14ac:dyDescent="0.35">
      <c r="A645">
        <v>462</v>
      </c>
      <c r="B645" s="43" t="s">
        <v>2675</v>
      </c>
      <c r="C645" t="s">
        <v>137</v>
      </c>
      <c r="D645" t="s">
        <v>1229</v>
      </c>
      <c r="E645" t="s">
        <v>1713</v>
      </c>
      <c r="F645" t="s">
        <v>137</v>
      </c>
      <c r="G645" t="s">
        <v>362</v>
      </c>
      <c r="H645" t="s">
        <v>2426</v>
      </c>
      <c r="I645" t="s">
        <v>27</v>
      </c>
      <c r="J645" t="s">
        <v>2674</v>
      </c>
    </row>
    <row r="646" spans="1:10" hidden="1" x14ac:dyDescent="0.35">
      <c r="A646">
        <v>462</v>
      </c>
      <c r="B646" s="43" t="s">
        <v>2676</v>
      </c>
      <c r="C646" t="s">
        <v>137</v>
      </c>
      <c r="D646" t="s">
        <v>34</v>
      </c>
      <c r="E646" t="s">
        <v>1713</v>
      </c>
      <c r="F646" t="s">
        <v>137</v>
      </c>
      <c r="G646" t="s">
        <v>362</v>
      </c>
      <c r="H646" t="s">
        <v>2426</v>
      </c>
      <c r="I646" t="s">
        <v>27</v>
      </c>
      <c r="J646" t="s">
        <v>2674</v>
      </c>
    </row>
    <row r="647" spans="1:10" hidden="1" x14ac:dyDescent="0.35">
      <c r="A647">
        <v>467</v>
      </c>
      <c r="B647" s="2" t="s">
        <v>1742</v>
      </c>
      <c r="C647" t="s">
        <v>766</v>
      </c>
      <c r="E647" t="s">
        <v>1713</v>
      </c>
      <c r="F647" t="s">
        <v>766</v>
      </c>
      <c r="G647" t="s">
        <v>120</v>
      </c>
      <c r="H647" t="s">
        <v>1877</v>
      </c>
      <c r="I647" t="s">
        <v>348</v>
      </c>
      <c r="J647" t="s">
        <v>357</v>
      </c>
    </row>
    <row r="648" spans="1:10" hidden="1" x14ac:dyDescent="0.35">
      <c r="A648">
        <v>467</v>
      </c>
      <c r="B648" s="19" t="s">
        <v>2614</v>
      </c>
      <c r="C648" t="s">
        <v>766</v>
      </c>
      <c r="D648" t="s">
        <v>34</v>
      </c>
      <c r="E648" t="s">
        <v>1713</v>
      </c>
      <c r="F648" t="s">
        <v>137</v>
      </c>
      <c r="G648" t="s">
        <v>120</v>
      </c>
      <c r="H648" t="s">
        <v>1877</v>
      </c>
      <c r="I648" t="s">
        <v>348</v>
      </c>
      <c r="J648" t="s">
        <v>357</v>
      </c>
    </row>
    <row r="649" spans="1:10" hidden="1" x14ac:dyDescent="0.35">
      <c r="A649">
        <v>467</v>
      </c>
      <c r="B649" s="19" t="s">
        <v>2613</v>
      </c>
      <c r="C649" t="s">
        <v>766</v>
      </c>
      <c r="D649" t="s">
        <v>34</v>
      </c>
      <c r="E649" t="s">
        <v>1713</v>
      </c>
      <c r="F649" t="s">
        <v>766</v>
      </c>
      <c r="G649" t="s">
        <v>120</v>
      </c>
      <c r="H649" t="s">
        <v>1877</v>
      </c>
      <c r="I649" t="s">
        <v>348</v>
      </c>
      <c r="J649" t="s">
        <v>357</v>
      </c>
    </row>
    <row r="650" spans="1:10" hidden="1" x14ac:dyDescent="0.35">
      <c r="A650">
        <v>467</v>
      </c>
      <c r="B650" s="7" t="s">
        <v>1784</v>
      </c>
      <c r="C650" t="s">
        <v>766</v>
      </c>
      <c r="D650" t="s">
        <v>34</v>
      </c>
      <c r="E650" t="s">
        <v>1713</v>
      </c>
      <c r="F650" t="s">
        <v>766</v>
      </c>
      <c r="G650" t="s">
        <v>120</v>
      </c>
      <c r="H650" t="s">
        <v>1877</v>
      </c>
      <c r="I650" t="s">
        <v>348</v>
      </c>
      <c r="J650" t="s">
        <v>357</v>
      </c>
    </row>
    <row r="651" spans="1:10" hidden="1" x14ac:dyDescent="0.35">
      <c r="A651">
        <v>467</v>
      </c>
      <c r="B651" s="7" t="s">
        <v>2629</v>
      </c>
      <c r="C651" t="s">
        <v>766</v>
      </c>
      <c r="D651" t="s">
        <v>1751</v>
      </c>
      <c r="E651" t="s">
        <v>1713</v>
      </c>
      <c r="F651" t="s">
        <v>766</v>
      </c>
      <c r="G651" t="s">
        <v>120</v>
      </c>
      <c r="H651" t="s">
        <v>1877</v>
      </c>
      <c r="I651" t="s">
        <v>348</v>
      </c>
      <c r="J651" t="s">
        <v>357</v>
      </c>
    </row>
    <row r="652" spans="1:10" hidden="1" x14ac:dyDescent="0.35">
      <c r="A652">
        <v>467</v>
      </c>
      <c r="B652" s="7" t="s">
        <v>2631</v>
      </c>
      <c r="C652" t="s">
        <v>766</v>
      </c>
      <c r="D652" t="s">
        <v>1751</v>
      </c>
      <c r="E652" t="s">
        <v>1713</v>
      </c>
      <c r="F652" t="s">
        <v>766</v>
      </c>
      <c r="G652" t="s">
        <v>120</v>
      </c>
      <c r="H652" t="s">
        <v>1877</v>
      </c>
      <c r="I652" t="s">
        <v>348</v>
      </c>
      <c r="J652" t="s">
        <v>357</v>
      </c>
    </row>
    <row r="653" spans="1:10" hidden="1" x14ac:dyDescent="0.35">
      <c r="A653">
        <v>467</v>
      </c>
      <c r="B653" s="7" t="s">
        <v>2203</v>
      </c>
      <c r="C653" t="s">
        <v>766</v>
      </c>
      <c r="D653" t="s">
        <v>2117</v>
      </c>
      <c r="E653" t="s">
        <v>1713</v>
      </c>
      <c r="F653" t="s">
        <v>766</v>
      </c>
      <c r="G653" t="s">
        <v>120</v>
      </c>
      <c r="H653" t="s">
        <v>1877</v>
      </c>
      <c r="I653" t="s">
        <v>348</v>
      </c>
      <c r="J653" t="s">
        <v>357</v>
      </c>
    </row>
    <row r="654" spans="1:10" hidden="1" x14ac:dyDescent="0.35">
      <c r="A654">
        <v>467</v>
      </c>
      <c r="B654" s="17" t="s">
        <v>1832</v>
      </c>
      <c r="C654" t="s">
        <v>137</v>
      </c>
      <c r="D654" t="s">
        <v>2533</v>
      </c>
      <c r="E654" t="s">
        <v>1713</v>
      </c>
      <c r="F654" t="s">
        <v>137</v>
      </c>
      <c r="G654" t="s">
        <v>120</v>
      </c>
      <c r="H654" t="s">
        <v>1877</v>
      </c>
      <c r="I654" t="s">
        <v>348</v>
      </c>
      <c r="J654" t="s">
        <v>357</v>
      </c>
    </row>
    <row r="655" spans="1:10" hidden="1" x14ac:dyDescent="0.35">
      <c r="A655">
        <v>467</v>
      </c>
      <c r="B655" s="67" t="s">
        <v>2534</v>
      </c>
      <c r="C655" t="s">
        <v>137</v>
      </c>
      <c r="D655" t="s">
        <v>2677</v>
      </c>
      <c r="E655" t="s">
        <v>1713</v>
      </c>
      <c r="F655" t="s">
        <v>137</v>
      </c>
      <c r="G655" t="s">
        <v>120</v>
      </c>
      <c r="H655" t="s">
        <v>1877</v>
      </c>
      <c r="I655" t="s">
        <v>348</v>
      </c>
      <c r="J655" t="s">
        <v>357</v>
      </c>
    </row>
    <row r="656" spans="1:10" hidden="1" x14ac:dyDescent="0.35">
      <c r="A656">
        <v>467</v>
      </c>
      <c r="B656" s="67" t="s">
        <v>2536</v>
      </c>
      <c r="C656" t="s">
        <v>137</v>
      </c>
      <c r="D656" t="s">
        <v>2678</v>
      </c>
      <c r="E656" t="s">
        <v>1713</v>
      </c>
      <c r="F656" t="s">
        <v>137</v>
      </c>
      <c r="G656" t="s">
        <v>120</v>
      </c>
      <c r="H656" t="s">
        <v>1877</v>
      </c>
      <c r="I656" t="s">
        <v>348</v>
      </c>
      <c r="J656" t="s">
        <v>357</v>
      </c>
    </row>
    <row r="657" spans="1:11" hidden="1" x14ac:dyDescent="0.35">
      <c r="A657">
        <v>467</v>
      </c>
      <c r="B657" s="67" t="s">
        <v>2625</v>
      </c>
      <c r="C657" t="s">
        <v>137</v>
      </c>
      <c r="D657" t="s">
        <v>2677</v>
      </c>
      <c r="E657" t="s">
        <v>1713</v>
      </c>
      <c r="F657" t="s">
        <v>137</v>
      </c>
      <c r="G657" t="s">
        <v>120</v>
      </c>
      <c r="H657" t="s">
        <v>1877</v>
      </c>
      <c r="I657" t="s">
        <v>348</v>
      </c>
      <c r="J657" t="s">
        <v>357</v>
      </c>
    </row>
    <row r="658" spans="1:11" hidden="1" x14ac:dyDescent="0.35">
      <c r="A658">
        <v>467</v>
      </c>
      <c r="B658" s="2" t="s">
        <v>2679</v>
      </c>
      <c r="C658" t="s">
        <v>1374</v>
      </c>
      <c r="D658" t="s">
        <v>34</v>
      </c>
      <c r="E658" t="s">
        <v>1713</v>
      </c>
      <c r="F658" t="s">
        <v>1374</v>
      </c>
      <c r="G658" t="s">
        <v>120</v>
      </c>
      <c r="H658" t="s">
        <v>1877</v>
      </c>
      <c r="I658" t="s">
        <v>348</v>
      </c>
      <c r="J658" t="s">
        <v>357</v>
      </c>
    </row>
    <row r="659" spans="1:11" hidden="1" x14ac:dyDescent="0.35">
      <c r="A659">
        <v>467</v>
      </c>
      <c r="B659" s="2" t="s">
        <v>2680</v>
      </c>
      <c r="C659" t="s">
        <v>1374</v>
      </c>
      <c r="D659" t="s">
        <v>34</v>
      </c>
      <c r="E659" t="s">
        <v>1713</v>
      </c>
      <c r="F659" t="s">
        <v>1374</v>
      </c>
      <c r="G659" t="s">
        <v>120</v>
      </c>
      <c r="H659" t="s">
        <v>1877</v>
      </c>
      <c r="I659" t="s">
        <v>348</v>
      </c>
      <c r="J659" t="s">
        <v>357</v>
      </c>
    </row>
    <row r="660" spans="1:11" hidden="1" x14ac:dyDescent="0.35">
      <c r="A660">
        <v>467</v>
      </c>
      <c r="B660" s="2" t="s">
        <v>2681</v>
      </c>
      <c r="C660" t="s">
        <v>1374</v>
      </c>
      <c r="D660" t="s">
        <v>34</v>
      </c>
      <c r="E660" t="s">
        <v>1713</v>
      </c>
      <c r="F660" t="s">
        <v>1374</v>
      </c>
      <c r="G660" t="s">
        <v>120</v>
      </c>
      <c r="H660" t="s">
        <v>1877</v>
      </c>
      <c r="I660" t="s">
        <v>348</v>
      </c>
      <c r="J660" t="s">
        <v>357</v>
      </c>
    </row>
    <row r="661" spans="1:11" hidden="1" x14ac:dyDescent="0.35">
      <c r="A661">
        <v>467</v>
      </c>
      <c r="B661" t="s">
        <v>2682</v>
      </c>
      <c r="C661" t="s">
        <v>137</v>
      </c>
      <c r="D661" t="s">
        <v>34</v>
      </c>
      <c r="E661" t="s">
        <v>1713</v>
      </c>
      <c r="F661" t="s">
        <v>137</v>
      </c>
      <c r="G661" t="s">
        <v>1160</v>
      </c>
      <c r="H661" t="s">
        <v>2510</v>
      </c>
      <c r="I661" t="s">
        <v>163</v>
      </c>
      <c r="J661" t="s">
        <v>357</v>
      </c>
      <c r="K661" t="s">
        <v>2683</v>
      </c>
    </row>
    <row r="662" spans="1:11" hidden="1" x14ac:dyDescent="0.35">
      <c r="A662">
        <v>482</v>
      </c>
      <c r="B662" s="2" t="s">
        <v>2080</v>
      </c>
      <c r="C662" t="s">
        <v>766</v>
      </c>
      <c r="E662" t="s">
        <v>1713</v>
      </c>
      <c r="F662" t="s">
        <v>766</v>
      </c>
      <c r="G662" t="s">
        <v>120</v>
      </c>
      <c r="H662" t="s">
        <v>1567</v>
      </c>
      <c r="J662" t="s">
        <v>2684</v>
      </c>
    </row>
    <row r="663" spans="1:11" hidden="1" x14ac:dyDescent="0.35">
      <c r="A663">
        <v>482</v>
      </c>
      <c r="B663" s="59" t="s">
        <v>2685</v>
      </c>
      <c r="C663" t="s">
        <v>1374</v>
      </c>
      <c r="D663" t="s">
        <v>545</v>
      </c>
      <c r="E663" t="s">
        <v>1713</v>
      </c>
      <c r="F663" t="s">
        <v>1374</v>
      </c>
      <c r="G663" t="s">
        <v>120</v>
      </c>
      <c r="H663" t="s">
        <v>1567</v>
      </c>
      <c r="J663" t="s">
        <v>2684</v>
      </c>
    </row>
    <row r="664" spans="1:11" hidden="1" x14ac:dyDescent="0.35">
      <c r="A664">
        <v>482</v>
      </c>
      <c r="B664" s="7" t="s">
        <v>2277</v>
      </c>
      <c r="C664" t="s">
        <v>766</v>
      </c>
      <c r="D664" t="s">
        <v>2117</v>
      </c>
      <c r="E664" t="s">
        <v>1713</v>
      </c>
      <c r="F664" t="s">
        <v>766</v>
      </c>
      <c r="G664" t="s">
        <v>120</v>
      </c>
      <c r="H664" t="s">
        <v>1567</v>
      </c>
      <c r="J664" t="s">
        <v>357</v>
      </c>
    </row>
    <row r="665" spans="1:11" hidden="1" x14ac:dyDescent="0.35">
      <c r="A665">
        <v>482</v>
      </c>
      <c r="B665" s="7" t="s">
        <v>2686</v>
      </c>
      <c r="C665" t="s">
        <v>766</v>
      </c>
      <c r="D665" t="s">
        <v>2117</v>
      </c>
      <c r="E665" t="s">
        <v>1713</v>
      </c>
      <c r="F665" t="s">
        <v>766</v>
      </c>
      <c r="G665" t="s">
        <v>120</v>
      </c>
      <c r="H665" t="s">
        <v>1567</v>
      </c>
      <c r="J665" t="s">
        <v>357</v>
      </c>
    </row>
    <row r="666" spans="1:11" hidden="1" x14ac:dyDescent="0.35">
      <c r="A666">
        <v>482</v>
      </c>
      <c r="B666" s="6" t="s">
        <v>2687</v>
      </c>
      <c r="C666" t="s">
        <v>766</v>
      </c>
      <c r="D666" t="s">
        <v>2117</v>
      </c>
      <c r="E666" t="s">
        <v>1713</v>
      </c>
      <c r="F666" t="s">
        <v>766</v>
      </c>
      <c r="G666" t="s">
        <v>120</v>
      </c>
      <c r="H666" t="s">
        <v>1567</v>
      </c>
      <c r="J666" t="s">
        <v>357</v>
      </c>
    </row>
    <row r="667" spans="1:11" hidden="1" x14ac:dyDescent="0.35">
      <c r="A667">
        <v>482</v>
      </c>
      <c r="B667" s="7" t="s">
        <v>2688</v>
      </c>
      <c r="C667" t="s">
        <v>766</v>
      </c>
      <c r="D667" t="s">
        <v>2117</v>
      </c>
      <c r="E667" t="s">
        <v>1713</v>
      </c>
      <c r="F667" t="s">
        <v>766</v>
      </c>
      <c r="G667" t="s">
        <v>120</v>
      </c>
      <c r="H667" t="s">
        <v>1567</v>
      </c>
      <c r="J667" t="s">
        <v>357</v>
      </c>
    </row>
    <row r="668" spans="1:11" hidden="1" x14ac:dyDescent="0.35">
      <c r="A668">
        <v>510</v>
      </c>
      <c r="B668" s="61" t="s">
        <v>2689</v>
      </c>
      <c r="C668" t="s">
        <v>1374</v>
      </c>
      <c r="D668" t="s">
        <v>34</v>
      </c>
      <c r="E668" t="s">
        <v>1713</v>
      </c>
      <c r="G668" t="s">
        <v>120</v>
      </c>
      <c r="H668" t="s">
        <v>1601</v>
      </c>
      <c r="I668" t="s">
        <v>163</v>
      </c>
      <c r="J668" t="s">
        <v>2690</v>
      </c>
    </row>
    <row r="669" spans="1:11" hidden="1" x14ac:dyDescent="0.35">
      <c r="A669">
        <v>538</v>
      </c>
      <c r="B669" s="43" t="s">
        <v>2691</v>
      </c>
      <c r="C669" t="s">
        <v>137</v>
      </c>
      <c r="D669" t="s">
        <v>660</v>
      </c>
      <c r="E669" t="s">
        <v>1713</v>
      </c>
      <c r="F669" t="s">
        <v>24</v>
      </c>
      <c r="G669" t="s">
        <v>2692</v>
      </c>
      <c r="H669" t="s">
        <v>2693</v>
      </c>
      <c r="I669" t="s">
        <v>2694</v>
      </c>
      <c r="J669" t="s">
        <v>2695</v>
      </c>
      <c r="K669" t="s">
        <v>2696</v>
      </c>
    </row>
    <row r="670" spans="1:11" hidden="1" x14ac:dyDescent="0.35">
      <c r="A670">
        <v>538</v>
      </c>
      <c r="B670" s="59" t="s">
        <v>1735</v>
      </c>
      <c r="C670" t="s">
        <v>1374</v>
      </c>
      <c r="D670" t="s">
        <v>34</v>
      </c>
      <c r="E670" t="s">
        <v>1713</v>
      </c>
      <c r="F670" t="s">
        <v>766</v>
      </c>
      <c r="G670" t="s">
        <v>2692</v>
      </c>
      <c r="H670" t="s">
        <v>2697</v>
      </c>
      <c r="I670" t="s">
        <v>266</v>
      </c>
      <c r="J670" t="s">
        <v>2698</v>
      </c>
    </row>
    <row r="671" spans="1:11" hidden="1" x14ac:dyDescent="0.35">
      <c r="A671">
        <v>641</v>
      </c>
      <c r="B671" s="43" t="s">
        <v>2699</v>
      </c>
      <c r="C671" t="s">
        <v>137</v>
      </c>
      <c r="D671" t="s">
        <v>2700</v>
      </c>
      <c r="E671" t="s">
        <v>1713</v>
      </c>
      <c r="F671" t="s">
        <v>22</v>
      </c>
      <c r="G671" t="s">
        <v>120</v>
      </c>
      <c r="H671" t="s">
        <v>2701</v>
      </c>
      <c r="J671" t="s">
        <v>2702</v>
      </c>
    </row>
    <row r="672" spans="1:11" hidden="1" x14ac:dyDescent="0.35">
      <c r="A672">
        <v>641</v>
      </c>
      <c r="B672" s="67" t="s">
        <v>2703</v>
      </c>
      <c r="C672" t="s">
        <v>137</v>
      </c>
      <c r="D672" t="s">
        <v>2704</v>
      </c>
      <c r="E672" t="s">
        <v>1713</v>
      </c>
      <c r="F672" t="s">
        <v>57</v>
      </c>
      <c r="G672" t="s">
        <v>120</v>
      </c>
      <c r="H672" t="s">
        <v>2701</v>
      </c>
      <c r="J672" t="s">
        <v>2702</v>
      </c>
    </row>
    <row r="673" spans="1:10" hidden="1" x14ac:dyDescent="0.35">
      <c r="A673">
        <v>727</v>
      </c>
      <c r="B673" s="2" t="s">
        <v>1742</v>
      </c>
      <c r="C673" t="s">
        <v>766</v>
      </c>
      <c r="D673" t="s">
        <v>27</v>
      </c>
      <c r="E673" t="s">
        <v>1713</v>
      </c>
      <c r="F673" t="s">
        <v>766</v>
      </c>
      <c r="G673" t="s">
        <v>63</v>
      </c>
      <c r="H673" t="s">
        <v>2705</v>
      </c>
      <c r="J673" t="s">
        <v>2706</v>
      </c>
    </row>
    <row r="674" spans="1:10" hidden="1" x14ac:dyDescent="0.35">
      <c r="A674">
        <v>727</v>
      </c>
      <c r="B674" s="58" t="s">
        <v>2140</v>
      </c>
      <c r="C674" t="s">
        <v>766</v>
      </c>
      <c r="D674" t="s">
        <v>2587</v>
      </c>
      <c r="E674" t="s">
        <v>1713</v>
      </c>
      <c r="F674" t="s">
        <v>766</v>
      </c>
      <c r="G674" t="s">
        <v>63</v>
      </c>
      <c r="H674" t="s">
        <v>2705</v>
      </c>
      <c r="J674" t="s">
        <v>2706</v>
      </c>
    </row>
    <row r="675" spans="1:10" hidden="1" x14ac:dyDescent="0.35">
      <c r="A675">
        <v>727</v>
      </c>
      <c r="B675" s="7" t="s">
        <v>2122</v>
      </c>
      <c r="C675" t="s">
        <v>766</v>
      </c>
      <c r="D675" t="s">
        <v>2321</v>
      </c>
      <c r="E675" t="s">
        <v>1713</v>
      </c>
      <c r="F675" t="s">
        <v>766</v>
      </c>
      <c r="G675" t="s">
        <v>63</v>
      </c>
      <c r="H675" t="s">
        <v>2705</v>
      </c>
      <c r="J675" t="s">
        <v>2706</v>
      </c>
    </row>
    <row r="676" spans="1:10" hidden="1" x14ac:dyDescent="0.35">
      <c r="A676">
        <v>727</v>
      </c>
      <c r="B676" s="7" t="s">
        <v>2707</v>
      </c>
      <c r="C676" t="s">
        <v>766</v>
      </c>
      <c r="D676" t="s">
        <v>2117</v>
      </c>
      <c r="E676" t="s">
        <v>1713</v>
      </c>
      <c r="F676" t="s">
        <v>766</v>
      </c>
      <c r="G676" t="s">
        <v>63</v>
      </c>
      <c r="H676" t="s">
        <v>2705</v>
      </c>
      <c r="J676" t="s">
        <v>2706</v>
      </c>
    </row>
    <row r="677" spans="1:10" hidden="1" x14ac:dyDescent="0.35">
      <c r="A677">
        <v>727</v>
      </c>
      <c r="B677" s="19" t="s">
        <v>2708</v>
      </c>
      <c r="C677" t="s">
        <v>766</v>
      </c>
      <c r="D677" t="s">
        <v>2321</v>
      </c>
      <c r="E677" t="s">
        <v>1713</v>
      </c>
      <c r="F677" t="s">
        <v>766</v>
      </c>
      <c r="G677" t="s">
        <v>63</v>
      </c>
      <c r="H677" t="s">
        <v>2705</v>
      </c>
      <c r="J677" t="s">
        <v>2706</v>
      </c>
    </row>
    <row r="678" spans="1:10" hidden="1" x14ac:dyDescent="0.35">
      <c r="A678">
        <v>727</v>
      </c>
      <c r="B678" s="24" t="s">
        <v>2138</v>
      </c>
      <c r="C678" t="s">
        <v>766</v>
      </c>
      <c r="D678" t="s">
        <v>2709</v>
      </c>
      <c r="E678" t="s">
        <v>1713</v>
      </c>
      <c r="F678" t="s">
        <v>766</v>
      </c>
      <c r="G678" t="s">
        <v>63</v>
      </c>
      <c r="H678" t="s">
        <v>2705</v>
      </c>
      <c r="J678" t="s">
        <v>2706</v>
      </c>
    </row>
    <row r="679" spans="1:10" hidden="1" x14ac:dyDescent="0.35">
      <c r="A679">
        <v>773</v>
      </c>
      <c r="B679" s="19" t="s">
        <v>2179</v>
      </c>
      <c r="C679" t="s">
        <v>766</v>
      </c>
      <c r="D679" t="s">
        <v>34</v>
      </c>
      <c r="E679" t="s">
        <v>1713</v>
      </c>
      <c r="F679" t="s">
        <v>766</v>
      </c>
      <c r="G679" t="s">
        <v>120</v>
      </c>
      <c r="H679" t="s">
        <v>2710</v>
      </c>
      <c r="J679" t="s">
        <v>2711</v>
      </c>
    </row>
    <row r="680" spans="1:10" hidden="1" x14ac:dyDescent="0.35">
      <c r="A680">
        <v>773</v>
      </c>
      <c r="B680" s="65" t="s">
        <v>2712</v>
      </c>
      <c r="C680" t="s">
        <v>766</v>
      </c>
      <c r="D680" t="s">
        <v>2713</v>
      </c>
      <c r="E680" t="s">
        <v>1713</v>
      </c>
      <c r="F680" t="s">
        <v>766</v>
      </c>
      <c r="G680" t="s">
        <v>120</v>
      </c>
      <c r="H680" t="s">
        <v>2710</v>
      </c>
      <c r="J680" t="s">
        <v>2714</v>
      </c>
    </row>
    <row r="681" spans="1:10" hidden="1" x14ac:dyDescent="0.35">
      <c r="A681">
        <v>773</v>
      </c>
      <c r="B681" s="7" t="s">
        <v>2715</v>
      </c>
      <c r="C681" t="s">
        <v>766</v>
      </c>
      <c r="D681" t="s">
        <v>2713</v>
      </c>
      <c r="E681" t="s">
        <v>1713</v>
      </c>
      <c r="F681" t="s">
        <v>766</v>
      </c>
      <c r="G681" t="s">
        <v>120</v>
      </c>
      <c r="H681" t="s">
        <v>2710</v>
      </c>
      <c r="J681" t="s">
        <v>2714</v>
      </c>
    </row>
    <row r="682" spans="1:10" hidden="1" x14ac:dyDescent="0.35">
      <c r="A682">
        <v>773</v>
      </c>
      <c r="B682" s="65" t="s">
        <v>2716</v>
      </c>
      <c r="C682" t="s">
        <v>766</v>
      </c>
      <c r="D682" t="s">
        <v>2713</v>
      </c>
      <c r="E682" t="s">
        <v>1713</v>
      </c>
      <c r="F682" t="s">
        <v>766</v>
      </c>
      <c r="G682" t="s">
        <v>120</v>
      </c>
      <c r="H682" t="s">
        <v>2710</v>
      </c>
      <c r="J682" t="s">
        <v>2714</v>
      </c>
    </row>
    <row r="683" spans="1:10" hidden="1" x14ac:dyDescent="0.35">
      <c r="A683">
        <v>773</v>
      </c>
      <c r="B683" s="65" t="s">
        <v>2717</v>
      </c>
      <c r="C683" t="s">
        <v>766</v>
      </c>
      <c r="D683" t="s">
        <v>2713</v>
      </c>
      <c r="E683" t="s">
        <v>1713</v>
      </c>
      <c r="F683" t="s">
        <v>766</v>
      </c>
      <c r="G683" t="s">
        <v>120</v>
      </c>
      <c r="H683" t="s">
        <v>2710</v>
      </c>
      <c r="J683" t="s">
        <v>2714</v>
      </c>
    </row>
    <row r="684" spans="1:10" hidden="1" x14ac:dyDescent="0.35">
      <c r="A684">
        <v>773</v>
      </c>
      <c r="B684" s="65" t="s">
        <v>2718</v>
      </c>
      <c r="C684" t="s">
        <v>766</v>
      </c>
      <c r="D684" t="s">
        <v>2713</v>
      </c>
      <c r="E684" t="s">
        <v>1713</v>
      </c>
      <c r="F684" t="s">
        <v>766</v>
      </c>
      <c r="G684" t="s">
        <v>120</v>
      </c>
      <c r="H684" t="s">
        <v>2710</v>
      </c>
      <c r="J684" t="s">
        <v>2714</v>
      </c>
    </row>
    <row r="685" spans="1:10" hidden="1" x14ac:dyDescent="0.35">
      <c r="A685">
        <v>773</v>
      </c>
      <c r="B685" s="65" t="s">
        <v>2719</v>
      </c>
      <c r="C685" t="s">
        <v>766</v>
      </c>
      <c r="D685" t="s">
        <v>2713</v>
      </c>
      <c r="E685" t="s">
        <v>1713</v>
      </c>
      <c r="F685" t="s">
        <v>766</v>
      </c>
      <c r="G685" t="s">
        <v>120</v>
      </c>
      <c r="H685" t="s">
        <v>2710</v>
      </c>
      <c r="J685" t="s">
        <v>2714</v>
      </c>
    </row>
    <row r="686" spans="1:10" hidden="1" x14ac:dyDescent="0.35">
      <c r="A686">
        <v>773</v>
      </c>
      <c r="B686" s="65" t="s">
        <v>2720</v>
      </c>
      <c r="C686" t="s">
        <v>766</v>
      </c>
      <c r="D686" t="s">
        <v>2713</v>
      </c>
      <c r="E686" t="s">
        <v>1713</v>
      </c>
      <c r="F686" t="s">
        <v>766</v>
      </c>
      <c r="G686" t="s">
        <v>120</v>
      </c>
      <c r="H686" t="s">
        <v>2710</v>
      </c>
      <c r="J686" t="s">
        <v>2714</v>
      </c>
    </row>
    <row r="687" spans="1:10" hidden="1" x14ac:dyDescent="0.35">
      <c r="A687">
        <v>773</v>
      </c>
      <c r="B687" s="65" t="s">
        <v>2721</v>
      </c>
      <c r="C687" t="s">
        <v>766</v>
      </c>
      <c r="D687" t="s">
        <v>2713</v>
      </c>
      <c r="E687" t="s">
        <v>1713</v>
      </c>
      <c r="F687" t="s">
        <v>766</v>
      </c>
      <c r="G687" t="s">
        <v>120</v>
      </c>
      <c r="H687" t="s">
        <v>2710</v>
      </c>
      <c r="J687" t="s">
        <v>2714</v>
      </c>
    </row>
    <row r="688" spans="1:10" hidden="1" x14ac:dyDescent="0.35">
      <c r="A688">
        <v>773</v>
      </c>
      <c r="B688" s="65" t="s">
        <v>2722</v>
      </c>
      <c r="C688" t="s">
        <v>766</v>
      </c>
      <c r="D688" t="s">
        <v>2713</v>
      </c>
      <c r="E688" t="s">
        <v>1713</v>
      </c>
      <c r="F688" t="s">
        <v>766</v>
      </c>
      <c r="G688" t="s">
        <v>120</v>
      </c>
      <c r="H688" t="s">
        <v>2710</v>
      </c>
      <c r="J688" t="s">
        <v>2714</v>
      </c>
    </row>
    <row r="689" spans="1:11" hidden="1" x14ac:dyDescent="0.35">
      <c r="A689">
        <v>773</v>
      </c>
      <c r="B689" s="65" t="s">
        <v>2723</v>
      </c>
      <c r="C689" t="s">
        <v>766</v>
      </c>
      <c r="D689" t="s">
        <v>2713</v>
      </c>
      <c r="E689" t="s">
        <v>1713</v>
      </c>
      <c r="F689" t="s">
        <v>766</v>
      </c>
      <c r="G689" t="s">
        <v>120</v>
      </c>
      <c r="H689" t="s">
        <v>2710</v>
      </c>
      <c r="J689" t="s">
        <v>2714</v>
      </c>
    </row>
    <row r="690" spans="1:11" hidden="1" x14ac:dyDescent="0.35">
      <c r="A690">
        <v>773</v>
      </c>
      <c r="B690" s="65" t="s">
        <v>2724</v>
      </c>
      <c r="C690" t="s">
        <v>766</v>
      </c>
      <c r="D690" t="s">
        <v>2713</v>
      </c>
      <c r="E690" t="s">
        <v>1713</v>
      </c>
      <c r="F690" t="s">
        <v>766</v>
      </c>
      <c r="G690" t="s">
        <v>120</v>
      </c>
      <c r="H690" t="s">
        <v>2710</v>
      </c>
      <c r="J690" t="s">
        <v>2714</v>
      </c>
    </row>
    <row r="691" spans="1:11" hidden="1" x14ac:dyDescent="0.35">
      <c r="A691">
        <v>773</v>
      </c>
      <c r="B691" s="65" t="s">
        <v>2725</v>
      </c>
      <c r="C691" t="s">
        <v>766</v>
      </c>
      <c r="D691" t="s">
        <v>2726</v>
      </c>
      <c r="E691" t="s">
        <v>1713</v>
      </c>
      <c r="F691" t="s">
        <v>766</v>
      </c>
      <c r="G691" t="s">
        <v>120</v>
      </c>
      <c r="H691" t="s">
        <v>2710</v>
      </c>
      <c r="J691" t="s">
        <v>2714</v>
      </c>
    </row>
    <row r="692" spans="1:11" hidden="1" x14ac:dyDescent="0.35">
      <c r="A692">
        <v>815</v>
      </c>
      <c r="B692" s="59" t="s">
        <v>2727</v>
      </c>
      <c r="C692" t="s">
        <v>1374</v>
      </c>
      <c r="D692" t="s">
        <v>34</v>
      </c>
      <c r="E692" t="s">
        <v>1713</v>
      </c>
      <c r="F692" t="s">
        <v>1374</v>
      </c>
      <c r="G692" t="s">
        <v>120</v>
      </c>
      <c r="H692" t="s">
        <v>373</v>
      </c>
      <c r="I692" t="s">
        <v>386</v>
      </c>
      <c r="J692" t="s">
        <v>2728</v>
      </c>
      <c r="K692" t="s">
        <v>2729</v>
      </c>
    </row>
    <row r="693" spans="1:11" hidden="1" x14ac:dyDescent="0.35">
      <c r="A693">
        <v>815</v>
      </c>
      <c r="B693" s="2" t="s">
        <v>1742</v>
      </c>
      <c r="C693" t="s">
        <v>766</v>
      </c>
      <c r="D693" t="s">
        <v>27</v>
      </c>
      <c r="E693" t="s">
        <v>1713</v>
      </c>
      <c r="F693" t="s">
        <v>766</v>
      </c>
      <c r="G693" t="s">
        <v>120</v>
      </c>
      <c r="H693" t="s">
        <v>373</v>
      </c>
      <c r="I693" t="s">
        <v>386</v>
      </c>
      <c r="J693" t="s">
        <v>2728</v>
      </c>
      <c r="K693" t="s">
        <v>2729</v>
      </c>
    </row>
    <row r="694" spans="1:11" hidden="1" x14ac:dyDescent="0.35">
      <c r="A694">
        <v>815</v>
      </c>
      <c r="B694" s="58" t="s">
        <v>2407</v>
      </c>
      <c r="C694" t="s">
        <v>766</v>
      </c>
      <c r="D694" t="s">
        <v>2730</v>
      </c>
      <c r="E694" t="s">
        <v>1713</v>
      </c>
      <c r="F694" t="s">
        <v>766</v>
      </c>
      <c r="G694" t="s">
        <v>120</v>
      </c>
      <c r="H694" t="s">
        <v>373</v>
      </c>
      <c r="I694" t="s">
        <v>386</v>
      </c>
      <c r="J694" t="s">
        <v>2728</v>
      </c>
      <c r="K694" t="s">
        <v>2729</v>
      </c>
    </row>
    <row r="695" spans="1:11" hidden="1" x14ac:dyDescent="0.35">
      <c r="A695">
        <v>815</v>
      </c>
      <c r="B695" s="19" t="s">
        <v>2731</v>
      </c>
      <c r="C695" t="s">
        <v>766</v>
      </c>
      <c r="D695" t="s">
        <v>34</v>
      </c>
      <c r="E695" t="s">
        <v>1713</v>
      </c>
      <c r="F695" t="s">
        <v>766</v>
      </c>
      <c r="G695" t="s">
        <v>120</v>
      </c>
      <c r="H695" t="s">
        <v>373</v>
      </c>
      <c r="I695" t="s">
        <v>386</v>
      </c>
      <c r="J695" t="s">
        <v>2728</v>
      </c>
      <c r="K695" t="s">
        <v>2729</v>
      </c>
    </row>
    <row r="696" spans="1:11" hidden="1" x14ac:dyDescent="0.35">
      <c r="A696">
        <v>815</v>
      </c>
      <c r="B696" s="7" t="s">
        <v>2122</v>
      </c>
      <c r="C696" t="s">
        <v>766</v>
      </c>
      <c r="D696" t="s">
        <v>34</v>
      </c>
      <c r="E696" t="s">
        <v>1713</v>
      </c>
      <c r="F696" t="s">
        <v>766</v>
      </c>
      <c r="G696" t="s">
        <v>120</v>
      </c>
      <c r="H696" t="s">
        <v>373</v>
      </c>
      <c r="I696" t="s">
        <v>386</v>
      </c>
      <c r="J696" t="s">
        <v>2728</v>
      </c>
      <c r="K696" t="s">
        <v>2729</v>
      </c>
    </row>
    <row r="697" spans="1:11" hidden="1" x14ac:dyDescent="0.35">
      <c r="A697">
        <v>815</v>
      </c>
      <c r="B697" s="7" t="s">
        <v>2732</v>
      </c>
      <c r="C697" t="s">
        <v>766</v>
      </c>
      <c r="D697" t="s">
        <v>1751</v>
      </c>
      <c r="E697" t="s">
        <v>1713</v>
      </c>
      <c r="F697" t="s">
        <v>766</v>
      </c>
      <c r="G697" t="s">
        <v>120</v>
      </c>
      <c r="H697" t="s">
        <v>373</v>
      </c>
      <c r="I697" t="s">
        <v>386</v>
      </c>
      <c r="J697" t="s">
        <v>2728</v>
      </c>
      <c r="K697" t="s">
        <v>2729</v>
      </c>
    </row>
    <row r="698" spans="1:11" hidden="1" x14ac:dyDescent="0.35">
      <c r="A698">
        <v>815</v>
      </c>
      <c r="B698" s="11" t="s">
        <v>2733</v>
      </c>
      <c r="C698" t="s">
        <v>766</v>
      </c>
      <c r="D698" t="s">
        <v>2734</v>
      </c>
      <c r="E698" t="s">
        <v>1713</v>
      </c>
      <c r="F698" t="s">
        <v>766</v>
      </c>
      <c r="G698" t="s">
        <v>120</v>
      </c>
      <c r="H698" t="s">
        <v>373</v>
      </c>
      <c r="I698" t="s">
        <v>386</v>
      </c>
      <c r="J698" t="s">
        <v>2728</v>
      </c>
      <c r="K698" t="s">
        <v>2729</v>
      </c>
    </row>
    <row r="699" spans="1:11" hidden="1" x14ac:dyDescent="0.35">
      <c r="A699">
        <v>815</v>
      </c>
      <c r="B699" s="67" t="s">
        <v>2735</v>
      </c>
      <c r="C699" t="s">
        <v>137</v>
      </c>
      <c r="D699" t="s">
        <v>2736</v>
      </c>
      <c r="E699" t="s">
        <v>1713</v>
      </c>
      <c r="F699" t="s">
        <v>137</v>
      </c>
      <c r="G699" t="s">
        <v>120</v>
      </c>
      <c r="H699" t="s">
        <v>373</v>
      </c>
      <c r="I699" t="s">
        <v>386</v>
      </c>
      <c r="J699" t="s">
        <v>2728</v>
      </c>
      <c r="K699" t="s">
        <v>2729</v>
      </c>
    </row>
    <row r="700" spans="1:11" hidden="1" x14ac:dyDescent="0.35">
      <c r="A700">
        <v>815</v>
      </c>
      <c r="B700" s="17" t="s">
        <v>2162</v>
      </c>
      <c r="C700" t="s">
        <v>137</v>
      </c>
      <c r="D700" t="s">
        <v>2737</v>
      </c>
      <c r="E700" t="s">
        <v>1713</v>
      </c>
      <c r="F700" t="s">
        <v>137</v>
      </c>
      <c r="G700" t="s">
        <v>120</v>
      </c>
      <c r="H700" t="s">
        <v>373</v>
      </c>
      <c r="I700" t="s">
        <v>386</v>
      </c>
      <c r="J700" t="s">
        <v>2728</v>
      </c>
      <c r="K700" t="s">
        <v>2729</v>
      </c>
    </row>
    <row r="701" spans="1:11" hidden="1" x14ac:dyDescent="0.35">
      <c r="A701">
        <v>815</v>
      </c>
      <c r="B701" s="67" t="s">
        <v>2738</v>
      </c>
      <c r="C701" t="s">
        <v>137</v>
      </c>
      <c r="D701" t="s">
        <v>2739</v>
      </c>
      <c r="E701" t="s">
        <v>1713</v>
      </c>
      <c r="F701" t="s">
        <v>137</v>
      </c>
      <c r="G701" t="s">
        <v>120</v>
      </c>
      <c r="H701" t="s">
        <v>373</v>
      </c>
      <c r="I701" t="s">
        <v>386</v>
      </c>
      <c r="J701" t="s">
        <v>2728</v>
      </c>
      <c r="K701" t="s">
        <v>2729</v>
      </c>
    </row>
    <row r="702" spans="1:11" hidden="1" x14ac:dyDescent="0.35">
      <c r="A702">
        <v>815</v>
      </c>
      <c r="B702" s="67" t="s">
        <v>2740</v>
      </c>
      <c r="C702" t="s">
        <v>137</v>
      </c>
      <c r="D702" t="s">
        <v>2741</v>
      </c>
      <c r="E702" t="s">
        <v>1713</v>
      </c>
      <c r="F702" t="s">
        <v>137</v>
      </c>
      <c r="G702" t="s">
        <v>120</v>
      </c>
      <c r="H702" t="s">
        <v>373</v>
      </c>
      <c r="I702" t="s">
        <v>386</v>
      </c>
      <c r="J702" t="s">
        <v>2728</v>
      </c>
      <c r="K702" t="s">
        <v>2729</v>
      </c>
    </row>
    <row r="703" spans="1:11" hidden="1" x14ac:dyDescent="0.35">
      <c r="A703">
        <v>815</v>
      </c>
      <c r="B703" s="67" t="s">
        <v>2742</v>
      </c>
      <c r="C703" t="s">
        <v>137</v>
      </c>
      <c r="D703" t="s">
        <v>2743</v>
      </c>
      <c r="E703" t="s">
        <v>1713</v>
      </c>
      <c r="F703" t="s">
        <v>137</v>
      </c>
      <c r="G703" t="s">
        <v>120</v>
      </c>
      <c r="H703" t="s">
        <v>373</v>
      </c>
      <c r="I703" t="s">
        <v>386</v>
      </c>
      <c r="J703" t="s">
        <v>2728</v>
      </c>
      <c r="K703" t="s">
        <v>2729</v>
      </c>
    </row>
    <row r="704" spans="1:11" hidden="1" x14ac:dyDescent="0.35">
      <c r="A704">
        <v>815</v>
      </c>
      <c r="B704" s="67" t="s">
        <v>2744</v>
      </c>
      <c r="C704" t="s">
        <v>137</v>
      </c>
      <c r="D704" t="s">
        <v>2743</v>
      </c>
      <c r="E704" t="s">
        <v>1713</v>
      </c>
      <c r="F704" t="s">
        <v>137</v>
      </c>
      <c r="G704" t="s">
        <v>120</v>
      </c>
      <c r="H704" t="s">
        <v>373</v>
      </c>
      <c r="I704" t="s">
        <v>386</v>
      </c>
      <c r="J704" t="s">
        <v>2728</v>
      </c>
      <c r="K704" t="s">
        <v>2729</v>
      </c>
    </row>
    <row r="705" spans="1:11" hidden="1" x14ac:dyDescent="0.35">
      <c r="A705">
        <v>815</v>
      </c>
      <c r="B705" s="63" t="s">
        <v>2745</v>
      </c>
      <c r="C705" t="s">
        <v>766</v>
      </c>
      <c r="D705" t="s">
        <v>27</v>
      </c>
      <c r="E705" t="s">
        <v>1713</v>
      </c>
      <c r="F705" t="s">
        <v>766</v>
      </c>
      <c r="G705" t="s">
        <v>120</v>
      </c>
      <c r="H705" t="s">
        <v>373</v>
      </c>
      <c r="I705" t="s">
        <v>386</v>
      </c>
      <c r="J705" t="s">
        <v>2728</v>
      </c>
      <c r="K705" t="s">
        <v>2729</v>
      </c>
    </row>
    <row r="706" spans="1:11" hidden="1" x14ac:dyDescent="0.35">
      <c r="A706">
        <v>815</v>
      </c>
      <c r="B706" s="67" t="s">
        <v>2746</v>
      </c>
      <c r="C706" t="s">
        <v>137</v>
      </c>
      <c r="D706" t="s">
        <v>2747</v>
      </c>
      <c r="E706" t="s">
        <v>1713</v>
      </c>
      <c r="F706" t="s">
        <v>137</v>
      </c>
      <c r="G706" t="s">
        <v>120</v>
      </c>
      <c r="H706" t="s">
        <v>373</v>
      </c>
      <c r="I706" t="s">
        <v>386</v>
      </c>
      <c r="J706" t="s">
        <v>2728</v>
      </c>
      <c r="K706" t="s">
        <v>2729</v>
      </c>
    </row>
    <row r="707" spans="1:11" hidden="1" x14ac:dyDescent="0.35">
      <c r="A707">
        <v>815</v>
      </c>
      <c r="B707" s="67" t="s">
        <v>2748</v>
      </c>
      <c r="C707" t="s">
        <v>137</v>
      </c>
      <c r="D707" t="s">
        <v>2749</v>
      </c>
      <c r="E707" t="s">
        <v>1713</v>
      </c>
      <c r="F707" t="s">
        <v>137</v>
      </c>
      <c r="G707" t="s">
        <v>120</v>
      </c>
      <c r="H707" t="s">
        <v>373</v>
      </c>
      <c r="I707" t="s">
        <v>386</v>
      </c>
      <c r="J707" t="s">
        <v>2728</v>
      </c>
      <c r="K707" t="s">
        <v>2729</v>
      </c>
    </row>
    <row r="708" spans="1:11" hidden="1" x14ac:dyDescent="0.35">
      <c r="A708">
        <v>815</v>
      </c>
      <c r="B708" t="s">
        <v>2315</v>
      </c>
      <c r="C708" t="s">
        <v>2316</v>
      </c>
      <c r="D708" t="s">
        <v>27</v>
      </c>
      <c r="E708" t="s">
        <v>1713</v>
      </c>
      <c r="F708" t="s">
        <v>594</v>
      </c>
      <c r="G708" t="s">
        <v>120</v>
      </c>
      <c r="H708" t="s">
        <v>373</v>
      </c>
      <c r="I708" t="s">
        <v>386</v>
      </c>
      <c r="J708" t="s">
        <v>2728</v>
      </c>
      <c r="K708" t="s">
        <v>2729</v>
      </c>
    </row>
    <row r="709" spans="1:11" hidden="1" x14ac:dyDescent="0.35">
      <c r="A709">
        <v>851</v>
      </c>
      <c r="B709" s="59" t="s">
        <v>2750</v>
      </c>
      <c r="C709" t="s">
        <v>1374</v>
      </c>
      <c r="D709" t="s">
        <v>2751</v>
      </c>
      <c r="E709" t="s">
        <v>1713</v>
      </c>
      <c r="F709" t="s">
        <v>1374</v>
      </c>
      <c r="G709" t="s">
        <v>120</v>
      </c>
      <c r="H709" t="s">
        <v>470</v>
      </c>
      <c r="I709" t="s">
        <v>386</v>
      </c>
      <c r="J709" t="s">
        <v>2752</v>
      </c>
    </row>
    <row r="710" spans="1:11" hidden="1" x14ac:dyDescent="0.35">
      <c r="A710">
        <v>851</v>
      </c>
      <c r="B710" s="2" t="s">
        <v>2753</v>
      </c>
      <c r="C710" t="s">
        <v>1374</v>
      </c>
      <c r="D710" t="s">
        <v>34</v>
      </c>
      <c r="E710" t="s">
        <v>1713</v>
      </c>
      <c r="F710" t="s">
        <v>1374</v>
      </c>
      <c r="G710" t="s">
        <v>120</v>
      </c>
      <c r="H710" t="s">
        <v>470</v>
      </c>
      <c r="I710" t="s">
        <v>386</v>
      </c>
      <c r="J710" t="s">
        <v>1640</v>
      </c>
    </row>
    <row r="711" spans="1:11" hidden="1" x14ac:dyDescent="0.35">
      <c r="A711">
        <v>851</v>
      </c>
      <c r="B711" s="59" t="s">
        <v>2205</v>
      </c>
      <c r="C711" t="s">
        <v>1374</v>
      </c>
      <c r="D711" t="s">
        <v>2754</v>
      </c>
      <c r="E711" t="s">
        <v>1713</v>
      </c>
      <c r="F711" t="s">
        <v>1374</v>
      </c>
      <c r="G711" t="s">
        <v>120</v>
      </c>
      <c r="H711" t="s">
        <v>470</v>
      </c>
      <c r="I711" t="s">
        <v>386</v>
      </c>
      <c r="J711" t="s">
        <v>2755</v>
      </c>
    </row>
    <row r="712" spans="1:11" hidden="1" x14ac:dyDescent="0.35">
      <c r="A712">
        <v>851</v>
      </c>
      <c r="B712" s="59" t="s">
        <v>2756</v>
      </c>
      <c r="C712" t="s">
        <v>1374</v>
      </c>
      <c r="D712" t="s">
        <v>38</v>
      </c>
      <c r="E712" t="s">
        <v>1713</v>
      </c>
      <c r="F712" t="s">
        <v>1374</v>
      </c>
      <c r="G712" t="s">
        <v>120</v>
      </c>
      <c r="H712" t="s">
        <v>470</v>
      </c>
      <c r="I712" t="s">
        <v>386</v>
      </c>
      <c r="J712" t="s">
        <v>1640</v>
      </c>
    </row>
    <row r="713" spans="1:11" hidden="1" x14ac:dyDescent="0.35">
      <c r="A713">
        <v>980</v>
      </c>
      <c r="B713" s="2" t="s">
        <v>2124</v>
      </c>
      <c r="C713" t="s">
        <v>766</v>
      </c>
      <c r="D713" t="s">
        <v>1659</v>
      </c>
      <c r="E713" t="s">
        <v>1713</v>
      </c>
      <c r="F713" t="s">
        <v>766</v>
      </c>
      <c r="G713" t="s">
        <v>120</v>
      </c>
      <c r="H713" t="s">
        <v>153</v>
      </c>
      <c r="I713" t="s">
        <v>386</v>
      </c>
      <c r="J713" t="s">
        <v>2757</v>
      </c>
    </row>
    <row r="714" spans="1:11" hidden="1" x14ac:dyDescent="0.35">
      <c r="A714">
        <v>980</v>
      </c>
      <c r="B714" s="17" t="s">
        <v>2242</v>
      </c>
      <c r="C714" t="s">
        <v>1374</v>
      </c>
      <c r="D714" t="s">
        <v>2398</v>
      </c>
      <c r="E714" t="s">
        <v>1713</v>
      </c>
      <c r="F714" t="s">
        <v>1374</v>
      </c>
      <c r="G714" t="s">
        <v>120</v>
      </c>
      <c r="H714" t="s">
        <v>153</v>
      </c>
      <c r="I714" t="s">
        <v>386</v>
      </c>
      <c r="J714" t="s">
        <v>2757</v>
      </c>
    </row>
    <row r="715" spans="1:11" hidden="1" x14ac:dyDescent="0.35">
      <c r="A715">
        <v>980</v>
      </c>
      <c r="B715" s="24" t="s">
        <v>2138</v>
      </c>
      <c r="C715" t="s">
        <v>766</v>
      </c>
      <c r="D715" t="s">
        <v>2758</v>
      </c>
      <c r="E715" t="s">
        <v>1713</v>
      </c>
      <c r="F715" t="s">
        <v>766</v>
      </c>
      <c r="G715" t="s">
        <v>120</v>
      </c>
      <c r="H715" t="s">
        <v>153</v>
      </c>
      <c r="I715" t="s">
        <v>386</v>
      </c>
      <c r="J715" t="s">
        <v>2757</v>
      </c>
    </row>
    <row r="716" spans="1:11" hidden="1" x14ac:dyDescent="0.35">
      <c r="A716">
        <v>980</v>
      </c>
      <c r="B716" s="19" t="s">
        <v>2759</v>
      </c>
      <c r="C716" t="s">
        <v>766</v>
      </c>
      <c r="D716" t="s">
        <v>34</v>
      </c>
      <c r="E716" t="s">
        <v>1713</v>
      </c>
      <c r="F716" t="s">
        <v>766</v>
      </c>
      <c r="G716" t="s">
        <v>120</v>
      </c>
      <c r="H716" t="s">
        <v>153</v>
      </c>
      <c r="I716" t="s">
        <v>386</v>
      </c>
      <c r="J716" t="s">
        <v>2757</v>
      </c>
    </row>
    <row r="717" spans="1:11" hidden="1" x14ac:dyDescent="0.35">
      <c r="A717">
        <v>980</v>
      </c>
      <c r="B717" s="7" t="s">
        <v>2760</v>
      </c>
      <c r="C717" t="s">
        <v>766</v>
      </c>
      <c r="D717" t="s">
        <v>34</v>
      </c>
      <c r="E717" t="s">
        <v>1713</v>
      </c>
      <c r="F717" t="s">
        <v>766</v>
      </c>
      <c r="G717" t="s">
        <v>120</v>
      </c>
      <c r="H717" t="s">
        <v>153</v>
      </c>
      <c r="I717" t="s">
        <v>386</v>
      </c>
      <c r="J717" t="s">
        <v>2757</v>
      </c>
    </row>
    <row r="718" spans="1:11" hidden="1" x14ac:dyDescent="0.35">
      <c r="A718">
        <v>980</v>
      </c>
      <c r="B718" s="7" t="s">
        <v>2761</v>
      </c>
      <c r="C718" t="s">
        <v>766</v>
      </c>
      <c r="D718" t="s">
        <v>1383</v>
      </c>
      <c r="E718" t="s">
        <v>1713</v>
      </c>
      <c r="F718" t="s">
        <v>766</v>
      </c>
      <c r="G718" t="s">
        <v>120</v>
      </c>
      <c r="H718" t="s">
        <v>153</v>
      </c>
      <c r="I718" t="s">
        <v>386</v>
      </c>
      <c r="J718" t="s">
        <v>2757</v>
      </c>
    </row>
    <row r="719" spans="1:11" hidden="1" x14ac:dyDescent="0.35">
      <c r="A719">
        <v>980</v>
      </c>
      <c r="B719" s="65" t="s">
        <v>2762</v>
      </c>
      <c r="C719" t="s">
        <v>766</v>
      </c>
      <c r="D719" t="s">
        <v>1383</v>
      </c>
      <c r="E719" t="s">
        <v>1713</v>
      </c>
      <c r="F719" t="s">
        <v>766</v>
      </c>
      <c r="G719" t="s">
        <v>120</v>
      </c>
      <c r="H719" t="s">
        <v>153</v>
      </c>
      <c r="I719" t="s">
        <v>386</v>
      </c>
      <c r="J719" t="s">
        <v>2757</v>
      </c>
    </row>
    <row r="720" spans="1:11" hidden="1" x14ac:dyDescent="0.35">
      <c r="A720">
        <v>980</v>
      </c>
      <c r="B720" s="24" t="s">
        <v>2763</v>
      </c>
      <c r="C720" t="s">
        <v>766</v>
      </c>
      <c r="D720" t="s">
        <v>1383</v>
      </c>
      <c r="E720" t="s">
        <v>1713</v>
      </c>
      <c r="F720" t="s">
        <v>766</v>
      </c>
      <c r="G720" t="s">
        <v>120</v>
      </c>
      <c r="H720" t="s">
        <v>153</v>
      </c>
      <c r="I720" t="s">
        <v>386</v>
      </c>
      <c r="J720" t="s">
        <v>2757</v>
      </c>
    </row>
    <row r="721" spans="1:10" hidden="1" x14ac:dyDescent="0.35">
      <c r="A721">
        <v>980</v>
      </c>
      <c r="B721" s="24" t="s">
        <v>2764</v>
      </c>
      <c r="C721" t="s">
        <v>766</v>
      </c>
      <c r="D721" t="s">
        <v>1383</v>
      </c>
      <c r="E721" t="s">
        <v>1713</v>
      </c>
      <c r="F721" t="s">
        <v>766</v>
      </c>
      <c r="G721" t="s">
        <v>120</v>
      </c>
      <c r="H721" t="s">
        <v>153</v>
      </c>
      <c r="I721" t="s">
        <v>386</v>
      </c>
      <c r="J721" t="s">
        <v>2757</v>
      </c>
    </row>
    <row r="722" spans="1:10" hidden="1" x14ac:dyDescent="0.35">
      <c r="A722">
        <v>980</v>
      </c>
      <c r="B722" s="24" t="s">
        <v>2765</v>
      </c>
      <c r="C722" t="s">
        <v>766</v>
      </c>
      <c r="D722" t="s">
        <v>1383</v>
      </c>
      <c r="E722" t="s">
        <v>1713</v>
      </c>
      <c r="F722" t="s">
        <v>766</v>
      </c>
      <c r="G722" t="s">
        <v>120</v>
      </c>
      <c r="H722" t="s">
        <v>153</v>
      </c>
      <c r="I722" t="s">
        <v>386</v>
      </c>
      <c r="J722" t="s">
        <v>2757</v>
      </c>
    </row>
    <row r="723" spans="1:10" hidden="1" x14ac:dyDescent="0.35">
      <c r="A723">
        <v>384</v>
      </c>
      <c r="B723" s="2" t="s">
        <v>2227</v>
      </c>
      <c r="C723" t="s">
        <v>1374</v>
      </c>
      <c r="D723" t="s">
        <v>34</v>
      </c>
      <c r="E723" t="s">
        <v>1713</v>
      </c>
      <c r="F723" t="s">
        <v>1374</v>
      </c>
      <c r="G723" t="s">
        <v>2766</v>
      </c>
      <c r="H723" t="s">
        <v>2767</v>
      </c>
      <c r="J723" t="s">
        <v>2768</v>
      </c>
    </row>
    <row r="724" spans="1:10" hidden="1" x14ac:dyDescent="0.35">
      <c r="A724">
        <v>384</v>
      </c>
      <c r="B724" s="2" t="s">
        <v>2226</v>
      </c>
      <c r="C724" t="s">
        <v>1374</v>
      </c>
      <c r="D724" t="s">
        <v>34</v>
      </c>
      <c r="E724" t="s">
        <v>1713</v>
      </c>
      <c r="F724" t="s">
        <v>1374</v>
      </c>
      <c r="G724" t="s">
        <v>2766</v>
      </c>
      <c r="H724" t="s">
        <v>2767</v>
      </c>
      <c r="J724" t="s">
        <v>2769</v>
      </c>
    </row>
    <row r="725" spans="1:10" hidden="1" x14ac:dyDescent="0.35">
      <c r="A725">
        <v>384</v>
      </c>
      <c r="B725" s="2" t="s">
        <v>2223</v>
      </c>
      <c r="C725" t="s">
        <v>1374</v>
      </c>
      <c r="D725" t="s">
        <v>34</v>
      </c>
      <c r="E725" t="s">
        <v>1713</v>
      </c>
      <c r="F725" t="s">
        <v>1374</v>
      </c>
      <c r="G725" t="s">
        <v>2766</v>
      </c>
      <c r="H725" t="s">
        <v>2767</v>
      </c>
      <c r="J725" t="s">
        <v>2770</v>
      </c>
    </row>
    <row r="726" spans="1:10" hidden="1" x14ac:dyDescent="0.35">
      <c r="A726">
        <v>384</v>
      </c>
      <c r="B726" s="2" t="s">
        <v>1742</v>
      </c>
      <c r="C726" t="s">
        <v>766</v>
      </c>
      <c r="D726" t="s">
        <v>2125</v>
      </c>
      <c r="E726" t="s">
        <v>1713</v>
      </c>
      <c r="F726" t="s">
        <v>766</v>
      </c>
      <c r="G726" t="s">
        <v>2766</v>
      </c>
      <c r="H726" t="s">
        <v>2767</v>
      </c>
      <c r="J726" t="s">
        <v>2771</v>
      </c>
    </row>
    <row r="727" spans="1:10" hidden="1" x14ac:dyDescent="0.35">
      <c r="A727">
        <v>384</v>
      </c>
      <c r="B727" s="58" t="s">
        <v>2140</v>
      </c>
      <c r="C727" t="s">
        <v>766</v>
      </c>
      <c r="D727" t="s">
        <v>2772</v>
      </c>
      <c r="E727" t="s">
        <v>1713</v>
      </c>
      <c r="F727" t="s">
        <v>766</v>
      </c>
      <c r="G727" t="s">
        <v>2766</v>
      </c>
      <c r="H727" t="s">
        <v>2767</v>
      </c>
      <c r="J727" t="s">
        <v>2773</v>
      </c>
    </row>
    <row r="728" spans="1:10" hidden="1" x14ac:dyDescent="0.35">
      <c r="A728">
        <v>384</v>
      </c>
      <c r="B728" s="19" t="s">
        <v>2731</v>
      </c>
      <c r="C728" t="s">
        <v>766</v>
      </c>
      <c r="D728" t="s">
        <v>1756</v>
      </c>
      <c r="E728" t="s">
        <v>1713</v>
      </c>
      <c r="F728" t="s">
        <v>766</v>
      </c>
      <c r="G728" t="s">
        <v>2766</v>
      </c>
      <c r="H728" t="s">
        <v>2767</v>
      </c>
      <c r="J728" t="s">
        <v>2774</v>
      </c>
    </row>
    <row r="729" spans="1:10" hidden="1" x14ac:dyDescent="0.35">
      <c r="A729">
        <v>384</v>
      </c>
      <c r="B729" s="19" t="s">
        <v>2132</v>
      </c>
      <c r="C729" t="s">
        <v>766</v>
      </c>
      <c r="D729" t="s">
        <v>34</v>
      </c>
      <c r="E729" t="s">
        <v>1713</v>
      </c>
      <c r="F729" t="s">
        <v>766</v>
      </c>
      <c r="G729" t="s">
        <v>2766</v>
      </c>
      <c r="H729" t="s">
        <v>2767</v>
      </c>
      <c r="J729" t="s">
        <v>2775</v>
      </c>
    </row>
    <row r="730" spans="1:10" hidden="1" x14ac:dyDescent="0.35">
      <c r="A730">
        <v>384</v>
      </c>
      <c r="B730" s="7" t="s">
        <v>1750</v>
      </c>
      <c r="C730" t="s">
        <v>766</v>
      </c>
      <c r="D730" t="s">
        <v>34</v>
      </c>
      <c r="E730" t="s">
        <v>1713</v>
      </c>
      <c r="F730" t="s">
        <v>766</v>
      </c>
      <c r="G730" t="s">
        <v>2766</v>
      </c>
      <c r="H730" t="s">
        <v>2767</v>
      </c>
      <c r="J730" t="s">
        <v>2776</v>
      </c>
    </row>
    <row r="731" spans="1:10" hidden="1" x14ac:dyDescent="0.35">
      <c r="A731">
        <v>384</v>
      </c>
      <c r="B731" s="63" t="s">
        <v>2745</v>
      </c>
      <c r="C731" t="s">
        <v>766</v>
      </c>
      <c r="D731" t="s">
        <v>1659</v>
      </c>
      <c r="E731" t="s">
        <v>1713</v>
      </c>
      <c r="F731" t="s">
        <v>766</v>
      </c>
      <c r="G731" t="s">
        <v>2766</v>
      </c>
      <c r="H731" t="s">
        <v>2767</v>
      </c>
      <c r="J731" t="s">
        <v>2777</v>
      </c>
    </row>
    <row r="732" spans="1:10" hidden="1" x14ac:dyDescent="0.35">
      <c r="A732">
        <v>384</v>
      </c>
      <c r="B732" s="11" t="s">
        <v>2778</v>
      </c>
      <c r="C732" t="s">
        <v>766</v>
      </c>
      <c r="D732" t="s">
        <v>34</v>
      </c>
      <c r="E732" t="s">
        <v>1713</v>
      </c>
      <c r="F732" t="s">
        <v>766</v>
      </c>
      <c r="G732" t="s">
        <v>2766</v>
      </c>
      <c r="H732" t="s">
        <v>2767</v>
      </c>
      <c r="J732" t="s">
        <v>2779</v>
      </c>
    </row>
    <row r="733" spans="1:10" hidden="1" x14ac:dyDescent="0.35">
      <c r="A733">
        <v>384</v>
      </c>
      <c r="B733" s="7" t="s">
        <v>1752</v>
      </c>
      <c r="C733" t="s">
        <v>766</v>
      </c>
      <c r="D733" t="s">
        <v>1817</v>
      </c>
      <c r="E733" t="s">
        <v>1713</v>
      </c>
      <c r="F733" t="s">
        <v>766</v>
      </c>
      <c r="G733" t="s">
        <v>2766</v>
      </c>
      <c r="H733" t="s">
        <v>2767</v>
      </c>
      <c r="J733" t="s">
        <v>2780</v>
      </c>
    </row>
    <row r="734" spans="1:10" hidden="1" x14ac:dyDescent="0.35">
      <c r="A734">
        <v>384</v>
      </c>
      <c r="B734" s="7" t="s">
        <v>2506</v>
      </c>
      <c r="C734" t="s">
        <v>766</v>
      </c>
      <c r="D734" t="s">
        <v>34</v>
      </c>
      <c r="E734" t="s">
        <v>1713</v>
      </c>
      <c r="F734" t="s">
        <v>766</v>
      </c>
      <c r="G734" t="s">
        <v>2766</v>
      </c>
      <c r="H734" t="s">
        <v>2767</v>
      </c>
      <c r="J734" t="s">
        <v>2781</v>
      </c>
    </row>
    <row r="735" spans="1:10" hidden="1" x14ac:dyDescent="0.35">
      <c r="A735">
        <v>384</v>
      </c>
      <c r="B735" s="7" t="s">
        <v>2782</v>
      </c>
      <c r="C735" t="s">
        <v>766</v>
      </c>
      <c r="D735" t="s">
        <v>34</v>
      </c>
      <c r="E735" t="s">
        <v>1713</v>
      </c>
      <c r="F735" t="s">
        <v>766</v>
      </c>
      <c r="G735" t="s">
        <v>2766</v>
      </c>
      <c r="H735" t="s">
        <v>2767</v>
      </c>
      <c r="J735" t="s">
        <v>2783</v>
      </c>
    </row>
    <row r="736" spans="1:10" hidden="1" x14ac:dyDescent="0.35">
      <c r="A736">
        <v>384</v>
      </c>
      <c r="B736" s="7" t="s">
        <v>1753</v>
      </c>
      <c r="C736" t="s">
        <v>766</v>
      </c>
      <c r="D736" t="s">
        <v>34</v>
      </c>
      <c r="E736" t="s">
        <v>1713</v>
      </c>
      <c r="F736" t="s">
        <v>766</v>
      </c>
      <c r="G736" t="s">
        <v>2766</v>
      </c>
      <c r="H736" t="s">
        <v>2767</v>
      </c>
      <c r="J736" t="s">
        <v>2784</v>
      </c>
    </row>
    <row r="737" spans="1:11" hidden="1" x14ac:dyDescent="0.35">
      <c r="A737">
        <v>384</v>
      </c>
      <c r="B737" s="17" t="s">
        <v>2162</v>
      </c>
      <c r="C737" t="s">
        <v>137</v>
      </c>
      <c r="D737" t="s">
        <v>2785</v>
      </c>
      <c r="E737" t="s">
        <v>1713</v>
      </c>
      <c r="F737" t="s">
        <v>137</v>
      </c>
      <c r="G737" t="s">
        <v>2766</v>
      </c>
      <c r="H737" t="s">
        <v>2767</v>
      </c>
      <c r="J737" t="s">
        <v>2786</v>
      </c>
    </row>
    <row r="738" spans="1:11" hidden="1" x14ac:dyDescent="0.35">
      <c r="A738">
        <v>384</v>
      </c>
      <c r="B738" s="67" t="s">
        <v>2735</v>
      </c>
      <c r="C738" t="s">
        <v>137</v>
      </c>
      <c r="D738" t="s">
        <v>2787</v>
      </c>
      <c r="E738" t="s">
        <v>1713</v>
      </c>
      <c r="F738" t="s">
        <v>137</v>
      </c>
      <c r="G738" t="s">
        <v>2766</v>
      </c>
      <c r="H738" t="s">
        <v>2767</v>
      </c>
      <c r="J738" t="s">
        <v>2788</v>
      </c>
    </row>
    <row r="739" spans="1:11" hidden="1" x14ac:dyDescent="0.35">
      <c r="A739">
        <v>384</v>
      </c>
      <c r="B739" s="67" t="s">
        <v>2789</v>
      </c>
      <c r="C739" t="s">
        <v>137</v>
      </c>
      <c r="D739" t="s">
        <v>2790</v>
      </c>
      <c r="E739" t="s">
        <v>1713</v>
      </c>
      <c r="F739" t="s">
        <v>766</v>
      </c>
      <c r="G739" t="s">
        <v>2766</v>
      </c>
      <c r="H739" t="s">
        <v>2767</v>
      </c>
      <c r="J739" t="s">
        <v>2791</v>
      </c>
    </row>
    <row r="740" spans="1:11" hidden="1" x14ac:dyDescent="0.35">
      <c r="A740">
        <v>384</v>
      </c>
      <c r="B740" s="67" t="s">
        <v>2163</v>
      </c>
      <c r="C740" t="s">
        <v>137</v>
      </c>
      <c r="D740" t="s">
        <v>2792</v>
      </c>
      <c r="E740" t="s">
        <v>1713</v>
      </c>
      <c r="F740" t="s">
        <v>766</v>
      </c>
      <c r="G740" t="s">
        <v>2766</v>
      </c>
      <c r="H740" t="s">
        <v>2767</v>
      </c>
      <c r="J740" t="s">
        <v>2793</v>
      </c>
    </row>
    <row r="741" spans="1:11" hidden="1" x14ac:dyDescent="0.35">
      <c r="A741">
        <v>384</v>
      </c>
      <c r="B741" s="67" t="s">
        <v>1758</v>
      </c>
      <c r="C741" t="s">
        <v>137</v>
      </c>
      <c r="D741" t="s">
        <v>2794</v>
      </c>
      <c r="E741" t="s">
        <v>1713</v>
      </c>
      <c r="F741" t="s">
        <v>766</v>
      </c>
      <c r="G741" t="s">
        <v>2766</v>
      </c>
      <c r="H741" t="s">
        <v>2767</v>
      </c>
      <c r="J741" t="s">
        <v>2795</v>
      </c>
    </row>
    <row r="742" spans="1:11" hidden="1" x14ac:dyDescent="0.35">
      <c r="A742">
        <v>384</v>
      </c>
      <c r="B742" s="67" t="s">
        <v>2796</v>
      </c>
      <c r="C742" t="s">
        <v>137</v>
      </c>
      <c r="D742" t="s">
        <v>2792</v>
      </c>
      <c r="E742" t="s">
        <v>1713</v>
      </c>
      <c r="F742" t="s">
        <v>766</v>
      </c>
      <c r="G742" t="s">
        <v>2766</v>
      </c>
      <c r="H742" t="s">
        <v>2767</v>
      </c>
      <c r="J742" t="s">
        <v>2797</v>
      </c>
    </row>
    <row r="743" spans="1:11" hidden="1" x14ac:dyDescent="0.35">
      <c r="A743">
        <v>384</v>
      </c>
      <c r="B743" s="67" t="s">
        <v>2798</v>
      </c>
      <c r="C743" t="s">
        <v>137</v>
      </c>
      <c r="D743" t="s">
        <v>2799</v>
      </c>
      <c r="E743" t="s">
        <v>1713</v>
      </c>
      <c r="F743" t="s">
        <v>137</v>
      </c>
      <c r="G743" t="s">
        <v>2766</v>
      </c>
      <c r="H743" t="s">
        <v>2767</v>
      </c>
      <c r="J743" t="s">
        <v>2800</v>
      </c>
    </row>
    <row r="744" spans="1:11" hidden="1" x14ac:dyDescent="0.35">
      <c r="A744">
        <v>368</v>
      </c>
      <c r="B744" s="61" t="s">
        <v>2801</v>
      </c>
      <c r="C744" t="s">
        <v>1374</v>
      </c>
      <c r="D744" t="s">
        <v>34</v>
      </c>
      <c r="E744" t="s">
        <v>1713</v>
      </c>
      <c r="F744" t="s">
        <v>24</v>
      </c>
      <c r="G744" t="s">
        <v>1160</v>
      </c>
      <c r="H744" t="s">
        <v>2035</v>
      </c>
      <c r="I744" t="s">
        <v>348</v>
      </c>
      <c r="J744" t="s">
        <v>2802</v>
      </c>
      <c r="K744" t="s">
        <v>1652</v>
      </c>
    </row>
    <row r="745" spans="1:11" hidden="1" x14ac:dyDescent="0.35">
      <c r="A745">
        <v>368</v>
      </c>
      <c r="B745" t="s">
        <v>2803</v>
      </c>
      <c r="C745" t="s">
        <v>1711</v>
      </c>
      <c r="D745" t="s">
        <v>157</v>
      </c>
      <c r="E745" t="s">
        <v>1713</v>
      </c>
      <c r="F745" t="s">
        <v>1374</v>
      </c>
      <c r="G745" t="s">
        <v>2804</v>
      </c>
      <c r="H745" t="s">
        <v>2035</v>
      </c>
      <c r="I745" t="s">
        <v>348</v>
      </c>
      <c r="J745" t="s">
        <v>2805</v>
      </c>
    </row>
    <row r="746" spans="1:11" hidden="1" x14ac:dyDescent="0.35">
      <c r="A746">
        <v>368</v>
      </c>
      <c r="B746" t="s">
        <v>2806</v>
      </c>
      <c r="C746" t="s">
        <v>1711</v>
      </c>
      <c r="D746" t="s">
        <v>34</v>
      </c>
      <c r="E746" t="s">
        <v>1713</v>
      </c>
      <c r="F746" t="s">
        <v>1374</v>
      </c>
      <c r="G746" t="s">
        <v>2804</v>
      </c>
      <c r="H746" t="s">
        <v>2035</v>
      </c>
      <c r="I746" t="s">
        <v>348</v>
      </c>
      <c r="J746" t="s">
        <v>2805</v>
      </c>
    </row>
    <row r="747" spans="1:11" hidden="1" x14ac:dyDescent="0.35">
      <c r="A747">
        <v>368</v>
      </c>
      <c r="B747" t="s">
        <v>2807</v>
      </c>
      <c r="C747" t="s">
        <v>1711</v>
      </c>
      <c r="D747" t="s">
        <v>688</v>
      </c>
      <c r="E747" t="s">
        <v>1713</v>
      </c>
      <c r="F747" t="s">
        <v>1714</v>
      </c>
      <c r="G747" t="s">
        <v>2804</v>
      </c>
      <c r="H747" t="s">
        <v>2035</v>
      </c>
      <c r="I747" t="s">
        <v>348</v>
      </c>
      <c r="J747" t="s">
        <v>2805</v>
      </c>
    </row>
    <row r="748" spans="1:11" hidden="1" x14ac:dyDescent="0.35">
      <c r="A748">
        <v>368</v>
      </c>
      <c r="B748" t="s">
        <v>2808</v>
      </c>
      <c r="C748" t="s">
        <v>1711</v>
      </c>
      <c r="D748" t="s">
        <v>2809</v>
      </c>
      <c r="E748" t="s">
        <v>1713</v>
      </c>
      <c r="F748" t="s">
        <v>1714</v>
      </c>
      <c r="G748" t="s">
        <v>2804</v>
      </c>
      <c r="H748" t="s">
        <v>2035</v>
      </c>
      <c r="I748" t="s">
        <v>348</v>
      </c>
      <c r="J748" t="s">
        <v>2805</v>
      </c>
    </row>
    <row r="749" spans="1:11" hidden="1" x14ac:dyDescent="0.35">
      <c r="A749">
        <v>364</v>
      </c>
      <c r="B749" s="2" t="s">
        <v>1742</v>
      </c>
      <c r="C749" t="s">
        <v>766</v>
      </c>
      <c r="D749" t="s">
        <v>2125</v>
      </c>
      <c r="E749" t="s">
        <v>1713</v>
      </c>
      <c r="F749" t="s">
        <v>766</v>
      </c>
      <c r="G749" t="s">
        <v>2766</v>
      </c>
      <c r="H749" t="s">
        <v>1877</v>
      </c>
      <c r="J749" t="s">
        <v>2810</v>
      </c>
    </row>
    <row r="750" spans="1:11" hidden="1" x14ac:dyDescent="0.35">
      <c r="A750">
        <v>364</v>
      </c>
      <c r="B750" s="58" t="s">
        <v>2407</v>
      </c>
      <c r="C750" t="s">
        <v>766</v>
      </c>
      <c r="D750" t="s">
        <v>2772</v>
      </c>
      <c r="E750" t="s">
        <v>1713</v>
      </c>
      <c r="F750" t="s">
        <v>766</v>
      </c>
      <c r="G750" t="s">
        <v>2766</v>
      </c>
      <c r="H750" t="s">
        <v>1877</v>
      </c>
      <c r="J750" t="s">
        <v>2811</v>
      </c>
    </row>
    <row r="751" spans="1:11" hidden="1" x14ac:dyDescent="0.35">
      <c r="A751">
        <v>364</v>
      </c>
      <c r="B751" s="19" t="s">
        <v>2132</v>
      </c>
      <c r="C751" t="s">
        <v>766</v>
      </c>
      <c r="D751" t="s">
        <v>2812</v>
      </c>
      <c r="E751" t="s">
        <v>1713</v>
      </c>
      <c r="F751" t="s">
        <v>766</v>
      </c>
      <c r="G751" t="s">
        <v>2766</v>
      </c>
      <c r="H751" t="s">
        <v>1877</v>
      </c>
      <c r="J751" t="s">
        <v>2813</v>
      </c>
    </row>
    <row r="752" spans="1:11" hidden="1" x14ac:dyDescent="0.35">
      <c r="A752">
        <v>364</v>
      </c>
      <c r="B752" s="17" t="s">
        <v>2162</v>
      </c>
      <c r="C752" t="s">
        <v>137</v>
      </c>
      <c r="D752" t="s">
        <v>2814</v>
      </c>
      <c r="E752" t="s">
        <v>1713</v>
      </c>
      <c r="F752" t="s">
        <v>137</v>
      </c>
      <c r="G752" t="s">
        <v>2766</v>
      </c>
      <c r="H752" t="s">
        <v>1877</v>
      </c>
      <c r="J752" t="s">
        <v>2815</v>
      </c>
    </row>
    <row r="753" spans="1:11" hidden="1" x14ac:dyDescent="0.35">
      <c r="A753">
        <v>364</v>
      </c>
      <c r="B753" s="67" t="s">
        <v>2735</v>
      </c>
      <c r="C753" t="s">
        <v>137</v>
      </c>
      <c r="D753" t="s">
        <v>2816</v>
      </c>
      <c r="E753" t="s">
        <v>1713</v>
      </c>
      <c r="F753" t="s">
        <v>137</v>
      </c>
      <c r="G753" t="s">
        <v>2766</v>
      </c>
      <c r="H753" t="s">
        <v>1877</v>
      </c>
      <c r="J753" t="s">
        <v>2815</v>
      </c>
    </row>
    <row r="754" spans="1:11" hidden="1" x14ac:dyDescent="0.35">
      <c r="A754">
        <v>364</v>
      </c>
      <c r="B754" s="67" t="s">
        <v>2789</v>
      </c>
      <c r="C754" t="s">
        <v>137</v>
      </c>
      <c r="D754" t="s">
        <v>2817</v>
      </c>
      <c r="E754" t="s">
        <v>1713</v>
      </c>
      <c r="F754" t="s">
        <v>766</v>
      </c>
      <c r="G754" t="s">
        <v>2766</v>
      </c>
      <c r="H754" t="s">
        <v>1877</v>
      </c>
      <c r="J754" t="s">
        <v>2818</v>
      </c>
      <c r="K754" t="s">
        <v>2819</v>
      </c>
    </row>
    <row r="755" spans="1:11" hidden="1" x14ac:dyDescent="0.35">
      <c r="A755">
        <v>364</v>
      </c>
      <c r="B755" s="67" t="s">
        <v>1758</v>
      </c>
      <c r="C755" t="s">
        <v>137</v>
      </c>
      <c r="D755" t="s">
        <v>2794</v>
      </c>
      <c r="E755" t="s">
        <v>1713</v>
      </c>
      <c r="F755" t="s">
        <v>766</v>
      </c>
      <c r="G755" t="s">
        <v>2766</v>
      </c>
      <c r="H755" t="s">
        <v>1877</v>
      </c>
      <c r="J755" t="s">
        <v>2820</v>
      </c>
      <c r="K755" t="s">
        <v>2819</v>
      </c>
    </row>
    <row r="756" spans="1:11" hidden="1" x14ac:dyDescent="0.35">
      <c r="A756">
        <v>364</v>
      </c>
      <c r="B756" s="67" t="s">
        <v>2796</v>
      </c>
      <c r="C756" t="s">
        <v>137</v>
      </c>
      <c r="D756" t="s">
        <v>2821</v>
      </c>
      <c r="E756" t="s">
        <v>1713</v>
      </c>
      <c r="F756" t="s">
        <v>766</v>
      </c>
      <c r="G756" t="s">
        <v>2766</v>
      </c>
      <c r="H756" t="s">
        <v>1877</v>
      </c>
      <c r="J756" t="s">
        <v>2822</v>
      </c>
      <c r="K756" t="s">
        <v>2819</v>
      </c>
    </row>
    <row r="757" spans="1:11" hidden="1" x14ac:dyDescent="0.35">
      <c r="A757">
        <v>364</v>
      </c>
      <c r="B757" s="67" t="s">
        <v>2163</v>
      </c>
      <c r="C757" t="s">
        <v>137</v>
      </c>
      <c r="D757" t="s">
        <v>2821</v>
      </c>
      <c r="E757" t="s">
        <v>1713</v>
      </c>
      <c r="F757" t="s">
        <v>766</v>
      </c>
      <c r="G757" t="s">
        <v>2766</v>
      </c>
      <c r="H757" t="s">
        <v>1877</v>
      </c>
      <c r="J757" t="s">
        <v>2823</v>
      </c>
      <c r="K757" t="s">
        <v>2819</v>
      </c>
    </row>
    <row r="758" spans="1:11" hidden="1" x14ac:dyDescent="0.35">
      <c r="A758">
        <v>364</v>
      </c>
      <c r="B758" s="67" t="s">
        <v>2824</v>
      </c>
      <c r="C758" t="s">
        <v>137</v>
      </c>
      <c r="D758" t="s">
        <v>2821</v>
      </c>
      <c r="E758" t="s">
        <v>1713</v>
      </c>
      <c r="F758" t="s">
        <v>766</v>
      </c>
      <c r="G758" t="s">
        <v>2766</v>
      </c>
      <c r="H758" t="s">
        <v>1877</v>
      </c>
      <c r="J758" t="s">
        <v>2825</v>
      </c>
      <c r="K758" t="s">
        <v>2819</v>
      </c>
    </row>
    <row r="759" spans="1:11" x14ac:dyDescent="0.35">
      <c r="A759">
        <v>364</v>
      </c>
      <c r="B759" t="s">
        <v>2166</v>
      </c>
      <c r="C759" t="s">
        <v>1777</v>
      </c>
      <c r="D759" t="s">
        <v>1659</v>
      </c>
      <c r="E759" t="s">
        <v>1713</v>
      </c>
      <c r="F759" t="s">
        <v>57</v>
      </c>
      <c r="G759" t="s">
        <v>2766</v>
      </c>
      <c r="H759" t="s">
        <v>1877</v>
      </c>
      <c r="J759" t="s">
        <v>2826</v>
      </c>
    </row>
    <row r="760" spans="1:11" hidden="1" x14ac:dyDescent="0.35">
      <c r="A760">
        <v>347</v>
      </c>
      <c r="B760" s="2" t="s">
        <v>1742</v>
      </c>
      <c r="C760" t="s">
        <v>766</v>
      </c>
      <c r="D760" t="s">
        <v>2125</v>
      </c>
      <c r="E760" t="s">
        <v>1713</v>
      </c>
      <c r="F760" t="s">
        <v>766</v>
      </c>
      <c r="G760" t="s">
        <v>2766</v>
      </c>
      <c r="H760" t="s">
        <v>644</v>
      </c>
      <c r="J760" t="s">
        <v>2827</v>
      </c>
    </row>
    <row r="761" spans="1:11" hidden="1" x14ac:dyDescent="0.35">
      <c r="A761">
        <v>347</v>
      </c>
      <c r="B761" s="58" t="s">
        <v>2407</v>
      </c>
      <c r="C761" t="s">
        <v>766</v>
      </c>
      <c r="D761" t="s">
        <v>2828</v>
      </c>
      <c r="E761" t="s">
        <v>1713</v>
      </c>
      <c r="F761" t="s">
        <v>766</v>
      </c>
      <c r="G761" t="s">
        <v>2766</v>
      </c>
      <c r="H761" t="s">
        <v>644</v>
      </c>
      <c r="J761" t="s">
        <v>2827</v>
      </c>
    </row>
    <row r="762" spans="1:11" hidden="1" x14ac:dyDescent="0.35">
      <c r="A762">
        <v>347</v>
      </c>
      <c r="B762" s="19" t="s">
        <v>2731</v>
      </c>
      <c r="C762" t="s">
        <v>766</v>
      </c>
      <c r="D762" t="s">
        <v>34</v>
      </c>
      <c r="E762" t="s">
        <v>1713</v>
      </c>
      <c r="F762" t="s">
        <v>766</v>
      </c>
      <c r="G762" t="s">
        <v>2766</v>
      </c>
      <c r="H762" t="s">
        <v>644</v>
      </c>
      <c r="J762" t="s">
        <v>2829</v>
      </c>
    </row>
    <row r="763" spans="1:11" hidden="1" x14ac:dyDescent="0.35">
      <c r="A763">
        <v>347</v>
      </c>
      <c r="B763" s="59" t="s">
        <v>2830</v>
      </c>
      <c r="C763" t="s">
        <v>1374</v>
      </c>
      <c r="D763" t="s">
        <v>34</v>
      </c>
      <c r="E763" t="s">
        <v>1713</v>
      </c>
      <c r="F763" t="s">
        <v>1374</v>
      </c>
      <c r="G763" t="s">
        <v>2766</v>
      </c>
      <c r="H763" t="s">
        <v>644</v>
      </c>
      <c r="J763" t="s">
        <v>2831</v>
      </c>
    </row>
    <row r="764" spans="1:11" hidden="1" x14ac:dyDescent="0.35">
      <c r="A764">
        <v>347</v>
      </c>
      <c r="B764" s="59" t="s">
        <v>1735</v>
      </c>
      <c r="C764" t="s">
        <v>1374</v>
      </c>
      <c r="D764" t="s">
        <v>34</v>
      </c>
      <c r="E764" t="s">
        <v>1713</v>
      </c>
      <c r="F764" t="s">
        <v>1374</v>
      </c>
      <c r="G764" t="s">
        <v>2766</v>
      </c>
      <c r="H764" t="s">
        <v>644</v>
      </c>
      <c r="J764" t="s">
        <v>2832</v>
      </c>
    </row>
    <row r="765" spans="1:11" hidden="1" x14ac:dyDescent="0.35">
      <c r="A765">
        <v>347</v>
      </c>
      <c r="B765" s="67" t="s">
        <v>2735</v>
      </c>
      <c r="C765" t="s">
        <v>137</v>
      </c>
      <c r="D765" t="s">
        <v>2833</v>
      </c>
      <c r="E765" t="s">
        <v>1713</v>
      </c>
      <c r="F765" t="s">
        <v>137</v>
      </c>
      <c r="G765" t="s">
        <v>2766</v>
      </c>
      <c r="H765" t="s">
        <v>644</v>
      </c>
      <c r="J765" t="s">
        <v>2834</v>
      </c>
    </row>
    <row r="766" spans="1:11" hidden="1" x14ac:dyDescent="0.35">
      <c r="A766">
        <v>347</v>
      </c>
      <c r="B766" s="67" t="s">
        <v>2835</v>
      </c>
      <c r="C766" t="s">
        <v>137</v>
      </c>
      <c r="D766" t="s">
        <v>2836</v>
      </c>
      <c r="E766" t="s">
        <v>1713</v>
      </c>
      <c r="F766" t="s">
        <v>137</v>
      </c>
      <c r="G766" t="s">
        <v>2766</v>
      </c>
      <c r="H766" t="s">
        <v>644</v>
      </c>
      <c r="J766" t="s">
        <v>2837</v>
      </c>
    </row>
    <row r="767" spans="1:11" hidden="1" x14ac:dyDescent="0.35">
      <c r="A767">
        <v>347</v>
      </c>
      <c r="B767" s="67" t="s">
        <v>2738</v>
      </c>
      <c r="C767" t="s">
        <v>137</v>
      </c>
      <c r="D767" t="s">
        <v>2838</v>
      </c>
      <c r="E767" t="s">
        <v>1713</v>
      </c>
      <c r="F767" t="s">
        <v>137</v>
      </c>
      <c r="G767" t="s">
        <v>2766</v>
      </c>
      <c r="H767" t="s">
        <v>644</v>
      </c>
      <c r="J767" t="s">
        <v>2839</v>
      </c>
    </row>
    <row r="768" spans="1:11" hidden="1" x14ac:dyDescent="0.35">
      <c r="A768">
        <v>347</v>
      </c>
      <c r="B768" s="67" t="s">
        <v>1758</v>
      </c>
      <c r="C768" t="s">
        <v>137</v>
      </c>
      <c r="D768" t="s">
        <v>2794</v>
      </c>
      <c r="E768" t="s">
        <v>1713</v>
      </c>
      <c r="F768" t="s">
        <v>137</v>
      </c>
      <c r="G768" t="s">
        <v>2766</v>
      </c>
      <c r="H768" t="s">
        <v>644</v>
      </c>
      <c r="J768" t="s">
        <v>2840</v>
      </c>
    </row>
    <row r="769" spans="1:11" hidden="1" x14ac:dyDescent="0.35">
      <c r="A769">
        <v>347</v>
      </c>
      <c r="B769" s="67" t="s">
        <v>2841</v>
      </c>
      <c r="C769" t="s">
        <v>137</v>
      </c>
      <c r="D769" t="s">
        <v>2842</v>
      </c>
      <c r="E769" t="s">
        <v>1713</v>
      </c>
      <c r="F769" t="s">
        <v>137</v>
      </c>
      <c r="G769" t="s">
        <v>2766</v>
      </c>
      <c r="H769" t="s">
        <v>644</v>
      </c>
      <c r="J769" t="s">
        <v>2843</v>
      </c>
    </row>
    <row r="770" spans="1:11" hidden="1" x14ac:dyDescent="0.35">
      <c r="A770">
        <v>347</v>
      </c>
      <c r="B770" s="67" t="s">
        <v>2163</v>
      </c>
      <c r="C770" t="s">
        <v>137</v>
      </c>
      <c r="D770" t="s">
        <v>2842</v>
      </c>
      <c r="E770" t="s">
        <v>1713</v>
      </c>
      <c r="F770" t="s">
        <v>137</v>
      </c>
      <c r="G770" t="s">
        <v>2766</v>
      </c>
      <c r="H770" t="s">
        <v>644</v>
      </c>
      <c r="J770" t="s">
        <v>2844</v>
      </c>
    </row>
    <row r="771" spans="1:11" hidden="1" x14ac:dyDescent="0.35">
      <c r="A771">
        <v>329</v>
      </c>
      <c r="B771" s="2" t="s">
        <v>2124</v>
      </c>
      <c r="C771" t="s">
        <v>766</v>
      </c>
      <c r="D771" t="s">
        <v>2125</v>
      </c>
      <c r="E771" t="s">
        <v>1713</v>
      </c>
      <c r="F771" t="s">
        <v>766</v>
      </c>
      <c r="G771" t="s">
        <v>2845</v>
      </c>
      <c r="H771" t="s">
        <v>1662</v>
      </c>
      <c r="J771" t="s">
        <v>1663</v>
      </c>
      <c r="K771" t="s">
        <v>1664</v>
      </c>
    </row>
    <row r="772" spans="1:11" hidden="1" x14ac:dyDescent="0.35">
      <c r="A772">
        <v>329</v>
      </c>
      <c r="B772" s="7" t="s">
        <v>2122</v>
      </c>
      <c r="C772" t="s">
        <v>766</v>
      </c>
      <c r="D772" t="s">
        <v>34</v>
      </c>
      <c r="E772" t="s">
        <v>1713</v>
      </c>
      <c r="F772" t="s">
        <v>766</v>
      </c>
      <c r="G772" t="s">
        <v>2845</v>
      </c>
      <c r="H772" t="s">
        <v>1662</v>
      </c>
      <c r="J772" t="s">
        <v>1663</v>
      </c>
      <c r="K772" t="s">
        <v>1664</v>
      </c>
    </row>
    <row r="773" spans="1:11" hidden="1" x14ac:dyDescent="0.35">
      <c r="A773">
        <v>329</v>
      </c>
      <c r="B773" s="19" t="s">
        <v>2179</v>
      </c>
      <c r="C773" t="s">
        <v>766</v>
      </c>
      <c r="D773" t="s">
        <v>34</v>
      </c>
      <c r="E773" t="s">
        <v>1713</v>
      </c>
      <c r="F773" t="s">
        <v>766</v>
      </c>
      <c r="G773" t="s">
        <v>2845</v>
      </c>
      <c r="H773" t="s">
        <v>1662</v>
      </c>
      <c r="J773" t="s">
        <v>1663</v>
      </c>
      <c r="K773" t="s">
        <v>1664</v>
      </c>
    </row>
    <row r="774" spans="1:11" hidden="1" x14ac:dyDescent="0.35">
      <c r="A774">
        <v>329</v>
      </c>
      <c r="B774" s="2" t="s">
        <v>2753</v>
      </c>
      <c r="C774" t="s">
        <v>1374</v>
      </c>
      <c r="D774" t="s">
        <v>2846</v>
      </c>
      <c r="E774" t="s">
        <v>1713</v>
      </c>
      <c r="F774" t="s">
        <v>1374</v>
      </c>
      <c r="G774" t="s">
        <v>2845</v>
      </c>
      <c r="H774" t="s">
        <v>1662</v>
      </c>
      <c r="J774" t="s">
        <v>1663</v>
      </c>
      <c r="K774" t="s">
        <v>1664</v>
      </c>
    </row>
    <row r="775" spans="1:11" hidden="1" x14ac:dyDescent="0.35">
      <c r="A775">
        <v>304</v>
      </c>
      <c r="B775" s="43" t="s">
        <v>2847</v>
      </c>
      <c r="C775" t="s">
        <v>137</v>
      </c>
      <c r="D775" t="s">
        <v>1656</v>
      </c>
      <c r="E775" t="s">
        <v>1713</v>
      </c>
      <c r="F775" t="s">
        <v>24</v>
      </c>
      <c r="G775" t="s">
        <v>2848</v>
      </c>
      <c r="H775" t="s">
        <v>315</v>
      </c>
      <c r="J775" t="s">
        <v>357</v>
      </c>
    </row>
    <row r="776" spans="1:11" hidden="1" x14ac:dyDescent="0.35">
      <c r="A776">
        <v>304</v>
      </c>
      <c r="B776" s="43" t="s">
        <v>2849</v>
      </c>
      <c r="C776" t="s">
        <v>137</v>
      </c>
      <c r="D776" t="s">
        <v>1656</v>
      </c>
      <c r="E776" t="s">
        <v>1713</v>
      </c>
      <c r="F776" t="s">
        <v>24</v>
      </c>
      <c r="G776" t="s">
        <v>2848</v>
      </c>
      <c r="H776" t="s">
        <v>315</v>
      </c>
      <c r="J776" t="s">
        <v>2850</v>
      </c>
    </row>
    <row r="777" spans="1:11" hidden="1" x14ac:dyDescent="0.35">
      <c r="A777">
        <v>304</v>
      </c>
      <c r="B777" s="43" t="s">
        <v>2851</v>
      </c>
      <c r="C777" t="s">
        <v>137</v>
      </c>
      <c r="D777" t="s">
        <v>1656</v>
      </c>
      <c r="E777" t="s">
        <v>1713</v>
      </c>
      <c r="F777" t="s">
        <v>24</v>
      </c>
      <c r="G777" t="s">
        <v>2848</v>
      </c>
      <c r="H777" t="s">
        <v>315</v>
      </c>
      <c r="J777" t="s">
        <v>2852</v>
      </c>
    </row>
    <row r="778" spans="1:11" hidden="1" x14ac:dyDescent="0.35">
      <c r="A778">
        <v>304</v>
      </c>
      <c r="B778" t="s">
        <v>2853</v>
      </c>
      <c r="C778" t="s">
        <v>137</v>
      </c>
      <c r="D778" t="s">
        <v>2854</v>
      </c>
      <c r="E778" t="s">
        <v>1713</v>
      </c>
      <c r="F778" t="s">
        <v>24</v>
      </c>
      <c r="G778" t="s">
        <v>2848</v>
      </c>
      <c r="H778" t="s">
        <v>315</v>
      </c>
      <c r="J778" t="s">
        <v>357</v>
      </c>
    </row>
    <row r="779" spans="1:11" hidden="1" x14ac:dyDescent="0.35">
      <c r="A779">
        <v>304</v>
      </c>
      <c r="B779" t="s">
        <v>2855</v>
      </c>
      <c r="C779" t="s">
        <v>137</v>
      </c>
      <c r="D779" t="s">
        <v>2854</v>
      </c>
      <c r="E779" t="s">
        <v>1713</v>
      </c>
      <c r="F779" t="s">
        <v>24</v>
      </c>
      <c r="G779" t="s">
        <v>2848</v>
      </c>
      <c r="H779" t="s">
        <v>315</v>
      </c>
      <c r="J779" t="s">
        <v>2850</v>
      </c>
    </row>
    <row r="780" spans="1:11" hidden="1" x14ac:dyDescent="0.35">
      <c r="A780">
        <v>304</v>
      </c>
      <c r="B780" t="s">
        <v>2856</v>
      </c>
      <c r="C780" t="s">
        <v>137</v>
      </c>
      <c r="D780" t="s">
        <v>2854</v>
      </c>
      <c r="E780" t="s">
        <v>1713</v>
      </c>
      <c r="F780" t="s">
        <v>24</v>
      </c>
      <c r="G780" t="s">
        <v>2848</v>
      </c>
      <c r="H780" t="s">
        <v>315</v>
      </c>
      <c r="J780" t="s">
        <v>2852</v>
      </c>
    </row>
    <row r="781" spans="1:11" hidden="1" x14ac:dyDescent="0.35">
      <c r="A781">
        <v>304</v>
      </c>
      <c r="B781" t="s">
        <v>21</v>
      </c>
      <c r="C781" t="s">
        <v>766</v>
      </c>
      <c r="D781" t="s">
        <v>2857</v>
      </c>
      <c r="E781" t="s">
        <v>1713</v>
      </c>
      <c r="F781" t="s">
        <v>24</v>
      </c>
      <c r="G781" t="s">
        <v>2848</v>
      </c>
      <c r="H781" t="s">
        <v>315</v>
      </c>
      <c r="J781" t="s">
        <v>357</v>
      </c>
    </row>
    <row r="782" spans="1:11" hidden="1" x14ac:dyDescent="0.35">
      <c r="A782">
        <v>826</v>
      </c>
      <c r="B782" s="7" t="s">
        <v>2858</v>
      </c>
      <c r="C782" t="s">
        <v>766</v>
      </c>
      <c r="D782" t="s">
        <v>846</v>
      </c>
      <c r="E782" t="s">
        <v>1713</v>
      </c>
      <c r="F782" t="s">
        <v>1374</v>
      </c>
      <c r="G782" t="s">
        <v>63</v>
      </c>
      <c r="H782" t="s">
        <v>2859</v>
      </c>
      <c r="J782" t="s">
        <v>2860</v>
      </c>
      <c r="K782" t="s">
        <v>1090</v>
      </c>
    </row>
    <row r="783" spans="1:11" hidden="1" x14ac:dyDescent="0.35">
      <c r="A783">
        <v>826</v>
      </c>
      <c r="B783" s="58" t="s">
        <v>2861</v>
      </c>
      <c r="C783" t="s">
        <v>766</v>
      </c>
      <c r="D783" t="s">
        <v>2514</v>
      </c>
      <c r="E783" t="s">
        <v>1713</v>
      </c>
      <c r="F783" t="s">
        <v>1374</v>
      </c>
      <c r="G783" t="s">
        <v>63</v>
      </c>
      <c r="H783" t="s">
        <v>2859</v>
      </c>
      <c r="J783" t="s">
        <v>2860</v>
      </c>
    </row>
    <row r="784" spans="1:11" hidden="1" x14ac:dyDescent="0.35">
      <c r="A784">
        <v>826</v>
      </c>
      <c r="B784" s="2" t="s">
        <v>2124</v>
      </c>
      <c r="C784" t="s">
        <v>766</v>
      </c>
      <c r="D784" t="s">
        <v>2125</v>
      </c>
      <c r="E784" t="s">
        <v>1713</v>
      </c>
      <c r="F784" t="s">
        <v>1374</v>
      </c>
      <c r="G784" t="s">
        <v>63</v>
      </c>
      <c r="H784" t="s">
        <v>2859</v>
      </c>
      <c r="J784" t="s">
        <v>2860</v>
      </c>
    </row>
    <row r="785" spans="1:11" hidden="1" x14ac:dyDescent="0.35">
      <c r="A785">
        <v>826</v>
      </c>
      <c r="B785" s="67" t="s">
        <v>2862</v>
      </c>
      <c r="C785" t="s">
        <v>137</v>
      </c>
      <c r="D785" t="s">
        <v>2863</v>
      </c>
      <c r="E785" t="s">
        <v>1713</v>
      </c>
      <c r="F785" t="s">
        <v>766</v>
      </c>
      <c r="G785" t="s">
        <v>63</v>
      </c>
      <c r="H785" t="s">
        <v>2859</v>
      </c>
      <c r="J785" t="s">
        <v>2860</v>
      </c>
      <c r="K785" t="s">
        <v>1090</v>
      </c>
    </row>
    <row r="786" spans="1:11" hidden="1" x14ac:dyDescent="0.35">
      <c r="A786">
        <v>826</v>
      </c>
      <c r="B786" s="67" t="s">
        <v>2864</v>
      </c>
      <c r="C786" t="s">
        <v>137</v>
      </c>
      <c r="D786" t="s">
        <v>2865</v>
      </c>
      <c r="E786" t="s">
        <v>1713</v>
      </c>
      <c r="F786" t="s">
        <v>766</v>
      </c>
      <c r="G786" t="s">
        <v>63</v>
      </c>
      <c r="H786" t="s">
        <v>2859</v>
      </c>
      <c r="J786" t="s">
        <v>2860</v>
      </c>
    </row>
    <row r="787" spans="1:11" hidden="1" x14ac:dyDescent="0.35">
      <c r="A787">
        <v>826</v>
      </c>
      <c r="B787" s="43" t="s">
        <v>2866</v>
      </c>
      <c r="C787" t="s">
        <v>137</v>
      </c>
      <c r="D787" t="s">
        <v>2867</v>
      </c>
      <c r="E787" t="s">
        <v>1713</v>
      </c>
      <c r="F787" t="s">
        <v>22</v>
      </c>
      <c r="G787" t="s">
        <v>63</v>
      </c>
      <c r="H787" t="s">
        <v>2859</v>
      </c>
      <c r="J787" t="s">
        <v>2860</v>
      </c>
    </row>
    <row r="788" spans="1:11" hidden="1" x14ac:dyDescent="0.35">
      <c r="A788">
        <v>826</v>
      </c>
      <c r="B788" t="s">
        <v>2868</v>
      </c>
      <c r="C788" t="s">
        <v>1711</v>
      </c>
      <c r="D788" t="s">
        <v>2867</v>
      </c>
      <c r="E788" t="s">
        <v>1713</v>
      </c>
      <c r="F788" t="s">
        <v>1374</v>
      </c>
      <c r="G788" t="s">
        <v>16</v>
      </c>
      <c r="H788" t="s">
        <v>27</v>
      </c>
      <c r="J788" t="s">
        <v>2860</v>
      </c>
    </row>
  </sheetData>
  <autoFilter ref="A1:K788" xr:uid="{76F7A705-E177-414C-A52A-13B92BC8688A}">
    <filterColumn colId="2">
      <filters>
        <filter val="ecosystem processes"/>
      </filters>
    </filterColumn>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37450-5135-4034-8585-DA0A187E21A5}">
  <dimension ref="A1:C20"/>
  <sheetViews>
    <sheetView workbookViewId="0"/>
  </sheetViews>
  <sheetFormatPr defaultRowHeight="14.5" x14ac:dyDescent="0.35"/>
  <cols>
    <col min="1" max="1" width="18.6328125" bestFit="1" customWidth="1"/>
    <col min="2" max="2" width="100.1796875" bestFit="1" customWidth="1"/>
    <col min="3" max="3" width="10.08984375" bestFit="1" customWidth="1"/>
  </cols>
  <sheetData>
    <row r="1" spans="1:3" x14ac:dyDescent="0.35">
      <c r="A1" s="55" t="s">
        <v>1709</v>
      </c>
      <c r="B1" s="55" t="s">
        <v>1708</v>
      </c>
      <c r="C1" s="55" t="s">
        <v>1694</v>
      </c>
    </row>
    <row r="2" spans="1:3" x14ac:dyDescent="0.35">
      <c r="A2" s="46" t="s">
        <v>766</v>
      </c>
      <c r="B2" s="30" t="s">
        <v>2874</v>
      </c>
      <c r="C2" s="22">
        <f>107+9</f>
        <v>116</v>
      </c>
    </row>
    <row r="3" spans="1:3" x14ac:dyDescent="0.35">
      <c r="A3" s="46" t="s">
        <v>137</v>
      </c>
      <c r="B3" s="69" t="s">
        <v>2878</v>
      </c>
      <c r="C3" s="22">
        <v>106</v>
      </c>
    </row>
    <row r="4" spans="1:3" x14ac:dyDescent="0.35">
      <c r="A4" s="46" t="s">
        <v>137</v>
      </c>
      <c r="B4" s="68" t="s">
        <v>2880</v>
      </c>
      <c r="C4" s="22">
        <v>99</v>
      </c>
    </row>
    <row r="5" spans="1:3" x14ac:dyDescent="0.35">
      <c r="A5" s="46" t="s">
        <v>766</v>
      </c>
      <c r="B5" s="52" t="s">
        <v>2876</v>
      </c>
      <c r="C5" s="22">
        <v>78</v>
      </c>
    </row>
    <row r="6" spans="1:3" x14ac:dyDescent="0.35">
      <c r="A6" s="46" t="s">
        <v>1711</v>
      </c>
      <c r="B6" s="56" t="s">
        <v>2881</v>
      </c>
      <c r="C6" s="22">
        <v>56</v>
      </c>
    </row>
    <row r="7" spans="1:3" x14ac:dyDescent="0.35">
      <c r="A7" s="46" t="s">
        <v>1374</v>
      </c>
      <c r="B7" s="56" t="s">
        <v>2871</v>
      </c>
      <c r="C7" s="22">
        <f>18+7+7+13</f>
        <v>45</v>
      </c>
    </row>
    <row r="8" spans="1:3" x14ac:dyDescent="0.35">
      <c r="A8" s="46" t="s">
        <v>1374</v>
      </c>
      <c r="B8" s="56" t="s">
        <v>2870</v>
      </c>
      <c r="C8" s="22">
        <v>40</v>
      </c>
    </row>
    <row r="9" spans="1:3" x14ac:dyDescent="0.35">
      <c r="A9" s="46" t="s">
        <v>766</v>
      </c>
      <c r="B9" s="28" t="s">
        <v>1742</v>
      </c>
      <c r="C9" s="22">
        <v>40</v>
      </c>
    </row>
    <row r="10" spans="1:3" x14ac:dyDescent="0.35">
      <c r="A10" s="46" t="s">
        <v>766</v>
      </c>
      <c r="B10" s="39" t="s">
        <v>1748</v>
      </c>
      <c r="C10" s="22">
        <v>31</v>
      </c>
    </row>
    <row r="11" spans="1:3" x14ac:dyDescent="0.35">
      <c r="A11" s="46" t="s">
        <v>137</v>
      </c>
      <c r="B11" s="50" t="s">
        <v>2879</v>
      </c>
      <c r="C11" s="22">
        <v>31</v>
      </c>
    </row>
    <row r="12" spans="1:3" x14ac:dyDescent="0.35">
      <c r="A12" s="46" t="s">
        <v>766</v>
      </c>
      <c r="B12" s="44" t="s">
        <v>2873</v>
      </c>
      <c r="C12" s="22">
        <f>10+14</f>
        <v>24</v>
      </c>
    </row>
    <row r="13" spans="1:3" x14ac:dyDescent="0.35">
      <c r="A13" s="46" t="s">
        <v>766</v>
      </c>
      <c r="B13" s="71" t="s">
        <v>1799</v>
      </c>
      <c r="C13" s="22">
        <v>21</v>
      </c>
    </row>
    <row r="14" spans="1:3" x14ac:dyDescent="0.35">
      <c r="A14" s="46" t="s">
        <v>766</v>
      </c>
      <c r="B14" s="70" t="s">
        <v>2875</v>
      </c>
      <c r="C14" s="22">
        <v>18</v>
      </c>
    </row>
    <row r="15" spans="1:3" x14ac:dyDescent="0.35">
      <c r="A15" s="46" t="s">
        <v>766</v>
      </c>
      <c r="B15" s="66" t="s">
        <v>2877</v>
      </c>
      <c r="C15" s="22">
        <v>11</v>
      </c>
    </row>
    <row r="16" spans="1:3" x14ac:dyDescent="0.35">
      <c r="A16" s="46" t="s">
        <v>1374</v>
      </c>
      <c r="B16" s="56" t="s">
        <v>2869</v>
      </c>
      <c r="C16" s="22">
        <v>9</v>
      </c>
    </row>
    <row r="17" spans="1:3" x14ac:dyDescent="0.35">
      <c r="A17" s="46" t="s">
        <v>1777</v>
      </c>
      <c r="B17" s="56" t="s">
        <v>1777</v>
      </c>
      <c r="C17" s="22">
        <v>6</v>
      </c>
    </row>
    <row r="18" spans="1:3" x14ac:dyDescent="0.35">
      <c r="A18" s="46" t="s">
        <v>766</v>
      </c>
      <c r="B18" s="35" t="s">
        <v>2872</v>
      </c>
      <c r="C18" s="22">
        <v>5</v>
      </c>
    </row>
    <row r="19" spans="1:3" x14ac:dyDescent="0.35">
      <c r="A19" s="46" t="s">
        <v>1374</v>
      </c>
      <c r="B19" s="56" t="s">
        <v>1795</v>
      </c>
      <c r="C19" s="22">
        <v>3</v>
      </c>
    </row>
    <row r="20" spans="1:3" x14ac:dyDescent="0.35">
      <c r="A20" s="46" t="s">
        <v>2316</v>
      </c>
      <c r="B20" s="56" t="s">
        <v>2316</v>
      </c>
      <c r="C20" s="22">
        <v>2</v>
      </c>
    </row>
  </sheetData>
  <autoFilter ref="A1:C20" xr:uid="{7BE37450-5135-4034-8585-DA0A187E21A5}">
    <sortState xmlns:xlrd2="http://schemas.microsoft.com/office/spreadsheetml/2017/richdata2" ref="A2:C20">
      <sortCondition descending="1" ref="C1:C20"/>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FAE4B-028E-4D60-9F31-CA7253B5B89A}">
  <sheetPr filterMode="1"/>
  <dimension ref="A1:D1148"/>
  <sheetViews>
    <sheetView tabSelected="1" zoomScaleNormal="100" workbookViewId="0">
      <selection activeCell="B1146" sqref="B1146"/>
    </sheetView>
  </sheetViews>
  <sheetFormatPr defaultRowHeight="14.5" x14ac:dyDescent="0.35"/>
  <cols>
    <col min="2" max="2" width="119.453125" bestFit="1" customWidth="1"/>
    <col min="3" max="3" width="30.54296875" bestFit="1" customWidth="1"/>
    <col min="4" max="4" width="18.6328125" bestFit="1" customWidth="1"/>
  </cols>
  <sheetData>
    <row r="1" spans="1:4" s="1" customFormat="1" x14ac:dyDescent="0.35">
      <c r="A1" s="1" t="s">
        <v>0</v>
      </c>
      <c r="B1" s="1" t="s">
        <v>9</v>
      </c>
      <c r="C1" s="1" t="s">
        <v>2882</v>
      </c>
      <c r="D1" s="1" t="s">
        <v>3477</v>
      </c>
    </row>
    <row r="2" spans="1:4" hidden="1" x14ac:dyDescent="0.35">
      <c r="A2">
        <v>16</v>
      </c>
      <c r="B2" t="s">
        <v>2883</v>
      </c>
      <c r="C2" t="s">
        <v>2884</v>
      </c>
    </row>
    <row r="3" spans="1:4" hidden="1" x14ac:dyDescent="0.35">
      <c r="A3">
        <v>16</v>
      </c>
      <c r="B3" s="7" t="s">
        <v>2885</v>
      </c>
      <c r="C3" t="s">
        <v>2884</v>
      </c>
    </row>
    <row r="4" spans="1:4" hidden="1" x14ac:dyDescent="0.35">
      <c r="A4">
        <v>16</v>
      </c>
      <c r="B4" s="17" t="s">
        <v>401</v>
      </c>
      <c r="C4" t="s">
        <v>2886</v>
      </c>
    </row>
    <row r="5" spans="1:4" hidden="1" x14ac:dyDescent="0.35">
      <c r="A5">
        <v>16</v>
      </c>
      <c r="B5" t="s">
        <v>103</v>
      </c>
      <c r="C5" t="s">
        <v>357</v>
      </c>
    </row>
    <row r="6" spans="1:4" hidden="1" x14ac:dyDescent="0.35">
      <c r="A6">
        <v>29</v>
      </c>
      <c r="B6" t="s">
        <v>27</v>
      </c>
      <c r="C6" t="s">
        <v>27</v>
      </c>
    </row>
    <row r="7" spans="1:4" hidden="1" x14ac:dyDescent="0.35">
      <c r="A7">
        <v>29</v>
      </c>
      <c r="B7" s="61" t="s">
        <v>36</v>
      </c>
      <c r="C7" t="s">
        <v>2886</v>
      </c>
    </row>
    <row r="8" spans="1:4" hidden="1" x14ac:dyDescent="0.35">
      <c r="A8">
        <v>78</v>
      </c>
      <c r="B8" t="s">
        <v>2887</v>
      </c>
      <c r="C8" t="s">
        <v>2888</v>
      </c>
    </row>
    <row r="9" spans="1:4" hidden="1" x14ac:dyDescent="0.35">
      <c r="A9">
        <v>78</v>
      </c>
      <c r="B9" t="s">
        <v>103</v>
      </c>
      <c r="C9" t="s">
        <v>357</v>
      </c>
    </row>
    <row r="10" spans="1:4" hidden="1" x14ac:dyDescent="0.35">
      <c r="A10">
        <v>78</v>
      </c>
      <c r="B10" t="s">
        <v>2889</v>
      </c>
      <c r="C10" t="s">
        <v>2890</v>
      </c>
    </row>
    <row r="11" spans="1:4" hidden="1" x14ac:dyDescent="0.35">
      <c r="A11">
        <v>84</v>
      </c>
      <c r="B11" s="7" t="s">
        <v>154</v>
      </c>
      <c r="C11" t="s">
        <v>2886</v>
      </c>
    </row>
    <row r="12" spans="1:4" hidden="1" x14ac:dyDescent="0.35">
      <c r="A12">
        <v>84</v>
      </c>
      <c r="B12" t="s">
        <v>2891</v>
      </c>
      <c r="C12" t="s">
        <v>357</v>
      </c>
    </row>
    <row r="13" spans="1:4" x14ac:dyDescent="0.35">
      <c r="A13">
        <v>103</v>
      </c>
      <c r="B13" t="s">
        <v>179</v>
      </c>
      <c r="C13" t="s">
        <v>2892</v>
      </c>
    </row>
    <row r="14" spans="1:4" hidden="1" x14ac:dyDescent="0.35">
      <c r="A14">
        <v>103</v>
      </c>
      <c r="B14" s="7" t="s">
        <v>2893</v>
      </c>
      <c r="C14" t="s">
        <v>2884</v>
      </c>
    </row>
    <row r="15" spans="1:4" hidden="1" x14ac:dyDescent="0.35">
      <c r="A15">
        <v>103</v>
      </c>
    </row>
    <row r="16" spans="1:4" hidden="1" x14ac:dyDescent="0.35">
      <c r="A16">
        <v>103</v>
      </c>
      <c r="B16" t="s">
        <v>103</v>
      </c>
      <c r="C16" t="s">
        <v>357</v>
      </c>
    </row>
    <row r="17" spans="1:3" x14ac:dyDescent="0.35">
      <c r="A17">
        <v>103</v>
      </c>
      <c r="B17" t="s">
        <v>2894</v>
      </c>
      <c r="C17" t="s">
        <v>2892</v>
      </c>
    </row>
    <row r="18" spans="1:3" hidden="1" x14ac:dyDescent="0.35">
      <c r="A18">
        <v>103</v>
      </c>
      <c r="B18" t="s">
        <v>52</v>
      </c>
      <c r="C18" t="s">
        <v>2890</v>
      </c>
    </row>
    <row r="19" spans="1:3" x14ac:dyDescent="0.35">
      <c r="A19">
        <v>111</v>
      </c>
      <c r="B19" t="s">
        <v>2895</v>
      </c>
      <c r="C19" t="s">
        <v>2892</v>
      </c>
    </row>
    <row r="20" spans="1:3" hidden="1" x14ac:dyDescent="0.35">
      <c r="A20">
        <v>111</v>
      </c>
      <c r="B20" s="2" t="s">
        <v>2896</v>
      </c>
      <c r="C20" t="s">
        <v>2888</v>
      </c>
    </row>
    <row r="21" spans="1:3" hidden="1" x14ac:dyDescent="0.35">
      <c r="A21">
        <v>111</v>
      </c>
      <c r="B21" t="s">
        <v>80</v>
      </c>
      <c r="C21" t="s">
        <v>2890</v>
      </c>
    </row>
    <row r="22" spans="1:3" hidden="1" x14ac:dyDescent="0.35">
      <c r="A22">
        <v>111</v>
      </c>
      <c r="B22" s="42" t="s">
        <v>2689</v>
      </c>
      <c r="C22" t="s">
        <v>2890</v>
      </c>
    </row>
    <row r="23" spans="1:3" hidden="1" x14ac:dyDescent="0.35">
      <c r="A23">
        <v>111</v>
      </c>
      <c r="B23" t="s">
        <v>103</v>
      </c>
      <c r="C23" t="s">
        <v>357</v>
      </c>
    </row>
    <row r="24" spans="1:3" hidden="1" x14ac:dyDescent="0.35">
      <c r="A24">
        <v>142</v>
      </c>
      <c r="B24" s="77" t="s">
        <v>671</v>
      </c>
      <c r="C24" t="s">
        <v>2884</v>
      </c>
    </row>
    <row r="25" spans="1:3" x14ac:dyDescent="0.35">
      <c r="A25">
        <v>142</v>
      </c>
      <c r="B25" t="s">
        <v>179</v>
      </c>
      <c r="C25" t="s">
        <v>2892</v>
      </c>
    </row>
    <row r="26" spans="1:3" hidden="1" x14ac:dyDescent="0.35">
      <c r="A26">
        <v>142</v>
      </c>
      <c r="B26" s="7" t="s">
        <v>154</v>
      </c>
      <c r="C26" t="s">
        <v>2886</v>
      </c>
    </row>
    <row r="27" spans="1:3" hidden="1" x14ac:dyDescent="0.35">
      <c r="A27">
        <v>145</v>
      </c>
      <c r="B27" t="s">
        <v>2897</v>
      </c>
      <c r="C27" t="s">
        <v>2890</v>
      </c>
    </row>
    <row r="28" spans="1:3" hidden="1" x14ac:dyDescent="0.35">
      <c r="A28">
        <v>145</v>
      </c>
      <c r="B28" t="s">
        <v>103</v>
      </c>
      <c r="C28" t="s">
        <v>357</v>
      </c>
    </row>
    <row r="29" spans="1:3" hidden="1" x14ac:dyDescent="0.35">
      <c r="A29">
        <v>145</v>
      </c>
      <c r="B29" t="s">
        <v>2898</v>
      </c>
      <c r="C29" t="s">
        <v>2890</v>
      </c>
    </row>
    <row r="30" spans="1:3" hidden="1" x14ac:dyDescent="0.35">
      <c r="A30">
        <v>145</v>
      </c>
      <c r="B30" t="s">
        <v>27</v>
      </c>
      <c r="C30" t="s">
        <v>27</v>
      </c>
    </row>
    <row r="31" spans="1:3" hidden="1" x14ac:dyDescent="0.35">
      <c r="A31">
        <v>152</v>
      </c>
      <c r="B31" t="s">
        <v>103</v>
      </c>
      <c r="C31" t="s">
        <v>357</v>
      </c>
    </row>
    <row r="32" spans="1:3" hidden="1" x14ac:dyDescent="0.35">
      <c r="A32">
        <v>152</v>
      </c>
      <c r="B32" t="s">
        <v>2899</v>
      </c>
      <c r="C32" t="s">
        <v>2890</v>
      </c>
    </row>
    <row r="33" spans="1:3" hidden="1" x14ac:dyDescent="0.35">
      <c r="A33">
        <v>152</v>
      </c>
      <c r="B33" t="s">
        <v>2900</v>
      </c>
      <c r="C33" t="s">
        <v>2890</v>
      </c>
    </row>
    <row r="34" spans="1:3" hidden="1" x14ac:dyDescent="0.35">
      <c r="A34">
        <v>152</v>
      </c>
      <c r="B34" t="s">
        <v>225</v>
      </c>
      <c r="C34" t="s">
        <v>2890</v>
      </c>
    </row>
    <row r="35" spans="1:3" hidden="1" x14ac:dyDescent="0.35">
      <c r="A35">
        <v>168</v>
      </c>
      <c r="B35" t="s">
        <v>103</v>
      </c>
      <c r="C35" t="s">
        <v>357</v>
      </c>
    </row>
    <row r="36" spans="1:3" hidden="1" x14ac:dyDescent="0.35">
      <c r="A36">
        <v>168</v>
      </c>
      <c r="B36" s="24" t="s">
        <v>573</v>
      </c>
      <c r="C36" t="s">
        <v>2886</v>
      </c>
    </row>
    <row r="37" spans="1:3" hidden="1" x14ac:dyDescent="0.35">
      <c r="A37">
        <v>177</v>
      </c>
      <c r="B37" t="s">
        <v>160</v>
      </c>
      <c r="C37" t="s">
        <v>357</v>
      </c>
    </row>
    <row r="38" spans="1:3" x14ac:dyDescent="0.35">
      <c r="A38">
        <v>177</v>
      </c>
      <c r="B38" t="s">
        <v>179</v>
      </c>
      <c r="C38" t="s">
        <v>2892</v>
      </c>
    </row>
    <row r="39" spans="1:3" hidden="1" x14ac:dyDescent="0.35">
      <c r="A39">
        <v>187</v>
      </c>
      <c r="B39" s="78" t="s">
        <v>2901</v>
      </c>
      <c r="C39" t="s">
        <v>2884</v>
      </c>
    </row>
    <row r="40" spans="1:3" hidden="1" x14ac:dyDescent="0.35">
      <c r="A40">
        <v>187</v>
      </c>
      <c r="B40" s="42" t="s">
        <v>76</v>
      </c>
      <c r="C40" t="s">
        <v>2890</v>
      </c>
    </row>
    <row r="41" spans="1:3" hidden="1" x14ac:dyDescent="0.35">
      <c r="A41">
        <v>187</v>
      </c>
      <c r="B41" s="7" t="s">
        <v>2902</v>
      </c>
      <c r="C41" t="s">
        <v>2884</v>
      </c>
    </row>
    <row r="42" spans="1:3" hidden="1" x14ac:dyDescent="0.35">
      <c r="A42">
        <v>187</v>
      </c>
      <c r="B42" s="2" t="s">
        <v>2903</v>
      </c>
      <c r="C42" t="s">
        <v>2884</v>
      </c>
    </row>
    <row r="43" spans="1:3" hidden="1" x14ac:dyDescent="0.35">
      <c r="A43">
        <v>187</v>
      </c>
      <c r="B43" s="61" t="s">
        <v>36</v>
      </c>
      <c r="C43" t="s">
        <v>2886</v>
      </c>
    </row>
    <row r="44" spans="1:3" hidden="1" x14ac:dyDescent="0.35">
      <c r="A44">
        <v>190</v>
      </c>
      <c r="B44" t="s">
        <v>103</v>
      </c>
      <c r="C44" t="s">
        <v>357</v>
      </c>
    </row>
    <row r="45" spans="1:3" hidden="1" x14ac:dyDescent="0.35">
      <c r="A45">
        <v>200</v>
      </c>
      <c r="B45" t="s">
        <v>103</v>
      </c>
      <c r="C45" t="s">
        <v>357</v>
      </c>
    </row>
    <row r="46" spans="1:3" x14ac:dyDescent="0.35">
      <c r="A46">
        <v>200</v>
      </c>
      <c r="B46" t="s">
        <v>179</v>
      </c>
      <c r="C46" t="s">
        <v>2892</v>
      </c>
    </row>
    <row r="47" spans="1:3" hidden="1" x14ac:dyDescent="0.35">
      <c r="A47">
        <v>200</v>
      </c>
      <c r="B47" t="s">
        <v>32</v>
      </c>
      <c r="C47" t="s">
        <v>2890</v>
      </c>
    </row>
    <row r="48" spans="1:3" hidden="1" x14ac:dyDescent="0.35">
      <c r="A48">
        <v>208</v>
      </c>
      <c r="B48" s="77" t="s">
        <v>671</v>
      </c>
      <c r="C48" t="s">
        <v>2884</v>
      </c>
    </row>
    <row r="49" spans="1:3" hidden="1" x14ac:dyDescent="0.35">
      <c r="A49">
        <v>208</v>
      </c>
      <c r="B49" s="7" t="s">
        <v>2904</v>
      </c>
      <c r="C49" t="s">
        <v>2884</v>
      </c>
    </row>
    <row r="50" spans="1:3" x14ac:dyDescent="0.35">
      <c r="A50">
        <v>209</v>
      </c>
      <c r="B50" t="s">
        <v>190</v>
      </c>
      <c r="C50" t="s">
        <v>2892</v>
      </c>
    </row>
    <row r="51" spans="1:3" x14ac:dyDescent="0.35">
      <c r="A51">
        <v>209</v>
      </c>
      <c r="B51" t="s">
        <v>2905</v>
      </c>
      <c r="C51" t="s">
        <v>2892</v>
      </c>
    </row>
    <row r="52" spans="1:3" hidden="1" x14ac:dyDescent="0.35">
      <c r="A52">
        <v>209</v>
      </c>
      <c r="B52" t="s">
        <v>2906</v>
      </c>
      <c r="C52" t="s">
        <v>2890</v>
      </c>
    </row>
    <row r="53" spans="1:3" hidden="1" x14ac:dyDescent="0.35">
      <c r="A53">
        <v>209</v>
      </c>
      <c r="B53" t="s">
        <v>2907</v>
      </c>
      <c r="C53" t="s">
        <v>2890</v>
      </c>
    </row>
    <row r="54" spans="1:3" hidden="1" x14ac:dyDescent="0.35">
      <c r="A54">
        <v>215</v>
      </c>
      <c r="B54" s="77" t="s">
        <v>671</v>
      </c>
      <c r="C54" t="s">
        <v>2884</v>
      </c>
    </row>
    <row r="55" spans="1:3" x14ac:dyDescent="0.35">
      <c r="A55">
        <v>215</v>
      </c>
      <c r="B55" t="s">
        <v>334</v>
      </c>
      <c r="C55" t="s">
        <v>2892</v>
      </c>
    </row>
    <row r="56" spans="1:3" hidden="1" x14ac:dyDescent="0.35">
      <c r="A56">
        <v>215</v>
      </c>
      <c r="B56" t="s">
        <v>177</v>
      </c>
      <c r="C56" t="s">
        <v>2890</v>
      </c>
    </row>
    <row r="57" spans="1:3" hidden="1" x14ac:dyDescent="0.35">
      <c r="A57">
        <v>215</v>
      </c>
      <c r="B57" t="s">
        <v>103</v>
      </c>
      <c r="C57" t="s">
        <v>357</v>
      </c>
    </row>
    <row r="58" spans="1:3" hidden="1" x14ac:dyDescent="0.35">
      <c r="A58">
        <v>222</v>
      </c>
      <c r="B58" s="7" t="s">
        <v>2248</v>
      </c>
      <c r="C58" t="s">
        <v>2884</v>
      </c>
    </row>
    <row r="59" spans="1:3" hidden="1" x14ac:dyDescent="0.35">
      <c r="A59">
        <v>222</v>
      </c>
      <c r="B59" t="s">
        <v>160</v>
      </c>
      <c r="C59" t="s">
        <v>357</v>
      </c>
    </row>
    <row r="60" spans="1:3" hidden="1" x14ac:dyDescent="0.35">
      <c r="A60">
        <v>222</v>
      </c>
      <c r="B60" s="77" t="s">
        <v>671</v>
      </c>
      <c r="C60" t="s">
        <v>2884</v>
      </c>
    </row>
    <row r="61" spans="1:3" hidden="1" x14ac:dyDescent="0.35">
      <c r="A61">
        <v>222</v>
      </c>
      <c r="B61" t="s">
        <v>2908</v>
      </c>
      <c r="C61" t="s">
        <v>357</v>
      </c>
    </row>
    <row r="62" spans="1:3" hidden="1" x14ac:dyDescent="0.35">
      <c r="A62">
        <v>240</v>
      </c>
      <c r="B62" t="s">
        <v>132</v>
      </c>
      <c r="C62" t="s">
        <v>357</v>
      </c>
    </row>
    <row r="63" spans="1:3" hidden="1" x14ac:dyDescent="0.35">
      <c r="A63">
        <v>240</v>
      </c>
      <c r="B63" t="s">
        <v>27</v>
      </c>
      <c r="C63" t="s">
        <v>27</v>
      </c>
    </row>
    <row r="64" spans="1:3" hidden="1" x14ac:dyDescent="0.35">
      <c r="A64">
        <v>245</v>
      </c>
      <c r="B64" t="s">
        <v>2909</v>
      </c>
      <c r="C64" t="s">
        <v>2890</v>
      </c>
    </row>
    <row r="65" spans="1:3" hidden="1" x14ac:dyDescent="0.35">
      <c r="A65">
        <v>245</v>
      </c>
      <c r="B65" t="s">
        <v>177</v>
      </c>
      <c r="C65" t="s">
        <v>2890</v>
      </c>
    </row>
    <row r="66" spans="1:3" hidden="1" x14ac:dyDescent="0.35">
      <c r="A66">
        <v>266</v>
      </c>
      <c r="B66" t="s">
        <v>2910</v>
      </c>
      <c r="C66" t="s">
        <v>2888</v>
      </c>
    </row>
    <row r="67" spans="1:3" x14ac:dyDescent="0.35">
      <c r="A67">
        <v>266</v>
      </c>
      <c r="B67" t="s">
        <v>2911</v>
      </c>
      <c r="C67" t="s">
        <v>2892</v>
      </c>
    </row>
    <row r="68" spans="1:3" hidden="1" x14ac:dyDescent="0.35">
      <c r="A68">
        <v>266</v>
      </c>
      <c r="B68" s="7" t="s">
        <v>2912</v>
      </c>
      <c r="C68" t="s">
        <v>2884</v>
      </c>
    </row>
    <row r="69" spans="1:3" hidden="1" x14ac:dyDescent="0.35">
      <c r="A69">
        <v>266</v>
      </c>
      <c r="B69" t="s">
        <v>2913</v>
      </c>
      <c r="C69" t="s">
        <v>2914</v>
      </c>
    </row>
    <row r="70" spans="1:3" hidden="1" x14ac:dyDescent="0.35">
      <c r="A70">
        <v>266</v>
      </c>
      <c r="B70" s="2" t="s">
        <v>2915</v>
      </c>
      <c r="C70" t="s">
        <v>2884</v>
      </c>
    </row>
    <row r="71" spans="1:3" hidden="1" x14ac:dyDescent="0.35">
      <c r="A71">
        <v>270</v>
      </c>
      <c r="B71" s="7" t="s">
        <v>154</v>
      </c>
      <c r="C71" t="s">
        <v>2886</v>
      </c>
    </row>
    <row r="72" spans="1:3" hidden="1" x14ac:dyDescent="0.35">
      <c r="A72">
        <v>270</v>
      </c>
      <c r="B72" t="s">
        <v>27</v>
      </c>
      <c r="C72" t="s">
        <v>27</v>
      </c>
    </row>
    <row r="73" spans="1:3" hidden="1" x14ac:dyDescent="0.35">
      <c r="A73">
        <v>271</v>
      </c>
      <c r="B73" t="s">
        <v>2916</v>
      </c>
      <c r="C73" t="s">
        <v>2890</v>
      </c>
    </row>
    <row r="74" spans="1:3" x14ac:dyDescent="0.35">
      <c r="A74">
        <v>271</v>
      </c>
      <c r="B74" t="s">
        <v>179</v>
      </c>
      <c r="C74" t="s">
        <v>2892</v>
      </c>
    </row>
    <row r="75" spans="1:3" hidden="1" x14ac:dyDescent="0.35">
      <c r="A75">
        <v>280</v>
      </c>
      <c r="B75" t="s">
        <v>252</v>
      </c>
      <c r="C75" t="s">
        <v>2890</v>
      </c>
    </row>
    <row r="76" spans="1:3" hidden="1" x14ac:dyDescent="0.35">
      <c r="A76">
        <v>280</v>
      </c>
      <c r="B76" s="7" t="s">
        <v>154</v>
      </c>
      <c r="C76" t="s">
        <v>2886</v>
      </c>
    </row>
    <row r="77" spans="1:3" hidden="1" x14ac:dyDescent="0.35">
      <c r="A77">
        <v>282</v>
      </c>
      <c r="B77" t="s">
        <v>27</v>
      </c>
      <c r="C77" t="s">
        <v>27</v>
      </c>
    </row>
    <row r="78" spans="1:3" hidden="1" x14ac:dyDescent="0.35">
      <c r="A78">
        <v>282</v>
      </c>
      <c r="B78" t="s">
        <v>177</v>
      </c>
      <c r="C78" t="s">
        <v>2890</v>
      </c>
    </row>
    <row r="79" spans="1:3" x14ac:dyDescent="0.35">
      <c r="A79">
        <v>287</v>
      </c>
      <c r="B79" t="s">
        <v>179</v>
      </c>
      <c r="C79" t="s">
        <v>2892</v>
      </c>
    </row>
    <row r="80" spans="1:3" x14ac:dyDescent="0.35">
      <c r="A80">
        <v>289</v>
      </c>
      <c r="B80" t="s">
        <v>182</v>
      </c>
      <c r="C80" t="s">
        <v>2892</v>
      </c>
    </row>
    <row r="81" spans="1:3" x14ac:dyDescent="0.35">
      <c r="A81">
        <v>289</v>
      </c>
      <c r="B81" t="s">
        <v>185</v>
      </c>
      <c r="C81" t="s">
        <v>2892</v>
      </c>
    </row>
    <row r="82" spans="1:3" x14ac:dyDescent="0.35">
      <c r="A82">
        <v>295</v>
      </c>
      <c r="B82" t="s">
        <v>190</v>
      </c>
      <c r="C82" t="s">
        <v>2892</v>
      </c>
    </row>
    <row r="83" spans="1:3" hidden="1" x14ac:dyDescent="0.35">
      <c r="A83">
        <v>342</v>
      </c>
      <c r="B83" t="s">
        <v>27</v>
      </c>
      <c r="C83" t="s">
        <v>27</v>
      </c>
    </row>
    <row r="84" spans="1:3" hidden="1" x14ac:dyDescent="0.35">
      <c r="A84">
        <v>375</v>
      </c>
      <c r="B84" t="s">
        <v>27</v>
      </c>
      <c r="C84" t="s">
        <v>27</v>
      </c>
    </row>
    <row r="85" spans="1:3" hidden="1" x14ac:dyDescent="0.35">
      <c r="A85">
        <v>378</v>
      </c>
      <c r="B85" t="s">
        <v>27</v>
      </c>
      <c r="C85" t="s">
        <v>27</v>
      </c>
    </row>
    <row r="86" spans="1:3" hidden="1" x14ac:dyDescent="0.35">
      <c r="A86">
        <v>378</v>
      </c>
      <c r="B86" s="7" t="s">
        <v>2917</v>
      </c>
      <c r="C86" t="s">
        <v>2884</v>
      </c>
    </row>
    <row r="87" spans="1:3" hidden="1" x14ac:dyDescent="0.35">
      <c r="A87">
        <v>378</v>
      </c>
      <c r="B87" s="7" t="s">
        <v>2918</v>
      </c>
      <c r="C87" t="s">
        <v>2884</v>
      </c>
    </row>
    <row r="88" spans="1:3" hidden="1" x14ac:dyDescent="0.35">
      <c r="A88">
        <v>378</v>
      </c>
      <c r="B88" t="s">
        <v>160</v>
      </c>
      <c r="C88" t="s">
        <v>357</v>
      </c>
    </row>
    <row r="89" spans="1:3" hidden="1" x14ac:dyDescent="0.35">
      <c r="A89">
        <v>378</v>
      </c>
      <c r="B89" s="42" t="s">
        <v>76</v>
      </c>
      <c r="C89" t="s">
        <v>2890</v>
      </c>
    </row>
    <row r="90" spans="1:3" hidden="1" x14ac:dyDescent="0.35">
      <c r="A90">
        <v>378</v>
      </c>
      <c r="B90" s="42" t="s">
        <v>218</v>
      </c>
      <c r="C90" t="s">
        <v>2890</v>
      </c>
    </row>
    <row r="91" spans="1:3" hidden="1" x14ac:dyDescent="0.35">
      <c r="A91">
        <v>378</v>
      </c>
      <c r="B91" t="s">
        <v>2919</v>
      </c>
      <c r="C91" t="s">
        <v>2890</v>
      </c>
    </row>
    <row r="92" spans="1:3" hidden="1" x14ac:dyDescent="0.35">
      <c r="A92">
        <v>378</v>
      </c>
      <c r="B92" t="s">
        <v>220</v>
      </c>
      <c r="C92" t="s">
        <v>2890</v>
      </c>
    </row>
    <row r="93" spans="1:3" x14ac:dyDescent="0.35">
      <c r="A93">
        <v>381</v>
      </c>
      <c r="B93" t="s">
        <v>2920</v>
      </c>
      <c r="C93" t="s">
        <v>2892</v>
      </c>
    </row>
    <row r="94" spans="1:3" hidden="1" x14ac:dyDescent="0.35">
      <c r="A94">
        <v>381</v>
      </c>
      <c r="B94" s="77" t="s">
        <v>120</v>
      </c>
      <c r="C94" t="s">
        <v>2884</v>
      </c>
    </row>
    <row r="95" spans="1:3" x14ac:dyDescent="0.35">
      <c r="A95">
        <v>398</v>
      </c>
      <c r="B95" t="s">
        <v>179</v>
      </c>
      <c r="C95" t="s">
        <v>2892</v>
      </c>
    </row>
    <row r="96" spans="1:3" hidden="1" x14ac:dyDescent="0.35">
      <c r="A96">
        <v>398</v>
      </c>
      <c r="B96" s="7" t="s">
        <v>2902</v>
      </c>
      <c r="C96" t="s">
        <v>2884</v>
      </c>
    </row>
    <row r="97" spans="1:3" hidden="1" x14ac:dyDescent="0.35">
      <c r="A97">
        <v>419</v>
      </c>
      <c r="B97" t="s">
        <v>27</v>
      </c>
      <c r="C97" t="s">
        <v>27</v>
      </c>
    </row>
    <row r="98" spans="1:3" hidden="1" x14ac:dyDescent="0.35">
      <c r="A98">
        <v>426</v>
      </c>
      <c r="B98" s="2" t="s">
        <v>2921</v>
      </c>
      <c r="C98" t="s">
        <v>2886</v>
      </c>
    </row>
    <row r="99" spans="1:3" hidden="1" x14ac:dyDescent="0.35">
      <c r="A99">
        <v>426</v>
      </c>
      <c r="B99" t="s">
        <v>2914</v>
      </c>
      <c r="C99" t="s">
        <v>2914</v>
      </c>
    </row>
    <row r="100" spans="1:3" hidden="1" x14ac:dyDescent="0.35">
      <c r="A100">
        <v>426</v>
      </c>
      <c r="B100" t="s">
        <v>2922</v>
      </c>
      <c r="C100" t="s">
        <v>2890</v>
      </c>
    </row>
    <row r="101" spans="1:3" hidden="1" x14ac:dyDescent="0.35">
      <c r="A101">
        <v>426</v>
      </c>
      <c r="B101" t="s">
        <v>2923</v>
      </c>
      <c r="C101" t="s">
        <v>2890</v>
      </c>
    </row>
    <row r="102" spans="1:3" hidden="1" x14ac:dyDescent="0.35">
      <c r="A102">
        <v>426</v>
      </c>
      <c r="B102" t="s">
        <v>2924</v>
      </c>
      <c r="C102" t="s">
        <v>2890</v>
      </c>
    </row>
    <row r="103" spans="1:3" hidden="1" x14ac:dyDescent="0.35">
      <c r="A103">
        <v>426</v>
      </c>
      <c r="B103" t="s">
        <v>2925</v>
      </c>
      <c r="C103" t="s">
        <v>2890</v>
      </c>
    </row>
    <row r="104" spans="1:3" hidden="1" x14ac:dyDescent="0.35">
      <c r="A104">
        <v>426</v>
      </c>
      <c r="B104" s="17" t="s">
        <v>2926</v>
      </c>
      <c r="C104" t="s">
        <v>2890</v>
      </c>
    </row>
    <row r="105" spans="1:3" hidden="1" x14ac:dyDescent="0.35">
      <c r="A105">
        <v>426</v>
      </c>
      <c r="B105" t="s">
        <v>2927</v>
      </c>
      <c r="C105" t="s">
        <v>2890</v>
      </c>
    </row>
    <row r="106" spans="1:3" hidden="1" x14ac:dyDescent="0.35">
      <c r="A106">
        <v>426</v>
      </c>
      <c r="B106" s="2" t="s">
        <v>2928</v>
      </c>
      <c r="C106" t="s">
        <v>2886</v>
      </c>
    </row>
    <row r="107" spans="1:3" hidden="1" x14ac:dyDescent="0.35">
      <c r="A107">
        <v>426</v>
      </c>
      <c r="B107" s="2" t="s">
        <v>2929</v>
      </c>
      <c r="C107" t="s">
        <v>2886</v>
      </c>
    </row>
    <row r="108" spans="1:3" hidden="1" x14ac:dyDescent="0.35">
      <c r="A108">
        <v>426</v>
      </c>
      <c r="B108" t="s">
        <v>2930</v>
      </c>
      <c r="C108" t="s">
        <v>2890</v>
      </c>
    </row>
    <row r="109" spans="1:3" hidden="1" x14ac:dyDescent="0.35">
      <c r="A109">
        <v>426</v>
      </c>
      <c r="B109" t="s">
        <v>2931</v>
      </c>
      <c r="C109" t="s">
        <v>2914</v>
      </c>
    </row>
    <row r="110" spans="1:3" hidden="1" x14ac:dyDescent="0.35">
      <c r="A110">
        <v>426</v>
      </c>
      <c r="B110" t="s">
        <v>2932</v>
      </c>
      <c r="C110" t="s">
        <v>2914</v>
      </c>
    </row>
    <row r="111" spans="1:3" hidden="1" x14ac:dyDescent="0.35">
      <c r="A111">
        <v>429</v>
      </c>
      <c r="B111" t="s">
        <v>160</v>
      </c>
      <c r="C111" t="s">
        <v>357</v>
      </c>
    </row>
    <row r="112" spans="1:3" hidden="1" x14ac:dyDescent="0.35">
      <c r="A112">
        <v>429</v>
      </c>
      <c r="B112" s="17" t="s">
        <v>987</v>
      </c>
      <c r="C112" t="s">
        <v>2886</v>
      </c>
    </row>
    <row r="113" spans="1:3" hidden="1" x14ac:dyDescent="0.35">
      <c r="A113">
        <v>438</v>
      </c>
      <c r="B113" t="s">
        <v>160</v>
      </c>
      <c r="C113" t="s">
        <v>357</v>
      </c>
    </row>
    <row r="114" spans="1:3" hidden="1" x14ac:dyDescent="0.35">
      <c r="A114">
        <v>438</v>
      </c>
      <c r="B114" s="17" t="s">
        <v>2933</v>
      </c>
      <c r="C114" t="s">
        <v>2886</v>
      </c>
    </row>
    <row r="115" spans="1:3" hidden="1" x14ac:dyDescent="0.35">
      <c r="A115">
        <v>438</v>
      </c>
      <c r="B115" s="74" t="s">
        <v>2934</v>
      </c>
      <c r="C115" t="s">
        <v>2890</v>
      </c>
    </row>
    <row r="116" spans="1:3" hidden="1" x14ac:dyDescent="0.35">
      <c r="A116">
        <v>443</v>
      </c>
      <c r="B116" t="s">
        <v>2935</v>
      </c>
      <c r="C116" t="s">
        <v>2890</v>
      </c>
    </row>
    <row r="117" spans="1:3" hidden="1" x14ac:dyDescent="0.35">
      <c r="A117">
        <v>443</v>
      </c>
      <c r="B117" s="17" t="s">
        <v>401</v>
      </c>
      <c r="C117" t="s">
        <v>2886</v>
      </c>
    </row>
    <row r="118" spans="1:3" x14ac:dyDescent="0.35">
      <c r="A118">
        <v>505</v>
      </c>
      <c r="B118" t="s">
        <v>179</v>
      </c>
      <c r="C118" t="s">
        <v>2892</v>
      </c>
    </row>
    <row r="119" spans="1:3" hidden="1" x14ac:dyDescent="0.35">
      <c r="A119">
        <v>509</v>
      </c>
      <c r="B119" s="17" t="s">
        <v>401</v>
      </c>
      <c r="C119" t="s">
        <v>2886</v>
      </c>
    </row>
    <row r="120" spans="1:3" hidden="1" x14ac:dyDescent="0.35">
      <c r="A120">
        <v>509</v>
      </c>
      <c r="B120" s="7" t="s">
        <v>2893</v>
      </c>
      <c r="C120" t="s">
        <v>2884</v>
      </c>
    </row>
    <row r="121" spans="1:3" hidden="1" x14ac:dyDescent="0.35">
      <c r="A121">
        <v>509</v>
      </c>
      <c r="B121" s="7" t="s">
        <v>2248</v>
      </c>
      <c r="C121" t="s">
        <v>2884</v>
      </c>
    </row>
    <row r="122" spans="1:3" hidden="1" x14ac:dyDescent="0.35">
      <c r="A122">
        <v>509</v>
      </c>
      <c r="B122" s="7" t="s">
        <v>2902</v>
      </c>
      <c r="C122" t="s">
        <v>2884</v>
      </c>
    </row>
    <row r="123" spans="1:3" hidden="1" x14ac:dyDescent="0.35">
      <c r="A123">
        <v>509</v>
      </c>
      <c r="B123" s="7" t="s">
        <v>2936</v>
      </c>
      <c r="C123" t="s">
        <v>2884</v>
      </c>
    </row>
    <row r="124" spans="1:3" hidden="1" x14ac:dyDescent="0.35">
      <c r="A124">
        <v>509</v>
      </c>
      <c r="B124" s="17" t="s">
        <v>2937</v>
      </c>
      <c r="C124" t="s">
        <v>2890</v>
      </c>
    </row>
    <row r="125" spans="1:3" hidden="1" x14ac:dyDescent="0.35">
      <c r="A125">
        <v>509</v>
      </c>
      <c r="B125" s="17" t="s">
        <v>150</v>
      </c>
      <c r="C125" t="s">
        <v>2890</v>
      </c>
    </row>
    <row r="126" spans="1:3" hidden="1" x14ac:dyDescent="0.35">
      <c r="A126">
        <v>509</v>
      </c>
      <c r="B126" s="17" t="s">
        <v>2938</v>
      </c>
      <c r="C126" t="s">
        <v>2890</v>
      </c>
    </row>
    <row r="127" spans="1:3" hidden="1" x14ac:dyDescent="0.35">
      <c r="A127">
        <v>509</v>
      </c>
      <c r="B127" t="s">
        <v>2939</v>
      </c>
      <c r="C127" t="s">
        <v>2890</v>
      </c>
    </row>
    <row r="128" spans="1:3" hidden="1" x14ac:dyDescent="0.35">
      <c r="A128">
        <v>509</v>
      </c>
      <c r="B128" t="s">
        <v>2940</v>
      </c>
      <c r="C128" t="s">
        <v>2890</v>
      </c>
    </row>
    <row r="129" spans="1:3" hidden="1" x14ac:dyDescent="0.35">
      <c r="A129">
        <v>509</v>
      </c>
      <c r="B129" s="17" t="s">
        <v>2941</v>
      </c>
      <c r="C129" t="s">
        <v>2890</v>
      </c>
    </row>
    <row r="130" spans="1:3" x14ac:dyDescent="0.35">
      <c r="A130">
        <v>523</v>
      </c>
      <c r="B130" t="s">
        <v>2942</v>
      </c>
      <c r="C130" t="s">
        <v>2892</v>
      </c>
    </row>
    <row r="131" spans="1:3" x14ac:dyDescent="0.35">
      <c r="A131">
        <v>523</v>
      </c>
      <c r="B131" t="s">
        <v>2943</v>
      </c>
      <c r="C131" t="s">
        <v>2892</v>
      </c>
    </row>
    <row r="132" spans="1:3" hidden="1" x14ac:dyDescent="0.35">
      <c r="A132">
        <v>523</v>
      </c>
      <c r="B132" s="77" t="s">
        <v>671</v>
      </c>
      <c r="C132" t="s">
        <v>2884</v>
      </c>
    </row>
    <row r="133" spans="1:3" hidden="1" x14ac:dyDescent="0.35">
      <c r="A133">
        <v>523</v>
      </c>
      <c r="B133" s="7" t="s">
        <v>2902</v>
      </c>
      <c r="C133" t="s">
        <v>2884</v>
      </c>
    </row>
    <row r="134" spans="1:3" hidden="1" x14ac:dyDescent="0.35">
      <c r="A134">
        <v>523</v>
      </c>
      <c r="B134" t="s">
        <v>27</v>
      </c>
      <c r="C134" t="s">
        <v>27</v>
      </c>
    </row>
    <row r="135" spans="1:3" hidden="1" x14ac:dyDescent="0.35">
      <c r="A135">
        <v>533</v>
      </c>
      <c r="B135" t="s">
        <v>800</v>
      </c>
      <c r="C135" t="s">
        <v>357</v>
      </c>
    </row>
    <row r="136" spans="1:3" hidden="1" x14ac:dyDescent="0.35">
      <c r="A136">
        <v>533</v>
      </c>
      <c r="B136" s="77" t="s">
        <v>671</v>
      </c>
      <c r="C136" t="s">
        <v>2884</v>
      </c>
    </row>
    <row r="137" spans="1:3" hidden="1" x14ac:dyDescent="0.35">
      <c r="A137">
        <v>550</v>
      </c>
      <c r="B137" t="s">
        <v>27</v>
      </c>
      <c r="C137" t="s">
        <v>27</v>
      </c>
    </row>
    <row r="138" spans="1:3" hidden="1" x14ac:dyDescent="0.35">
      <c r="A138">
        <v>553</v>
      </c>
      <c r="B138" s="7" t="s">
        <v>2944</v>
      </c>
      <c r="C138" t="s">
        <v>2884</v>
      </c>
    </row>
    <row r="139" spans="1:3" hidden="1" x14ac:dyDescent="0.35">
      <c r="A139">
        <v>553</v>
      </c>
      <c r="B139" s="2" t="s">
        <v>2945</v>
      </c>
      <c r="C139" t="s">
        <v>2884</v>
      </c>
    </row>
    <row r="140" spans="1:3" hidden="1" x14ac:dyDescent="0.35">
      <c r="A140">
        <v>553</v>
      </c>
      <c r="B140" s="7" t="s">
        <v>2248</v>
      </c>
      <c r="C140" t="s">
        <v>2884</v>
      </c>
    </row>
    <row r="141" spans="1:3" hidden="1" x14ac:dyDescent="0.35">
      <c r="A141">
        <v>553</v>
      </c>
      <c r="B141" s="7" t="s">
        <v>2902</v>
      </c>
      <c r="C141" t="s">
        <v>2884</v>
      </c>
    </row>
    <row r="142" spans="1:3" hidden="1" x14ac:dyDescent="0.35">
      <c r="A142">
        <v>553</v>
      </c>
      <c r="B142" t="s">
        <v>2946</v>
      </c>
      <c r="C142" t="s">
        <v>357</v>
      </c>
    </row>
    <row r="143" spans="1:3" hidden="1" x14ac:dyDescent="0.35">
      <c r="A143">
        <v>553</v>
      </c>
      <c r="B143" t="s">
        <v>144</v>
      </c>
      <c r="C143" t="s">
        <v>2890</v>
      </c>
    </row>
    <row r="144" spans="1:3" hidden="1" x14ac:dyDescent="0.35">
      <c r="A144">
        <v>553</v>
      </c>
      <c r="B144" t="s">
        <v>2947</v>
      </c>
      <c r="C144" t="s">
        <v>2890</v>
      </c>
    </row>
    <row r="145" spans="1:3" hidden="1" x14ac:dyDescent="0.35">
      <c r="A145">
        <v>553</v>
      </c>
      <c r="B145" t="s">
        <v>2948</v>
      </c>
      <c r="C145" t="s">
        <v>2890</v>
      </c>
    </row>
    <row r="146" spans="1:3" hidden="1" x14ac:dyDescent="0.35">
      <c r="A146">
        <v>553</v>
      </c>
    </row>
    <row r="147" spans="1:3" hidden="1" x14ac:dyDescent="0.35">
      <c r="A147">
        <v>553</v>
      </c>
      <c r="B147" t="s">
        <v>1689</v>
      </c>
      <c r="C147" t="s">
        <v>2890</v>
      </c>
    </row>
    <row r="148" spans="1:3" hidden="1" x14ac:dyDescent="0.35">
      <c r="A148">
        <v>553</v>
      </c>
      <c r="B148" t="s">
        <v>27</v>
      </c>
      <c r="C148" t="s">
        <v>27</v>
      </c>
    </row>
    <row r="149" spans="1:3" hidden="1" x14ac:dyDescent="0.35">
      <c r="A149">
        <v>553</v>
      </c>
      <c r="B149" t="s">
        <v>306</v>
      </c>
      <c r="C149" t="s">
        <v>2890</v>
      </c>
    </row>
    <row r="150" spans="1:3" hidden="1" x14ac:dyDescent="0.35">
      <c r="A150">
        <v>561</v>
      </c>
      <c r="B150" t="s">
        <v>27</v>
      </c>
      <c r="C150" t="s">
        <v>27</v>
      </c>
    </row>
    <row r="151" spans="1:3" x14ac:dyDescent="0.35">
      <c r="A151">
        <v>566</v>
      </c>
      <c r="B151" t="s">
        <v>312</v>
      </c>
      <c r="C151" t="s">
        <v>2892</v>
      </c>
    </row>
    <row r="152" spans="1:3" hidden="1" x14ac:dyDescent="0.35">
      <c r="A152">
        <v>597</v>
      </c>
      <c r="B152" s="4" t="s">
        <v>2949</v>
      </c>
      <c r="C152" t="s">
        <v>2886</v>
      </c>
    </row>
    <row r="153" spans="1:3" hidden="1" x14ac:dyDescent="0.35">
      <c r="A153">
        <v>597</v>
      </c>
      <c r="B153" t="s">
        <v>1689</v>
      </c>
      <c r="C153" t="s">
        <v>2890</v>
      </c>
    </row>
    <row r="154" spans="1:3" hidden="1" x14ac:dyDescent="0.35">
      <c r="A154">
        <v>604</v>
      </c>
      <c r="B154" t="s">
        <v>1689</v>
      </c>
      <c r="C154" t="s">
        <v>2890</v>
      </c>
    </row>
    <row r="155" spans="1:3" hidden="1" x14ac:dyDescent="0.35">
      <c r="A155">
        <v>604</v>
      </c>
      <c r="B155" s="77" t="s">
        <v>671</v>
      </c>
      <c r="C155" t="s">
        <v>2884</v>
      </c>
    </row>
    <row r="156" spans="1:3" x14ac:dyDescent="0.35">
      <c r="A156">
        <v>604</v>
      </c>
      <c r="B156" t="s">
        <v>179</v>
      </c>
      <c r="C156" t="s">
        <v>2892</v>
      </c>
    </row>
    <row r="157" spans="1:3" hidden="1" x14ac:dyDescent="0.35">
      <c r="A157">
        <v>612</v>
      </c>
      <c r="B157" s="4" t="s">
        <v>326</v>
      </c>
      <c r="C157" t="s">
        <v>2886</v>
      </c>
    </row>
    <row r="158" spans="1:3" hidden="1" x14ac:dyDescent="0.35">
      <c r="A158">
        <v>617</v>
      </c>
      <c r="B158" t="s">
        <v>2950</v>
      </c>
      <c r="C158" t="s">
        <v>2890</v>
      </c>
    </row>
    <row r="159" spans="1:3" hidden="1" x14ac:dyDescent="0.35">
      <c r="A159">
        <v>617</v>
      </c>
      <c r="B159" s="78" t="s">
        <v>2951</v>
      </c>
      <c r="C159" t="s">
        <v>2884</v>
      </c>
    </row>
    <row r="160" spans="1:3" hidden="1" x14ac:dyDescent="0.35">
      <c r="A160">
        <v>617</v>
      </c>
      <c r="B160" t="s">
        <v>103</v>
      </c>
      <c r="C160" t="s">
        <v>357</v>
      </c>
    </row>
    <row r="161" spans="1:3" hidden="1" x14ac:dyDescent="0.35">
      <c r="A161">
        <v>617</v>
      </c>
      <c r="B161" s="17" t="s">
        <v>401</v>
      </c>
      <c r="C161" t="s">
        <v>2886</v>
      </c>
    </row>
    <row r="162" spans="1:3" x14ac:dyDescent="0.35">
      <c r="A162">
        <v>621</v>
      </c>
      <c r="B162" t="s">
        <v>334</v>
      </c>
      <c r="C162" t="s">
        <v>2892</v>
      </c>
    </row>
    <row r="163" spans="1:3" hidden="1" x14ac:dyDescent="0.35">
      <c r="A163">
        <v>10</v>
      </c>
      <c r="B163" t="s">
        <v>2952</v>
      </c>
      <c r="C163" t="s">
        <v>2890</v>
      </c>
    </row>
    <row r="164" spans="1:3" hidden="1" x14ac:dyDescent="0.35">
      <c r="A164">
        <v>10</v>
      </c>
      <c r="B164" s="78" t="s">
        <v>2953</v>
      </c>
      <c r="C164" t="s">
        <v>2884</v>
      </c>
    </row>
    <row r="165" spans="1:3" hidden="1" x14ac:dyDescent="0.35">
      <c r="A165">
        <v>10</v>
      </c>
      <c r="B165" t="s">
        <v>601</v>
      </c>
      <c r="C165" t="s">
        <v>2890</v>
      </c>
    </row>
    <row r="166" spans="1:3" hidden="1" x14ac:dyDescent="0.35">
      <c r="A166">
        <v>10</v>
      </c>
      <c r="B166" t="s">
        <v>357</v>
      </c>
      <c r="C166" t="s">
        <v>357</v>
      </c>
    </row>
    <row r="167" spans="1:3" hidden="1" x14ac:dyDescent="0.35">
      <c r="A167">
        <v>22</v>
      </c>
      <c r="B167" s="75" t="s">
        <v>2954</v>
      </c>
      <c r="C167" t="s">
        <v>2886</v>
      </c>
    </row>
    <row r="168" spans="1:3" hidden="1" x14ac:dyDescent="0.35">
      <c r="A168">
        <v>22</v>
      </c>
      <c r="B168" t="s">
        <v>2955</v>
      </c>
      <c r="C168" t="s">
        <v>357</v>
      </c>
    </row>
    <row r="169" spans="1:3" x14ac:dyDescent="0.35">
      <c r="A169">
        <v>32</v>
      </c>
      <c r="B169" t="s">
        <v>2956</v>
      </c>
      <c r="C169" t="s">
        <v>2892</v>
      </c>
    </row>
    <row r="170" spans="1:3" x14ac:dyDescent="0.35">
      <c r="A170">
        <v>32</v>
      </c>
      <c r="B170" t="s">
        <v>2957</v>
      </c>
      <c r="C170" t="s">
        <v>2892</v>
      </c>
    </row>
    <row r="171" spans="1:3" hidden="1" x14ac:dyDescent="0.35">
      <c r="A171">
        <v>32</v>
      </c>
      <c r="B171" t="s">
        <v>2958</v>
      </c>
      <c r="C171" t="s">
        <v>2890</v>
      </c>
    </row>
    <row r="172" spans="1:3" x14ac:dyDescent="0.35">
      <c r="A172">
        <v>32</v>
      </c>
      <c r="B172" t="s">
        <v>2959</v>
      </c>
      <c r="C172" t="s">
        <v>2892</v>
      </c>
    </row>
    <row r="173" spans="1:3" hidden="1" x14ac:dyDescent="0.35">
      <c r="A173">
        <v>52</v>
      </c>
      <c r="B173" t="s">
        <v>357</v>
      </c>
      <c r="C173" t="s">
        <v>357</v>
      </c>
    </row>
    <row r="174" spans="1:3" hidden="1" x14ac:dyDescent="0.35">
      <c r="A174">
        <v>52</v>
      </c>
      <c r="B174" t="s">
        <v>2960</v>
      </c>
      <c r="C174" t="s">
        <v>2890</v>
      </c>
    </row>
    <row r="175" spans="1:3" hidden="1" x14ac:dyDescent="0.35">
      <c r="A175">
        <v>52</v>
      </c>
      <c r="B175" t="s">
        <v>225</v>
      </c>
      <c r="C175" t="s">
        <v>2890</v>
      </c>
    </row>
    <row r="176" spans="1:3" hidden="1" x14ac:dyDescent="0.35">
      <c r="A176">
        <v>65</v>
      </c>
      <c r="B176" s="78" t="s">
        <v>2961</v>
      </c>
      <c r="C176" t="s">
        <v>2884</v>
      </c>
    </row>
    <row r="177" spans="1:3" x14ac:dyDescent="0.35">
      <c r="A177">
        <v>65</v>
      </c>
      <c r="B177" t="s">
        <v>2962</v>
      </c>
      <c r="C177" t="s">
        <v>2892</v>
      </c>
    </row>
    <row r="178" spans="1:3" hidden="1" x14ac:dyDescent="0.35">
      <c r="A178">
        <v>65</v>
      </c>
      <c r="B178" s="42" t="s">
        <v>76</v>
      </c>
      <c r="C178" t="s">
        <v>2890</v>
      </c>
    </row>
    <row r="179" spans="1:3" hidden="1" x14ac:dyDescent="0.35">
      <c r="A179">
        <v>75</v>
      </c>
      <c r="B179" s="17" t="s">
        <v>401</v>
      </c>
      <c r="C179" t="s">
        <v>2886</v>
      </c>
    </row>
    <row r="180" spans="1:3" hidden="1" x14ac:dyDescent="0.35">
      <c r="A180">
        <v>75</v>
      </c>
      <c r="B180" s="77" t="s">
        <v>2963</v>
      </c>
      <c r="C180" t="s">
        <v>2888</v>
      </c>
    </row>
    <row r="181" spans="1:3" hidden="1" x14ac:dyDescent="0.35">
      <c r="A181">
        <v>75</v>
      </c>
      <c r="B181" t="s">
        <v>2964</v>
      </c>
      <c r="C181" t="s">
        <v>2890</v>
      </c>
    </row>
    <row r="182" spans="1:3" hidden="1" x14ac:dyDescent="0.35">
      <c r="A182">
        <v>75</v>
      </c>
      <c r="B182" t="s">
        <v>2965</v>
      </c>
      <c r="C182" t="s">
        <v>2890</v>
      </c>
    </row>
    <row r="183" spans="1:3" hidden="1" x14ac:dyDescent="0.35">
      <c r="A183">
        <v>75</v>
      </c>
      <c r="B183" s="78" t="s">
        <v>2961</v>
      </c>
      <c r="C183" t="s">
        <v>2884</v>
      </c>
    </row>
    <row r="184" spans="1:3" hidden="1" x14ac:dyDescent="0.35">
      <c r="A184">
        <v>631</v>
      </c>
      <c r="B184" t="s">
        <v>2966</v>
      </c>
      <c r="C184" t="s">
        <v>2890</v>
      </c>
    </row>
    <row r="185" spans="1:3" hidden="1" x14ac:dyDescent="0.35">
      <c r="A185">
        <v>631</v>
      </c>
      <c r="B185" t="s">
        <v>590</v>
      </c>
      <c r="C185" t="s">
        <v>357</v>
      </c>
    </row>
    <row r="186" spans="1:3" hidden="1" x14ac:dyDescent="0.35">
      <c r="A186">
        <v>631</v>
      </c>
      <c r="B186" s="77" t="s">
        <v>671</v>
      </c>
      <c r="C186" t="s">
        <v>2884</v>
      </c>
    </row>
    <row r="187" spans="1:3" hidden="1" x14ac:dyDescent="0.35">
      <c r="A187">
        <v>634</v>
      </c>
      <c r="B187" s="7" t="s">
        <v>154</v>
      </c>
      <c r="C187" t="s">
        <v>2886</v>
      </c>
    </row>
    <row r="188" spans="1:3" hidden="1" x14ac:dyDescent="0.35">
      <c r="A188">
        <v>634</v>
      </c>
      <c r="B188" t="s">
        <v>2887</v>
      </c>
      <c r="C188" t="s">
        <v>2888</v>
      </c>
    </row>
    <row r="189" spans="1:3" x14ac:dyDescent="0.35">
      <c r="A189">
        <v>634</v>
      </c>
      <c r="B189" t="s">
        <v>2967</v>
      </c>
      <c r="C189" t="s">
        <v>2892</v>
      </c>
    </row>
    <row r="190" spans="1:3" hidden="1" x14ac:dyDescent="0.35">
      <c r="A190">
        <v>634</v>
      </c>
      <c r="B190" s="7" t="s">
        <v>2893</v>
      </c>
      <c r="C190" t="s">
        <v>2884</v>
      </c>
    </row>
    <row r="191" spans="1:3" hidden="1" x14ac:dyDescent="0.35">
      <c r="A191">
        <v>634</v>
      </c>
      <c r="B191" s="7" t="s">
        <v>2248</v>
      </c>
      <c r="C191" t="s">
        <v>2884</v>
      </c>
    </row>
    <row r="192" spans="1:3" hidden="1" x14ac:dyDescent="0.35">
      <c r="A192">
        <v>634</v>
      </c>
      <c r="B192" s="7" t="s">
        <v>2902</v>
      </c>
      <c r="C192" t="s">
        <v>2884</v>
      </c>
    </row>
    <row r="193" spans="1:3" hidden="1" x14ac:dyDescent="0.35">
      <c r="A193">
        <v>634</v>
      </c>
      <c r="B193" s="78" t="s">
        <v>2961</v>
      </c>
      <c r="C193" t="s">
        <v>2884</v>
      </c>
    </row>
    <row r="194" spans="1:3" hidden="1" x14ac:dyDescent="0.35">
      <c r="A194">
        <v>634</v>
      </c>
      <c r="B194" s="7" t="s">
        <v>2917</v>
      </c>
      <c r="C194" t="s">
        <v>2884</v>
      </c>
    </row>
    <row r="195" spans="1:3" hidden="1" x14ac:dyDescent="0.35">
      <c r="A195">
        <v>647</v>
      </c>
      <c r="B195" t="s">
        <v>2968</v>
      </c>
      <c r="C195" t="s">
        <v>2968</v>
      </c>
    </row>
    <row r="196" spans="1:3" hidden="1" x14ac:dyDescent="0.35">
      <c r="A196">
        <v>647</v>
      </c>
      <c r="B196" t="s">
        <v>357</v>
      </c>
      <c r="C196" t="s">
        <v>357</v>
      </c>
    </row>
    <row r="197" spans="1:3" hidden="1" x14ac:dyDescent="0.35">
      <c r="A197">
        <v>674</v>
      </c>
      <c r="B197" s="17" t="s">
        <v>401</v>
      </c>
      <c r="C197" t="s">
        <v>2886</v>
      </c>
    </row>
    <row r="198" spans="1:3" hidden="1" x14ac:dyDescent="0.35">
      <c r="A198">
        <v>674</v>
      </c>
      <c r="B198" s="7" t="s">
        <v>2902</v>
      </c>
      <c r="C198" t="s">
        <v>2884</v>
      </c>
    </row>
    <row r="199" spans="1:3" hidden="1" x14ac:dyDescent="0.35">
      <c r="A199">
        <v>674</v>
      </c>
      <c r="B199" t="s">
        <v>2969</v>
      </c>
      <c r="C199" t="s">
        <v>2890</v>
      </c>
    </row>
    <row r="200" spans="1:3" hidden="1" x14ac:dyDescent="0.35">
      <c r="A200">
        <v>674</v>
      </c>
      <c r="B200" s="7" t="s">
        <v>2893</v>
      </c>
      <c r="C200" t="s">
        <v>2884</v>
      </c>
    </row>
    <row r="201" spans="1:3" hidden="1" x14ac:dyDescent="0.35">
      <c r="A201">
        <v>674</v>
      </c>
      <c r="B201" t="s">
        <v>2970</v>
      </c>
      <c r="C201" t="s">
        <v>2884</v>
      </c>
    </row>
    <row r="202" spans="1:3" hidden="1" x14ac:dyDescent="0.35">
      <c r="A202">
        <v>674</v>
      </c>
      <c r="B202" s="7" t="s">
        <v>2971</v>
      </c>
      <c r="C202" t="s">
        <v>2884</v>
      </c>
    </row>
    <row r="203" spans="1:3" hidden="1" x14ac:dyDescent="0.35">
      <c r="A203">
        <v>674</v>
      </c>
      <c r="B203" t="s">
        <v>2972</v>
      </c>
      <c r="C203" t="s">
        <v>2890</v>
      </c>
    </row>
    <row r="204" spans="1:3" hidden="1" x14ac:dyDescent="0.35">
      <c r="A204">
        <v>674</v>
      </c>
      <c r="B204" t="s">
        <v>2973</v>
      </c>
      <c r="C204" t="s">
        <v>2890</v>
      </c>
    </row>
    <row r="205" spans="1:3" hidden="1" x14ac:dyDescent="0.35">
      <c r="A205">
        <v>674</v>
      </c>
      <c r="B205" s="2" t="s">
        <v>2974</v>
      </c>
      <c r="C205" t="s">
        <v>2888</v>
      </c>
    </row>
    <row r="206" spans="1:3" hidden="1" x14ac:dyDescent="0.35">
      <c r="A206">
        <v>674</v>
      </c>
      <c r="B206" t="s">
        <v>2975</v>
      </c>
      <c r="C206" t="s">
        <v>2890</v>
      </c>
    </row>
    <row r="207" spans="1:3" hidden="1" x14ac:dyDescent="0.35">
      <c r="A207">
        <v>674</v>
      </c>
      <c r="B207" t="s">
        <v>2976</v>
      </c>
      <c r="C207" t="s">
        <v>2890</v>
      </c>
    </row>
    <row r="208" spans="1:3" hidden="1" x14ac:dyDescent="0.35">
      <c r="A208">
        <v>674</v>
      </c>
      <c r="B208" s="2" t="s">
        <v>2977</v>
      </c>
      <c r="C208" t="s">
        <v>2888</v>
      </c>
    </row>
    <row r="209" spans="1:3" hidden="1" x14ac:dyDescent="0.35">
      <c r="A209">
        <v>683</v>
      </c>
      <c r="B209" t="s">
        <v>2978</v>
      </c>
      <c r="C209" t="s">
        <v>2890</v>
      </c>
    </row>
    <row r="210" spans="1:3" hidden="1" x14ac:dyDescent="0.35">
      <c r="A210">
        <v>683</v>
      </c>
      <c r="B210" t="s">
        <v>2979</v>
      </c>
      <c r="C210" t="s">
        <v>357</v>
      </c>
    </row>
    <row r="211" spans="1:3" x14ac:dyDescent="0.35">
      <c r="A211">
        <v>683</v>
      </c>
      <c r="B211" t="s">
        <v>2566</v>
      </c>
      <c r="C211" t="s">
        <v>2892</v>
      </c>
    </row>
    <row r="212" spans="1:3" hidden="1" x14ac:dyDescent="0.35">
      <c r="A212">
        <v>687</v>
      </c>
      <c r="B212" t="s">
        <v>357</v>
      </c>
      <c r="C212" t="s">
        <v>357</v>
      </c>
    </row>
    <row r="213" spans="1:3" hidden="1" x14ac:dyDescent="0.35">
      <c r="A213">
        <v>687</v>
      </c>
      <c r="B213" s="12" t="s">
        <v>2980</v>
      </c>
      <c r="C213" t="s">
        <v>2888</v>
      </c>
    </row>
    <row r="214" spans="1:3" x14ac:dyDescent="0.35">
      <c r="A214">
        <v>687</v>
      </c>
      <c r="B214" t="s">
        <v>2981</v>
      </c>
      <c r="C214" t="s">
        <v>2892</v>
      </c>
    </row>
    <row r="215" spans="1:3" hidden="1" x14ac:dyDescent="0.35">
      <c r="A215">
        <v>687</v>
      </c>
      <c r="B215" t="s">
        <v>2982</v>
      </c>
      <c r="C215" t="s">
        <v>2890</v>
      </c>
    </row>
    <row r="216" spans="1:3" hidden="1" x14ac:dyDescent="0.35">
      <c r="A216">
        <v>687</v>
      </c>
      <c r="B216" s="2" t="s">
        <v>2983</v>
      </c>
      <c r="C216" t="s">
        <v>2886</v>
      </c>
    </row>
    <row r="217" spans="1:3" hidden="1" x14ac:dyDescent="0.35">
      <c r="A217">
        <v>687</v>
      </c>
      <c r="B217" t="s">
        <v>2984</v>
      </c>
      <c r="C217" t="s">
        <v>2884</v>
      </c>
    </row>
    <row r="218" spans="1:3" hidden="1" x14ac:dyDescent="0.35">
      <c r="A218">
        <v>687</v>
      </c>
      <c r="B218" s="2" t="s">
        <v>2985</v>
      </c>
      <c r="C218" t="s">
        <v>2886</v>
      </c>
    </row>
    <row r="219" spans="1:3" hidden="1" x14ac:dyDescent="0.35">
      <c r="A219">
        <v>708</v>
      </c>
      <c r="B219" t="s">
        <v>252</v>
      </c>
      <c r="C219" t="s">
        <v>2890</v>
      </c>
    </row>
    <row r="220" spans="1:3" hidden="1" x14ac:dyDescent="0.35">
      <c r="A220">
        <v>708</v>
      </c>
      <c r="B220" s="77" t="s">
        <v>671</v>
      </c>
      <c r="C220" t="s">
        <v>2884</v>
      </c>
    </row>
    <row r="221" spans="1:3" hidden="1" x14ac:dyDescent="0.35">
      <c r="A221">
        <v>708</v>
      </c>
      <c r="B221" s="12" t="s">
        <v>2986</v>
      </c>
      <c r="C221" t="s">
        <v>2888</v>
      </c>
    </row>
    <row r="222" spans="1:3" hidden="1" x14ac:dyDescent="0.35">
      <c r="A222">
        <v>724</v>
      </c>
      <c r="B222" s="2" t="s">
        <v>2987</v>
      </c>
      <c r="C222" t="s">
        <v>2884</v>
      </c>
    </row>
    <row r="223" spans="1:3" hidden="1" x14ac:dyDescent="0.35">
      <c r="A223">
        <v>724</v>
      </c>
      <c r="B223" t="s">
        <v>252</v>
      </c>
      <c r="C223" t="s">
        <v>2890</v>
      </c>
    </row>
    <row r="224" spans="1:3" hidden="1" x14ac:dyDescent="0.35">
      <c r="A224">
        <v>724</v>
      </c>
      <c r="B224" s="78" t="s">
        <v>2961</v>
      </c>
      <c r="C224" t="s">
        <v>2884</v>
      </c>
    </row>
    <row r="225" spans="1:3" hidden="1" x14ac:dyDescent="0.35">
      <c r="A225">
        <v>724</v>
      </c>
      <c r="B225" s="7" t="s">
        <v>2944</v>
      </c>
      <c r="C225" t="s">
        <v>2884</v>
      </c>
    </row>
    <row r="226" spans="1:3" hidden="1" x14ac:dyDescent="0.35">
      <c r="A226">
        <v>724</v>
      </c>
      <c r="B226" t="s">
        <v>2988</v>
      </c>
      <c r="C226" t="s">
        <v>2886</v>
      </c>
    </row>
    <row r="227" spans="1:3" hidden="1" x14ac:dyDescent="0.35">
      <c r="A227">
        <v>738</v>
      </c>
      <c r="B227" t="s">
        <v>357</v>
      </c>
      <c r="C227" t="s">
        <v>357</v>
      </c>
    </row>
    <row r="228" spans="1:3" hidden="1" x14ac:dyDescent="0.35">
      <c r="A228">
        <v>738</v>
      </c>
      <c r="B228" s="77" t="s">
        <v>671</v>
      </c>
      <c r="C228" t="s">
        <v>2884</v>
      </c>
    </row>
    <row r="229" spans="1:3" hidden="1" x14ac:dyDescent="0.35">
      <c r="A229">
        <v>738</v>
      </c>
      <c r="B229" s="78" t="s">
        <v>8</v>
      </c>
      <c r="C229" t="s">
        <v>2884</v>
      </c>
    </row>
    <row r="230" spans="1:3" hidden="1" x14ac:dyDescent="0.35">
      <c r="A230">
        <v>738</v>
      </c>
      <c r="B230" t="s">
        <v>1573</v>
      </c>
      <c r="C230" t="s">
        <v>2890</v>
      </c>
    </row>
    <row r="231" spans="1:3" hidden="1" x14ac:dyDescent="0.35">
      <c r="A231">
        <v>738</v>
      </c>
      <c r="B231" t="s">
        <v>2989</v>
      </c>
      <c r="C231" t="s">
        <v>2890</v>
      </c>
    </row>
    <row r="232" spans="1:3" hidden="1" x14ac:dyDescent="0.35">
      <c r="A232">
        <v>743</v>
      </c>
      <c r="B232" t="s">
        <v>895</v>
      </c>
      <c r="C232" t="s">
        <v>2890</v>
      </c>
    </row>
    <row r="233" spans="1:3" hidden="1" x14ac:dyDescent="0.35">
      <c r="A233">
        <v>743</v>
      </c>
      <c r="B233" t="s">
        <v>2990</v>
      </c>
      <c r="C233" t="s">
        <v>2890</v>
      </c>
    </row>
    <row r="234" spans="1:3" hidden="1" x14ac:dyDescent="0.35">
      <c r="A234">
        <v>743</v>
      </c>
      <c r="B234" s="77" t="s">
        <v>120</v>
      </c>
      <c r="C234" t="s">
        <v>2884</v>
      </c>
    </row>
    <row r="235" spans="1:3" hidden="1" x14ac:dyDescent="0.35">
      <c r="A235">
        <v>753</v>
      </c>
      <c r="B235" s="7" t="s">
        <v>154</v>
      </c>
      <c r="C235" t="s">
        <v>2886</v>
      </c>
    </row>
    <row r="236" spans="1:3" hidden="1" x14ac:dyDescent="0.35">
      <c r="A236">
        <v>753</v>
      </c>
      <c r="B236" t="s">
        <v>2991</v>
      </c>
      <c r="C236" t="s">
        <v>357</v>
      </c>
    </row>
    <row r="237" spans="1:3" hidden="1" x14ac:dyDescent="0.35">
      <c r="A237">
        <v>753</v>
      </c>
      <c r="B237" s="4" t="s">
        <v>2992</v>
      </c>
      <c r="C237" t="s">
        <v>2886</v>
      </c>
    </row>
    <row r="238" spans="1:3" hidden="1" x14ac:dyDescent="0.35">
      <c r="A238">
        <v>753</v>
      </c>
      <c r="B238" s="7" t="s">
        <v>2993</v>
      </c>
      <c r="C238" t="s">
        <v>2884</v>
      </c>
    </row>
    <row r="239" spans="1:3" hidden="1" x14ac:dyDescent="0.35">
      <c r="A239">
        <v>753</v>
      </c>
      <c r="B239" s="7" t="s">
        <v>2944</v>
      </c>
      <c r="C239" t="s">
        <v>2884</v>
      </c>
    </row>
    <row r="240" spans="1:3" hidden="1" x14ac:dyDescent="0.35">
      <c r="A240">
        <v>753</v>
      </c>
      <c r="B240" s="7" t="s">
        <v>2902</v>
      </c>
      <c r="C240" t="s">
        <v>2884</v>
      </c>
    </row>
    <row r="241" spans="1:3" hidden="1" x14ac:dyDescent="0.35">
      <c r="A241">
        <v>753</v>
      </c>
      <c r="B241" s="42" t="s">
        <v>2994</v>
      </c>
      <c r="C241" t="s">
        <v>2890</v>
      </c>
    </row>
    <row r="242" spans="1:3" hidden="1" x14ac:dyDescent="0.35">
      <c r="A242">
        <v>753</v>
      </c>
      <c r="B242" t="s">
        <v>2995</v>
      </c>
      <c r="C242" t="s">
        <v>2890</v>
      </c>
    </row>
    <row r="243" spans="1:3" hidden="1" x14ac:dyDescent="0.35">
      <c r="A243">
        <v>778</v>
      </c>
      <c r="B243" t="s">
        <v>225</v>
      </c>
      <c r="C243" t="s">
        <v>2890</v>
      </c>
    </row>
    <row r="244" spans="1:3" hidden="1" x14ac:dyDescent="0.35">
      <c r="A244">
        <v>778</v>
      </c>
      <c r="B244" s="77" t="s">
        <v>120</v>
      </c>
      <c r="C244" t="s">
        <v>2884</v>
      </c>
    </row>
    <row r="245" spans="1:3" hidden="1" x14ac:dyDescent="0.35">
      <c r="A245">
        <v>778</v>
      </c>
      <c r="B245" t="s">
        <v>2996</v>
      </c>
      <c r="C245" t="s">
        <v>2890</v>
      </c>
    </row>
    <row r="246" spans="1:3" hidden="1" x14ac:dyDescent="0.35">
      <c r="A246">
        <v>778</v>
      </c>
      <c r="B246" s="77" t="s">
        <v>2997</v>
      </c>
      <c r="C246" t="s">
        <v>2884</v>
      </c>
    </row>
    <row r="247" spans="1:3" hidden="1" x14ac:dyDescent="0.35">
      <c r="A247">
        <v>778</v>
      </c>
      <c r="B247" t="s">
        <v>2998</v>
      </c>
      <c r="C247" t="s">
        <v>2890</v>
      </c>
    </row>
    <row r="248" spans="1:3" hidden="1" x14ac:dyDescent="0.35">
      <c r="A248">
        <v>778</v>
      </c>
      <c r="B248" t="s">
        <v>2999</v>
      </c>
      <c r="C248" t="s">
        <v>357</v>
      </c>
    </row>
    <row r="249" spans="1:3" hidden="1" x14ac:dyDescent="0.35">
      <c r="A249">
        <v>778</v>
      </c>
      <c r="B249" t="s">
        <v>2899</v>
      </c>
      <c r="C249" t="s">
        <v>2890</v>
      </c>
    </row>
    <row r="250" spans="1:3" x14ac:dyDescent="0.35">
      <c r="A250">
        <v>788</v>
      </c>
      <c r="B250" t="s">
        <v>1139</v>
      </c>
      <c r="C250" t="s">
        <v>2892</v>
      </c>
    </row>
    <row r="251" spans="1:3" hidden="1" x14ac:dyDescent="0.35">
      <c r="A251">
        <v>788</v>
      </c>
      <c r="B251" t="s">
        <v>3000</v>
      </c>
      <c r="C251" t="s">
        <v>357</v>
      </c>
    </row>
    <row r="252" spans="1:3" hidden="1" x14ac:dyDescent="0.35">
      <c r="A252">
        <v>788</v>
      </c>
      <c r="B252" s="7" t="s">
        <v>3001</v>
      </c>
      <c r="C252" t="s">
        <v>2884</v>
      </c>
    </row>
    <row r="253" spans="1:3" hidden="1" x14ac:dyDescent="0.35">
      <c r="A253">
        <v>788</v>
      </c>
      <c r="B253" s="7" t="s">
        <v>3002</v>
      </c>
      <c r="C253" t="s">
        <v>2884</v>
      </c>
    </row>
    <row r="254" spans="1:3" hidden="1" x14ac:dyDescent="0.35">
      <c r="A254">
        <v>803</v>
      </c>
      <c r="B254" t="s">
        <v>3003</v>
      </c>
      <c r="C254" t="s">
        <v>2914</v>
      </c>
    </row>
    <row r="255" spans="1:3" hidden="1" x14ac:dyDescent="0.35">
      <c r="A255">
        <v>803</v>
      </c>
      <c r="B255" t="s">
        <v>2999</v>
      </c>
      <c r="C255" t="s">
        <v>357</v>
      </c>
    </row>
    <row r="256" spans="1:3" hidden="1" x14ac:dyDescent="0.35">
      <c r="A256">
        <v>803</v>
      </c>
      <c r="B256" s="17" t="s">
        <v>3004</v>
      </c>
      <c r="C256" t="s">
        <v>2886</v>
      </c>
    </row>
    <row r="257" spans="1:3" hidden="1" x14ac:dyDescent="0.35">
      <c r="A257">
        <v>803</v>
      </c>
      <c r="B257" t="s">
        <v>252</v>
      </c>
      <c r="C257" t="s">
        <v>2890</v>
      </c>
    </row>
    <row r="258" spans="1:3" hidden="1" x14ac:dyDescent="0.35">
      <c r="A258">
        <v>803</v>
      </c>
      <c r="B258" t="s">
        <v>3005</v>
      </c>
      <c r="C258" t="s">
        <v>2890</v>
      </c>
    </row>
    <row r="259" spans="1:3" hidden="1" x14ac:dyDescent="0.35">
      <c r="A259">
        <v>803</v>
      </c>
      <c r="B259" s="17" t="s">
        <v>401</v>
      </c>
      <c r="C259" t="s">
        <v>2886</v>
      </c>
    </row>
    <row r="260" spans="1:3" x14ac:dyDescent="0.35">
      <c r="A260">
        <v>811</v>
      </c>
      <c r="B260" t="s">
        <v>503</v>
      </c>
      <c r="C260" t="s">
        <v>2892</v>
      </c>
    </row>
    <row r="261" spans="1:3" hidden="1" x14ac:dyDescent="0.35">
      <c r="A261">
        <v>811</v>
      </c>
      <c r="B261" t="s">
        <v>3006</v>
      </c>
      <c r="C261" t="s">
        <v>357</v>
      </c>
    </row>
    <row r="262" spans="1:3" hidden="1" x14ac:dyDescent="0.35">
      <c r="A262">
        <v>824</v>
      </c>
      <c r="B262" t="s">
        <v>534</v>
      </c>
      <c r="C262" t="s">
        <v>2890</v>
      </c>
    </row>
    <row r="263" spans="1:3" hidden="1" x14ac:dyDescent="0.35">
      <c r="A263">
        <v>824</v>
      </c>
      <c r="B263" t="s">
        <v>3007</v>
      </c>
      <c r="C263" t="s">
        <v>2890</v>
      </c>
    </row>
    <row r="264" spans="1:3" hidden="1" x14ac:dyDescent="0.35">
      <c r="A264">
        <v>833</v>
      </c>
      <c r="B264" t="s">
        <v>103</v>
      </c>
      <c r="C264" t="s">
        <v>357</v>
      </c>
    </row>
    <row r="265" spans="1:3" hidden="1" x14ac:dyDescent="0.35">
      <c r="A265">
        <v>833</v>
      </c>
      <c r="B265" s="24" t="s">
        <v>3008</v>
      </c>
      <c r="C265" t="s">
        <v>2886</v>
      </c>
    </row>
    <row r="266" spans="1:3" hidden="1" x14ac:dyDescent="0.35">
      <c r="A266">
        <v>833</v>
      </c>
      <c r="B266" s="24" t="s">
        <v>3009</v>
      </c>
      <c r="C266" t="s">
        <v>2886</v>
      </c>
    </row>
    <row r="267" spans="1:3" hidden="1" x14ac:dyDescent="0.35">
      <c r="A267">
        <v>833</v>
      </c>
      <c r="B267" s="74" t="s">
        <v>3010</v>
      </c>
      <c r="C267" t="s">
        <v>2890</v>
      </c>
    </row>
    <row r="268" spans="1:3" hidden="1" x14ac:dyDescent="0.35">
      <c r="A268">
        <v>833</v>
      </c>
      <c r="B268" t="s">
        <v>3011</v>
      </c>
      <c r="C268" t="s">
        <v>357</v>
      </c>
    </row>
    <row r="269" spans="1:3" hidden="1" x14ac:dyDescent="0.35">
      <c r="A269">
        <v>841</v>
      </c>
      <c r="B269" s="17" t="s">
        <v>401</v>
      </c>
      <c r="C269" t="s">
        <v>2886</v>
      </c>
    </row>
    <row r="270" spans="1:3" hidden="1" x14ac:dyDescent="0.35">
      <c r="A270">
        <v>841</v>
      </c>
      <c r="B270" t="s">
        <v>2999</v>
      </c>
      <c r="C270" t="s">
        <v>357</v>
      </c>
    </row>
    <row r="271" spans="1:3" hidden="1" x14ac:dyDescent="0.35">
      <c r="A271">
        <v>841</v>
      </c>
      <c r="B271" s="78" t="s">
        <v>3012</v>
      </c>
      <c r="C271" t="s">
        <v>2884</v>
      </c>
    </row>
    <row r="272" spans="1:3" hidden="1" x14ac:dyDescent="0.35">
      <c r="A272">
        <v>849</v>
      </c>
      <c r="B272" t="s">
        <v>160</v>
      </c>
      <c r="C272" t="s">
        <v>357</v>
      </c>
    </row>
    <row r="273" spans="1:3" hidden="1" x14ac:dyDescent="0.35">
      <c r="A273">
        <v>849</v>
      </c>
      <c r="B273" s="74" t="s">
        <v>3013</v>
      </c>
      <c r="C273" t="s">
        <v>2890</v>
      </c>
    </row>
    <row r="274" spans="1:3" hidden="1" x14ac:dyDescent="0.35">
      <c r="A274">
        <v>849</v>
      </c>
      <c r="B274" s="17" t="s">
        <v>401</v>
      </c>
      <c r="C274" t="s">
        <v>2886</v>
      </c>
    </row>
    <row r="275" spans="1:3" hidden="1" x14ac:dyDescent="0.35">
      <c r="A275">
        <v>849</v>
      </c>
      <c r="B275" t="s">
        <v>3014</v>
      </c>
      <c r="C275" t="s">
        <v>357</v>
      </c>
    </row>
    <row r="276" spans="1:3" hidden="1" x14ac:dyDescent="0.35">
      <c r="A276">
        <v>849</v>
      </c>
      <c r="B276" t="s">
        <v>3015</v>
      </c>
      <c r="C276" t="s">
        <v>2890</v>
      </c>
    </row>
    <row r="277" spans="1:3" hidden="1" x14ac:dyDescent="0.35">
      <c r="A277">
        <v>849</v>
      </c>
    </row>
    <row r="278" spans="1:3" hidden="1" x14ac:dyDescent="0.35">
      <c r="A278">
        <v>849</v>
      </c>
      <c r="B278" s="74" t="s">
        <v>3016</v>
      </c>
      <c r="C278" t="s">
        <v>2890</v>
      </c>
    </row>
    <row r="279" spans="1:3" hidden="1" x14ac:dyDescent="0.35">
      <c r="A279">
        <v>866</v>
      </c>
      <c r="B279" t="s">
        <v>3017</v>
      </c>
      <c r="C279" t="s">
        <v>2890</v>
      </c>
    </row>
    <row r="280" spans="1:3" hidden="1" x14ac:dyDescent="0.35">
      <c r="A280">
        <v>866</v>
      </c>
      <c r="B280" s="17" t="s">
        <v>3004</v>
      </c>
      <c r="C280" t="s">
        <v>2886</v>
      </c>
    </row>
    <row r="281" spans="1:3" hidden="1" x14ac:dyDescent="0.35">
      <c r="A281">
        <v>866</v>
      </c>
      <c r="B281" t="s">
        <v>3018</v>
      </c>
      <c r="C281" t="s">
        <v>2890</v>
      </c>
    </row>
    <row r="282" spans="1:3" hidden="1" x14ac:dyDescent="0.35">
      <c r="A282">
        <v>868</v>
      </c>
      <c r="B282" t="s">
        <v>27</v>
      </c>
      <c r="C282" t="s">
        <v>27</v>
      </c>
    </row>
    <row r="283" spans="1:3" hidden="1" x14ac:dyDescent="0.35">
      <c r="A283">
        <v>868</v>
      </c>
      <c r="B283" t="s">
        <v>3019</v>
      </c>
      <c r="C283" t="s">
        <v>357</v>
      </c>
    </row>
    <row r="284" spans="1:3" hidden="1" x14ac:dyDescent="0.35">
      <c r="A284">
        <v>868</v>
      </c>
      <c r="B284" s="7" t="s">
        <v>3020</v>
      </c>
      <c r="C284" t="s">
        <v>2886</v>
      </c>
    </row>
    <row r="285" spans="1:3" hidden="1" x14ac:dyDescent="0.35">
      <c r="A285">
        <v>868</v>
      </c>
      <c r="B285" s="75" t="s">
        <v>3021</v>
      </c>
      <c r="C285" t="s">
        <v>2886</v>
      </c>
    </row>
    <row r="286" spans="1:3" hidden="1" x14ac:dyDescent="0.35">
      <c r="A286">
        <v>868</v>
      </c>
      <c r="B286" s="17" t="s">
        <v>3022</v>
      </c>
      <c r="C286" t="s">
        <v>2886</v>
      </c>
    </row>
    <row r="287" spans="1:3" hidden="1" x14ac:dyDescent="0.35">
      <c r="A287">
        <v>875</v>
      </c>
      <c r="B287" t="s">
        <v>103</v>
      </c>
      <c r="C287" t="s">
        <v>357</v>
      </c>
    </row>
    <row r="288" spans="1:3" hidden="1" x14ac:dyDescent="0.35">
      <c r="A288">
        <v>882</v>
      </c>
      <c r="B288" t="s">
        <v>103</v>
      </c>
      <c r="C288" t="s">
        <v>357</v>
      </c>
    </row>
    <row r="289" spans="1:3" hidden="1" x14ac:dyDescent="0.35">
      <c r="A289">
        <v>882</v>
      </c>
      <c r="B289" t="s">
        <v>3015</v>
      </c>
      <c r="C289" t="s">
        <v>2890</v>
      </c>
    </row>
    <row r="290" spans="1:3" hidden="1" x14ac:dyDescent="0.35">
      <c r="A290">
        <v>885</v>
      </c>
      <c r="B290" t="s">
        <v>590</v>
      </c>
      <c r="C290" t="s">
        <v>357</v>
      </c>
    </row>
    <row r="291" spans="1:3" hidden="1" x14ac:dyDescent="0.35">
      <c r="A291">
        <v>892</v>
      </c>
      <c r="B291" t="s">
        <v>601</v>
      </c>
      <c r="C291" t="s">
        <v>2890</v>
      </c>
    </row>
    <row r="292" spans="1:3" hidden="1" x14ac:dyDescent="0.35">
      <c r="A292">
        <v>892</v>
      </c>
      <c r="B292" s="17" t="s">
        <v>3023</v>
      </c>
      <c r="C292" t="s">
        <v>2890</v>
      </c>
    </row>
    <row r="293" spans="1:3" hidden="1" x14ac:dyDescent="0.35">
      <c r="A293">
        <v>904</v>
      </c>
      <c r="B293" t="s">
        <v>601</v>
      </c>
      <c r="C293" t="s">
        <v>2890</v>
      </c>
    </row>
    <row r="294" spans="1:3" hidden="1" x14ac:dyDescent="0.35">
      <c r="A294">
        <v>911</v>
      </c>
      <c r="B294" s="17" t="s">
        <v>401</v>
      </c>
      <c r="C294" t="s">
        <v>2886</v>
      </c>
    </row>
    <row r="295" spans="1:3" hidden="1" x14ac:dyDescent="0.35">
      <c r="A295">
        <v>911</v>
      </c>
      <c r="B295" t="s">
        <v>3024</v>
      </c>
      <c r="C295" t="s">
        <v>2890</v>
      </c>
    </row>
    <row r="296" spans="1:3" hidden="1" x14ac:dyDescent="0.35">
      <c r="A296">
        <v>911</v>
      </c>
      <c r="B296" s="7" t="s">
        <v>3025</v>
      </c>
      <c r="C296" t="s">
        <v>2884</v>
      </c>
    </row>
    <row r="297" spans="1:3" hidden="1" x14ac:dyDescent="0.35">
      <c r="A297">
        <v>911</v>
      </c>
      <c r="B297" t="s">
        <v>3026</v>
      </c>
      <c r="C297" t="s">
        <v>357</v>
      </c>
    </row>
    <row r="298" spans="1:3" hidden="1" x14ac:dyDescent="0.35">
      <c r="A298">
        <v>911</v>
      </c>
      <c r="B298" t="s">
        <v>1037</v>
      </c>
      <c r="C298" t="s">
        <v>357</v>
      </c>
    </row>
    <row r="299" spans="1:3" hidden="1" x14ac:dyDescent="0.35">
      <c r="A299">
        <v>911</v>
      </c>
      <c r="B299" s="17" t="s">
        <v>3004</v>
      </c>
      <c r="C299" t="s">
        <v>2886</v>
      </c>
    </row>
    <row r="300" spans="1:3" hidden="1" x14ac:dyDescent="0.35">
      <c r="A300">
        <v>913</v>
      </c>
      <c r="B300" t="s">
        <v>637</v>
      </c>
      <c r="C300" t="s">
        <v>357</v>
      </c>
    </row>
    <row r="301" spans="1:3" hidden="1" x14ac:dyDescent="0.35">
      <c r="A301">
        <v>914</v>
      </c>
      <c r="B301" s="4" t="s">
        <v>641</v>
      </c>
      <c r="C301" t="s">
        <v>2886</v>
      </c>
    </row>
    <row r="302" spans="1:3" hidden="1" x14ac:dyDescent="0.35">
      <c r="A302">
        <v>934</v>
      </c>
      <c r="B302" t="s">
        <v>27</v>
      </c>
      <c r="C302" t="s">
        <v>27</v>
      </c>
    </row>
    <row r="303" spans="1:3" hidden="1" x14ac:dyDescent="0.35">
      <c r="A303">
        <v>939</v>
      </c>
      <c r="B303" s="17" t="s">
        <v>401</v>
      </c>
      <c r="C303" t="s">
        <v>2886</v>
      </c>
    </row>
    <row r="304" spans="1:3" hidden="1" x14ac:dyDescent="0.35">
      <c r="A304">
        <v>939</v>
      </c>
      <c r="B304" t="s">
        <v>3027</v>
      </c>
      <c r="C304" t="s">
        <v>2890</v>
      </c>
    </row>
    <row r="305" spans="1:3" hidden="1" x14ac:dyDescent="0.35">
      <c r="A305">
        <v>939</v>
      </c>
      <c r="B305" t="s">
        <v>3028</v>
      </c>
      <c r="C305" t="s">
        <v>2890</v>
      </c>
    </row>
    <row r="306" spans="1:3" hidden="1" x14ac:dyDescent="0.35">
      <c r="A306">
        <v>939</v>
      </c>
      <c r="B306" s="2" t="s">
        <v>3029</v>
      </c>
      <c r="C306" t="s">
        <v>2888</v>
      </c>
    </row>
    <row r="307" spans="1:3" hidden="1" x14ac:dyDescent="0.35">
      <c r="A307">
        <v>939</v>
      </c>
      <c r="B307" s="2" t="s">
        <v>3030</v>
      </c>
      <c r="C307" t="s">
        <v>2888</v>
      </c>
    </row>
    <row r="308" spans="1:3" hidden="1" x14ac:dyDescent="0.35">
      <c r="A308">
        <v>939</v>
      </c>
      <c r="B308" t="s">
        <v>3031</v>
      </c>
      <c r="C308" t="s">
        <v>2890</v>
      </c>
    </row>
    <row r="309" spans="1:3" hidden="1" x14ac:dyDescent="0.35">
      <c r="A309">
        <v>939</v>
      </c>
      <c r="B309" s="7" t="s">
        <v>3032</v>
      </c>
      <c r="C309" t="s">
        <v>2884</v>
      </c>
    </row>
    <row r="310" spans="1:3" hidden="1" x14ac:dyDescent="0.35">
      <c r="A310">
        <v>939</v>
      </c>
      <c r="B310" t="s">
        <v>3033</v>
      </c>
      <c r="C310" t="s">
        <v>2890</v>
      </c>
    </row>
    <row r="311" spans="1:3" hidden="1" x14ac:dyDescent="0.35">
      <c r="A311">
        <v>939</v>
      </c>
      <c r="B311" s="42" t="s">
        <v>3034</v>
      </c>
      <c r="C311" t="s">
        <v>2890</v>
      </c>
    </row>
    <row r="312" spans="1:3" hidden="1" x14ac:dyDescent="0.35">
      <c r="A312">
        <v>992</v>
      </c>
      <c r="B312" t="s">
        <v>637</v>
      </c>
      <c r="C312" t="s">
        <v>357</v>
      </c>
    </row>
    <row r="313" spans="1:3" hidden="1" x14ac:dyDescent="0.35">
      <c r="A313">
        <v>992</v>
      </c>
      <c r="B313" s="42" t="s">
        <v>3035</v>
      </c>
      <c r="C313" t="s">
        <v>2890</v>
      </c>
    </row>
    <row r="314" spans="1:3" hidden="1" x14ac:dyDescent="0.35">
      <c r="A314">
        <v>1008</v>
      </c>
      <c r="B314" s="77" t="s">
        <v>671</v>
      </c>
      <c r="C314" t="s">
        <v>2884</v>
      </c>
    </row>
    <row r="315" spans="1:3" hidden="1" x14ac:dyDescent="0.35">
      <c r="A315">
        <v>1008</v>
      </c>
      <c r="B315" t="s">
        <v>103</v>
      </c>
      <c r="C315" t="s">
        <v>357</v>
      </c>
    </row>
    <row r="316" spans="1:3" x14ac:dyDescent="0.35">
      <c r="A316">
        <v>98</v>
      </c>
      <c r="B316" t="s">
        <v>503</v>
      </c>
      <c r="C316" t="s">
        <v>2892</v>
      </c>
    </row>
    <row r="317" spans="1:3" hidden="1" x14ac:dyDescent="0.35">
      <c r="A317">
        <v>98</v>
      </c>
      <c r="B317" t="s">
        <v>3036</v>
      </c>
      <c r="C317" t="s">
        <v>2890</v>
      </c>
    </row>
    <row r="318" spans="1:3" hidden="1" x14ac:dyDescent="0.35">
      <c r="A318">
        <v>98</v>
      </c>
      <c r="B318" s="77" t="s">
        <v>3037</v>
      </c>
      <c r="C318" t="s">
        <v>2884</v>
      </c>
    </row>
    <row r="319" spans="1:3" hidden="1" x14ac:dyDescent="0.35">
      <c r="A319">
        <v>98</v>
      </c>
      <c r="B319" s="77" t="s">
        <v>671</v>
      </c>
      <c r="C319" t="s">
        <v>2884</v>
      </c>
    </row>
    <row r="320" spans="1:3" x14ac:dyDescent="0.35">
      <c r="A320">
        <v>98</v>
      </c>
      <c r="B320" t="s">
        <v>3038</v>
      </c>
      <c r="C320" t="s">
        <v>2892</v>
      </c>
    </row>
    <row r="321" spans="1:3" hidden="1" x14ac:dyDescent="0.35">
      <c r="A321">
        <v>273</v>
      </c>
      <c r="B321" t="s">
        <v>704</v>
      </c>
      <c r="C321" t="s">
        <v>357</v>
      </c>
    </row>
    <row r="322" spans="1:3" hidden="1" x14ac:dyDescent="0.35">
      <c r="A322">
        <v>273</v>
      </c>
      <c r="B322" t="s">
        <v>3039</v>
      </c>
      <c r="C322" t="s">
        <v>2886</v>
      </c>
    </row>
    <row r="323" spans="1:3" x14ac:dyDescent="0.35">
      <c r="A323">
        <v>273</v>
      </c>
      <c r="B323" t="s">
        <v>3040</v>
      </c>
      <c r="C323" t="s">
        <v>2892</v>
      </c>
    </row>
    <row r="324" spans="1:3" hidden="1" x14ac:dyDescent="0.35">
      <c r="A324">
        <v>273</v>
      </c>
      <c r="B324" s="77" t="s">
        <v>3041</v>
      </c>
      <c r="C324" t="s">
        <v>2884</v>
      </c>
    </row>
    <row r="325" spans="1:3" hidden="1" x14ac:dyDescent="0.35">
      <c r="A325">
        <v>273</v>
      </c>
      <c r="B325" s="17" t="s">
        <v>3042</v>
      </c>
      <c r="C325" t="s">
        <v>2890</v>
      </c>
    </row>
    <row r="326" spans="1:3" hidden="1" x14ac:dyDescent="0.35">
      <c r="A326">
        <v>273</v>
      </c>
      <c r="B326" s="17" t="s">
        <v>3043</v>
      </c>
      <c r="C326" t="s">
        <v>2890</v>
      </c>
    </row>
    <row r="327" spans="1:3" hidden="1" x14ac:dyDescent="0.35">
      <c r="A327">
        <v>273</v>
      </c>
      <c r="B327" t="s">
        <v>177</v>
      </c>
      <c r="C327" t="s">
        <v>2890</v>
      </c>
    </row>
    <row r="328" spans="1:3" hidden="1" x14ac:dyDescent="0.35">
      <c r="A328">
        <v>275</v>
      </c>
      <c r="B328" s="77" t="s">
        <v>671</v>
      </c>
      <c r="C328" t="s">
        <v>2884</v>
      </c>
    </row>
    <row r="329" spans="1:3" x14ac:dyDescent="0.35">
      <c r="A329">
        <v>275</v>
      </c>
      <c r="B329" t="s">
        <v>3038</v>
      </c>
      <c r="C329" t="s">
        <v>2892</v>
      </c>
    </row>
    <row r="330" spans="1:3" hidden="1" x14ac:dyDescent="0.35">
      <c r="A330">
        <v>275</v>
      </c>
      <c r="B330" t="s">
        <v>3044</v>
      </c>
      <c r="C330" t="s">
        <v>2890</v>
      </c>
    </row>
    <row r="331" spans="1:3" hidden="1" x14ac:dyDescent="0.35">
      <c r="A331">
        <v>275</v>
      </c>
      <c r="B331" t="s">
        <v>3045</v>
      </c>
      <c r="C331" t="s">
        <v>2890</v>
      </c>
    </row>
    <row r="332" spans="1:3" hidden="1" x14ac:dyDescent="0.35">
      <c r="A332">
        <v>275</v>
      </c>
      <c r="B332" t="s">
        <v>1689</v>
      </c>
      <c r="C332" t="s">
        <v>2890</v>
      </c>
    </row>
    <row r="333" spans="1:3" hidden="1" x14ac:dyDescent="0.35">
      <c r="A333">
        <v>275</v>
      </c>
      <c r="B333" s="77" t="s">
        <v>3037</v>
      </c>
      <c r="C333" t="s">
        <v>2884</v>
      </c>
    </row>
    <row r="334" spans="1:3" hidden="1" x14ac:dyDescent="0.35">
      <c r="A334">
        <v>275</v>
      </c>
      <c r="B334" t="s">
        <v>145</v>
      </c>
      <c r="C334" t="s">
        <v>2890</v>
      </c>
    </row>
    <row r="335" spans="1:3" hidden="1" x14ac:dyDescent="0.35">
      <c r="A335">
        <v>275</v>
      </c>
      <c r="B335" t="s">
        <v>3046</v>
      </c>
      <c r="C335" t="s">
        <v>2890</v>
      </c>
    </row>
    <row r="336" spans="1:3" hidden="1" x14ac:dyDescent="0.35">
      <c r="A336">
        <v>19</v>
      </c>
      <c r="B336" s="11" t="s">
        <v>753</v>
      </c>
      <c r="C336" t="s">
        <v>2886</v>
      </c>
    </row>
    <row r="337" spans="1:3" hidden="1" x14ac:dyDescent="0.35">
      <c r="A337">
        <v>19</v>
      </c>
      <c r="B337" s="2" t="s">
        <v>1851</v>
      </c>
      <c r="C337" t="s">
        <v>2888</v>
      </c>
    </row>
    <row r="338" spans="1:3" hidden="1" x14ac:dyDescent="0.35">
      <c r="A338">
        <v>19</v>
      </c>
      <c r="B338" s="2" t="s">
        <v>3047</v>
      </c>
      <c r="C338" t="s">
        <v>2888</v>
      </c>
    </row>
    <row r="339" spans="1:3" hidden="1" x14ac:dyDescent="0.35">
      <c r="A339">
        <v>19</v>
      </c>
      <c r="B339" s="2" t="s">
        <v>3048</v>
      </c>
      <c r="C339" t="s">
        <v>2888</v>
      </c>
    </row>
    <row r="340" spans="1:3" hidden="1" x14ac:dyDescent="0.35">
      <c r="A340">
        <v>19</v>
      </c>
      <c r="B340" s="2" t="s">
        <v>3049</v>
      </c>
      <c r="C340" t="s">
        <v>2888</v>
      </c>
    </row>
    <row r="341" spans="1:3" hidden="1" x14ac:dyDescent="0.35">
      <c r="A341">
        <v>66</v>
      </c>
      <c r="B341" t="s">
        <v>637</v>
      </c>
      <c r="C341" t="s">
        <v>357</v>
      </c>
    </row>
    <row r="342" spans="1:3" x14ac:dyDescent="0.35">
      <c r="A342">
        <v>119</v>
      </c>
      <c r="B342" t="s">
        <v>1139</v>
      </c>
      <c r="C342" t="s">
        <v>2892</v>
      </c>
    </row>
    <row r="343" spans="1:3" hidden="1" x14ac:dyDescent="0.35">
      <c r="A343">
        <v>119</v>
      </c>
      <c r="B343" s="42" t="s">
        <v>3050</v>
      </c>
      <c r="C343" t="s">
        <v>2890</v>
      </c>
    </row>
    <row r="344" spans="1:3" x14ac:dyDescent="0.35">
      <c r="A344">
        <v>119</v>
      </c>
      <c r="B344" t="s">
        <v>3051</v>
      </c>
      <c r="C344" t="s">
        <v>2892</v>
      </c>
    </row>
    <row r="345" spans="1:3" hidden="1" x14ac:dyDescent="0.35">
      <c r="A345">
        <v>119</v>
      </c>
      <c r="B345" s="42" t="s">
        <v>3052</v>
      </c>
      <c r="C345" t="s">
        <v>2890</v>
      </c>
    </row>
    <row r="346" spans="1:3" hidden="1" x14ac:dyDescent="0.35">
      <c r="A346">
        <v>119</v>
      </c>
      <c r="B346" t="s">
        <v>27</v>
      </c>
      <c r="C346" t="s">
        <v>27</v>
      </c>
    </row>
    <row r="347" spans="1:3" hidden="1" x14ac:dyDescent="0.35">
      <c r="A347">
        <v>137</v>
      </c>
      <c r="B347" s="17" t="s">
        <v>2933</v>
      </c>
      <c r="C347" t="s">
        <v>2886</v>
      </c>
    </row>
    <row r="348" spans="1:3" hidden="1" x14ac:dyDescent="0.35">
      <c r="A348">
        <v>137</v>
      </c>
      <c r="B348" s="7" t="s">
        <v>3020</v>
      </c>
      <c r="C348" t="s">
        <v>2886</v>
      </c>
    </row>
    <row r="349" spans="1:3" hidden="1" x14ac:dyDescent="0.35">
      <c r="A349">
        <v>137</v>
      </c>
      <c r="B349" t="s">
        <v>3053</v>
      </c>
      <c r="C349" t="s">
        <v>357</v>
      </c>
    </row>
    <row r="350" spans="1:3" hidden="1" x14ac:dyDescent="0.35">
      <c r="A350">
        <v>137</v>
      </c>
      <c r="B350" s="78" t="s">
        <v>3012</v>
      </c>
      <c r="C350" t="s">
        <v>2884</v>
      </c>
    </row>
    <row r="351" spans="1:3" hidden="1" x14ac:dyDescent="0.35">
      <c r="A351">
        <v>155</v>
      </c>
      <c r="B351" s="2" t="s">
        <v>3054</v>
      </c>
      <c r="C351" t="s">
        <v>2888</v>
      </c>
    </row>
    <row r="352" spans="1:3" hidden="1" x14ac:dyDescent="0.35">
      <c r="A352">
        <v>155</v>
      </c>
      <c r="B352" s="7" t="s">
        <v>3055</v>
      </c>
      <c r="C352" t="s">
        <v>2884</v>
      </c>
    </row>
    <row r="353" spans="1:3" hidden="1" x14ac:dyDescent="0.35">
      <c r="A353">
        <v>155</v>
      </c>
      <c r="B353" s="7" t="s">
        <v>3025</v>
      </c>
      <c r="C353" t="s">
        <v>2884</v>
      </c>
    </row>
    <row r="354" spans="1:3" hidden="1" x14ac:dyDescent="0.35">
      <c r="A354">
        <v>218</v>
      </c>
      <c r="B354" t="s">
        <v>733</v>
      </c>
      <c r="C354" t="s">
        <v>2884</v>
      </c>
    </row>
    <row r="355" spans="1:3" hidden="1" x14ac:dyDescent="0.35">
      <c r="A355">
        <v>220</v>
      </c>
      <c r="B355" s="11" t="s">
        <v>753</v>
      </c>
      <c r="C355" t="s">
        <v>2886</v>
      </c>
    </row>
    <row r="356" spans="1:3" hidden="1" x14ac:dyDescent="0.35">
      <c r="A356">
        <v>258</v>
      </c>
      <c r="B356" t="s">
        <v>252</v>
      </c>
      <c r="C356" t="s">
        <v>2890</v>
      </c>
    </row>
    <row r="357" spans="1:3" hidden="1" x14ac:dyDescent="0.35">
      <c r="A357">
        <v>258</v>
      </c>
      <c r="B357" s="5" t="s">
        <v>1635</v>
      </c>
      <c r="C357" t="s">
        <v>2886</v>
      </c>
    </row>
    <row r="358" spans="1:3" hidden="1" x14ac:dyDescent="0.35">
      <c r="A358">
        <v>259</v>
      </c>
      <c r="B358" s="11" t="s">
        <v>3056</v>
      </c>
      <c r="C358" t="s">
        <v>2886</v>
      </c>
    </row>
    <row r="359" spans="1:3" hidden="1" x14ac:dyDescent="0.35">
      <c r="A359">
        <v>259</v>
      </c>
      <c r="B359" s="2" t="s">
        <v>3054</v>
      </c>
      <c r="C359" t="s">
        <v>2888</v>
      </c>
    </row>
    <row r="360" spans="1:3" hidden="1" x14ac:dyDescent="0.35">
      <c r="A360">
        <v>285</v>
      </c>
      <c r="B360" t="s">
        <v>1920</v>
      </c>
      <c r="C360" t="s">
        <v>357</v>
      </c>
    </row>
    <row r="361" spans="1:3" hidden="1" x14ac:dyDescent="0.35">
      <c r="A361">
        <v>285</v>
      </c>
      <c r="B361" t="s">
        <v>3057</v>
      </c>
      <c r="C361" t="s">
        <v>2890</v>
      </c>
    </row>
    <row r="362" spans="1:3" hidden="1" x14ac:dyDescent="0.35">
      <c r="A362">
        <v>285</v>
      </c>
      <c r="B362" s="2" t="s">
        <v>3058</v>
      </c>
      <c r="C362" t="s">
        <v>2888</v>
      </c>
    </row>
    <row r="363" spans="1:3" hidden="1" x14ac:dyDescent="0.35">
      <c r="A363">
        <v>314</v>
      </c>
      <c r="B363" t="s">
        <v>27</v>
      </c>
      <c r="C363" t="s">
        <v>27</v>
      </c>
    </row>
    <row r="364" spans="1:3" hidden="1" x14ac:dyDescent="0.35">
      <c r="A364">
        <v>314</v>
      </c>
      <c r="B364" t="s">
        <v>225</v>
      </c>
      <c r="C364" t="s">
        <v>2890</v>
      </c>
    </row>
    <row r="365" spans="1:3" hidden="1" x14ac:dyDescent="0.35">
      <c r="A365">
        <v>314</v>
      </c>
      <c r="B365" t="s">
        <v>3059</v>
      </c>
      <c r="C365" t="s">
        <v>2890</v>
      </c>
    </row>
    <row r="366" spans="1:3" hidden="1" x14ac:dyDescent="0.35">
      <c r="A366">
        <v>314</v>
      </c>
      <c r="B366" s="78" t="s">
        <v>3060</v>
      </c>
      <c r="C366" t="s">
        <v>2884</v>
      </c>
    </row>
    <row r="367" spans="1:3" hidden="1" x14ac:dyDescent="0.35">
      <c r="A367">
        <v>315</v>
      </c>
      <c r="B367" t="s">
        <v>3061</v>
      </c>
      <c r="C367" t="s">
        <v>2890</v>
      </c>
    </row>
    <row r="368" spans="1:3" hidden="1" x14ac:dyDescent="0.35">
      <c r="A368">
        <v>315</v>
      </c>
      <c r="B368" t="s">
        <v>637</v>
      </c>
      <c r="C368" t="s">
        <v>357</v>
      </c>
    </row>
    <row r="369" spans="1:3" hidden="1" x14ac:dyDescent="0.35">
      <c r="A369">
        <v>315</v>
      </c>
      <c r="B369" t="s">
        <v>3062</v>
      </c>
      <c r="C369" t="s">
        <v>2914</v>
      </c>
    </row>
    <row r="370" spans="1:3" hidden="1" x14ac:dyDescent="0.35">
      <c r="A370">
        <v>315</v>
      </c>
      <c r="B370" t="s">
        <v>3063</v>
      </c>
      <c r="C370" t="s">
        <v>2914</v>
      </c>
    </row>
    <row r="371" spans="1:3" hidden="1" x14ac:dyDescent="0.35">
      <c r="A371">
        <v>315</v>
      </c>
      <c r="B371" t="s">
        <v>3064</v>
      </c>
      <c r="C371" t="s">
        <v>3064</v>
      </c>
    </row>
    <row r="372" spans="1:3" hidden="1" x14ac:dyDescent="0.35">
      <c r="A372">
        <v>315</v>
      </c>
      <c r="B372" s="2" t="s">
        <v>3065</v>
      </c>
      <c r="C372" t="s">
        <v>2886</v>
      </c>
    </row>
    <row r="373" spans="1:3" hidden="1" x14ac:dyDescent="0.35">
      <c r="A373">
        <v>315</v>
      </c>
      <c r="B373" t="s">
        <v>3066</v>
      </c>
      <c r="C373" t="s">
        <v>2890</v>
      </c>
    </row>
    <row r="374" spans="1:3" hidden="1" x14ac:dyDescent="0.35">
      <c r="A374">
        <v>315</v>
      </c>
      <c r="B374" t="s">
        <v>3067</v>
      </c>
      <c r="C374" t="s">
        <v>2890</v>
      </c>
    </row>
    <row r="375" spans="1:3" hidden="1" x14ac:dyDescent="0.35">
      <c r="A375">
        <v>315</v>
      </c>
      <c r="B375" t="s">
        <v>3053</v>
      </c>
      <c r="C375" t="s">
        <v>357</v>
      </c>
    </row>
    <row r="376" spans="1:3" hidden="1" x14ac:dyDescent="0.35">
      <c r="A376">
        <v>337</v>
      </c>
      <c r="B376" t="s">
        <v>3068</v>
      </c>
      <c r="C376" t="s">
        <v>357</v>
      </c>
    </row>
    <row r="377" spans="1:3" hidden="1" x14ac:dyDescent="0.35">
      <c r="A377">
        <v>337</v>
      </c>
      <c r="B377" s="77" t="s">
        <v>3069</v>
      </c>
      <c r="C377" t="s">
        <v>2884</v>
      </c>
    </row>
    <row r="378" spans="1:3" x14ac:dyDescent="0.35">
      <c r="A378">
        <v>388</v>
      </c>
      <c r="B378" t="s">
        <v>3070</v>
      </c>
      <c r="C378" t="s">
        <v>2892</v>
      </c>
    </row>
    <row r="379" spans="1:3" hidden="1" x14ac:dyDescent="0.35">
      <c r="A379">
        <v>388</v>
      </c>
      <c r="B379" t="s">
        <v>1939</v>
      </c>
      <c r="C379" t="s">
        <v>357</v>
      </c>
    </row>
    <row r="380" spans="1:3" x14ac:dyDescent="0.35">
      <c r="A380">
        <v>388</v>
      </c>
      <c r="B380" t="s">
        <v>3071</v>
      </c>
      <c r="C380" t="s">
        <v>2892</v>
      </c>
    </row>
    <row r="381" spans="1:3" hidden="1" x14ac:dyDescent="0.35">
      <c r="A381">
        <v>388</v>
      </c>
      <c r="B381" s="7" t="s">
        <v>3072</v>
      </c>
      <c r="C381" t="s">
        <v>2884</v>
      </c>
    </row>
    <row r="382" spans="1:3" hidden="1" x14ac:dyDescent="0.35">
      <c r="A382">
        <v>388</v>
      </c>
      <c r="B382" s="7" t="s">
        <v>2902</v>
      </c>
      <c r="C382" t="s">
        <v>2884</v>
      </c>
    </row>
    <row r="383" spans="1:3" hidden="1" x14ac:dyDescent="0.35">
      <c r="A383">
        <v>388</v>
      </c>
      <c r="B383" s="7" t="s">
        <v>2971</v>
      </c>
      <c r="C383" t="s">
        <v>2884</v>
      </c>
    </row>
    <row r="384" spans="1:3" hidden="1" x14ac:dyDescent="0.35">
      <c r="A384">
        <v>388</v>
      </c>
      <c r="B384" t="s">
        <v>3073</v>
      </c>
      <c r="C384" t="s">
        <v>2888</v>
      </c>
    </row>
    <row r="385" spans="1:3" x14ac:dyDescent="0.35">
      <c r="A385">
        <v>388</v>
      </c>
      <c r="B385" t="s">
        <v>3074</v>
      </c>
      <c r="C385" t="s">
        <v>2892</v>
      </c>
    </row>
    <row r="386" spans="1:3" hidden="1" x14ac:dyDescent="0.35">
      <c r="A386">
        <v>388</v>
      </c>
      <c r="B386" s="17" t="s">
        <v>987</v>
      </c>
      <c r="C386" t="s">
        <v>2886</v>
      </c>
    </row>
    <row r="387" spans="1:3" hidden="1" x14ac:dyDescent="0.35">
      <c r="A387">
        <v>388</v>
      </c>
      <c r="B387" s="2" t="s">
        <v>3075</v>
      </c>
      <c r="C387" t="s">
        <v>2888</v>
      </c>
    </row>
    <row r="388" spans="1:3" hidden="1" x14ac:dyDescent="0.35">
      <c r="A388">
        <v>752</v>
      </c>
      <c r="B388" s="78" t="s">
        <v>761</v>
      </c>
      <c r="C388" t="s">
        <v>2884</v>
      </c>
    </row>
    <row r="389" spans="1:3" hidden="1" x14ac:dyDescent="0.35">
      <c r="A389">
        <v>752</v>
      </c>
      <c r="B389" t="s">
        <v>3076</v>
      </c>
      <c r="C389" t="s">
        <v>2890</v>
      </c>
    </row>
    <row r="390" spans="1:3" hidden="1" x14ac:dyDescent="0.35">
      <c r="A390">
        <v>752</v>
      </c>
      <c r="B390" t="s">
        <v>762</v>
      </c>
      <c r="C390" t="s">
        <v>2890</v>
      </c>
    </row>
    <row r="391" spans="1:3" hidden="1" x14ac:dyDescent="0.35">
      <c r="A391">
        <v>752</v>
      </c>
      <c r="B391" s="17" t="s">
        <v>678</v>
      </c>
      <c r="C391" t="s">
        <v>2890</v>
      </c>
    </row>
    <row r="392" spans="1:3" hidden="1" x14ac:dyDescent="0.35">
      <c r="A392">
        <v>752</v>
      </c>
      <c r="B392" t="s">
        <v>198</v>
      </c>
      <c r="C392" t="s">
        <v>2890</v>
      </c>
    </row>
    <row r="393" spans="1:3" x14ac:dyDescent="0.35">
      <c r="A393">
        <v>74</v>
      </c>
      <c r="B393" t="s">
        <v>503</v>
      </c>
      <c r="C393" t="s">
        <v>2892</v>
      </c>
    </row>
    <row r="394" spans="1:3" hidden="1" x14ac:dyDescent="0.35">
      <c r="A394">
        <v>74</v>
      </c>
      <c r="B394" t="s">
        <v>225</v>
      </c>
      <c r="C394" t="s">
        <v>2890</v>
      </c>
    </row>
    <row r="395" spans="1:3" hidden="1" x14ac:dyDescent="0.35">
      <c r="A395">
        <v>69</v>
      </c>
      <c r="B395" t="s">
        <v>357</v>
      </c>
      <c r="C395" t="s">
        <v>357</v>
      </c>
    </row>
    <row r="396" spans="1:3" hidden="1" x14ac:dyDescent="0.35">
      <c r="A396">
        <v>69</v>
      </c>
      <c r="B396" t="s">
        <v>27</v>
      </c>
      <c r="C396" t="s">
        <v>27</v>
      </c>
    </row>
    <row r="397" spans="1:3" hidden="1" x14ac:dyDescent="0.35">
      <c r="A397">
        <v>463</v>
      </c>
      <c r="B397" t="s">
        <v>357</v>
      </c>
      <c r="C397" t="s">
        <v>357</v>
      </c>
    </row>
    <row r="398" spans="1:3" hidden="1" x14ac:dyDescent="0.35">
      <c r="A398">
        <v>463</v>
      </c>
      <c r="B398" s="2" t="s">
        <v>2896</v>
      </c>
      <c r="C398" t="s">
        <v>2888</v>
      </c>
    </row>
    <row r="399" spans="1:3" hidden="1" x14ac:dyDescent="0.35">
      <c r="A399">
        <v>463</v>
      </c>
      <c r="B399" s="2" t="s">
        <v>3077</v>
      </c>
      <c r="C399" t="s">
        <v>2888</v>
      </c>
    </row>
    <row r="400" spans="1:3" hidden="1" x14ac:dyDescent="0.35">
      <c r="A400">
        <v>463</v>
      </c>
      <c r="B400" s="2" t="s">
        <v>3078</v>
      </c>
      <c r="C400" t="s">
        <v>2888</v>
      </c>
    </row>
    <row r="401" spans="1:3" hidden="1" x14ac:dyDescent="0.35">
      <c r="A401">
        <v>555</v>
      </c>
      <c r="B401" t="s">
        <v>27</v>
      </c>
      <c r="C401" t="s">
        <v>27</v>
      </c>
    </row>
    <row r="402" spans="1:3" hidden="1" x14ac:dyDescent="0.35">
      <c r="A402">
        <v>905</v>
      </c>
      <c r="B402" t="s">
        <v>2887</v>
      </c>
      <c r="C402" t="s">
        <v>2888</v>
      </c>
    </row>
    <row r="403" spans="1:3" hidden="1" x14ac:dyDescent="0.35">
      <c r="A403">
        <v>905</v>
      </c>
      <c r="B403" s="7" t="s">
        <v>2902</v>
      </c>
      <c r="C403" t="s">
        <v>2884</v>
      </c>
    </row>
    <row r="404" spans="1:3" hidden="1" x14ac:dyDescent="0.35">
      <c r="A404">
        <v>362</v>
      </c>
      <c r="B404" s="76" t="s">
        <v>3079</v>
      </c>
      <c r="C404" t="s">
        <v>2886</v>
      </c>
    </row>
    <row r="405" spans="1:3" hidden="1" x14ac:dyDescent="0.35">
      <c r="A405">
        <v>362</v>
      </c>
      <c r="B405" s="7" t="s">
        <v>3080</v>
      </c>
      <c r="C405" t="s">
        <v>2884</v>
      </c>
    </row>
    <row r="406" spans="1:3" hidden="1" x14ac:dyDescent="0.35">
      <c r="A406">
        <v>362</v>
      </c>
      <c r="B406" s="78" t="s">
        <v>3081</v>
      </c>
      <c r="C406" t="s">
        <v>2884</v>
      </c>
    </row>
    <row r="407" spans="1:3" hidden="1" x14ac:dyDescent="0.35">
      <c r="A407">
        <v>362</v>
      </c>
      <c r="B407" t="s">
        <v>103</v>
      </c>
      <c r="C407" t="s">
        <v>357</v>
      </c>
    </row>
    <row r="408" spans="1:3" hidden="1" x14ac:dyDescent="0.35">
      <c r="A408">
        <v>362</v>
      </c>
      <c r="B408" s="78" t="s">
        <v>8</v>
      </c>
      <c r="C408" t="s">
        <v>2884</v>
      </c>
    </row>
    <row r="409" spans="1:3" hidden="1" x14ac:dyDescent="0.35">
      <c r="A409">
        <v>362</v>
      </c>
      <c r="B409" s="2" t="s">
        <v>3082</v>
      </c>
      <c r="C409" t="s">
        <v>2888</v>
      </c>
    </row>
    <row r="410" spans="1:3" hidden="1" x14ac:dyDescent="0.35">
      <c r="A410">
        <v>362</v>
      </c>
      <c r="B410" s="78" t="s">
        <v>3083</v>
      </c>
      <c r="C410" t="s">
        <v>2884</v>
      </c>
    </row>
    <row r="411" spans="1:3" hidden="1" x14ac:dyDescent="0.35">
      <c r="A411">
        <v>362</v>
      </c>
      <c r="B411" s="2" t="s">
        <v>2896</v>
      </c>
      <c r="C411" t="s">
        <v>2888</v>
      </c>
    </row>
    <row r="412" spans="1:3" hidden="1" x14ac:dyDescent="0.35">
      <c r="A412">
        <v>526</v>
      </c>
      <c r="B412" s="76" t="s">
        <v>3079</v>
      </c>
      <c r="C412" t="s">
        <v>2886</v>
      </c>
    </row>
    <row r="413" spans="1:3" hidden="1" x14ac:dyDescent="0.35">
      <c r="A413">
        <v>526</v>
      </c>
      <c r="B413" t="s">
        <v>357</v>
      </c>
      <c r="C413" t="s">
        <v>357</v>
      </c>
    </row>
    <row r="414" spans="1:3" hidden="1" x14ac:dyDescent="0.35">
      <c r="A414">
        <v>526</v>
      </c>
      <c r="B414" s="2" t="s">
        <v>1801</v>
      </c>
      <c r="C414" t="s">
        <v>2888</v>
      </c>
    </row>
    <row r="415" spans="1:3" hidden="1" x14ac:dyDescent="0.35">
      <c r="A415">
        <v>956</v>
      </c>
      <c r="B415" t="s">
        <v>3084</v>
      </c>
      <c r="C415" t="s">
        <v>357</v>
      </c>
    </row>
    <row r="416" spans="1:3" hidden="1" x14ac:dyDescent="0.35">
      <c r="A416">
        <v>956</v>
      </c>
      <c r="B416" t="s">
        <v>2975</v>
      </c>
      <c r="C416" t="s">
        <v>2890</v>
      </c>
    </row>
    <row r="417" spans="1:3" hidden="1" x14ac:dyDescent="0.35">
      <c r="A417">
        <v>956</v>
      </c>
      <c r="B417" t="s">
        <v>3085</v>
      </c>
      <c r="C417" t="s">
        <v>2890</v>
      </c>
    </row>
    <row r="418" spans="1:3" hidden="1" x14ac:dyDescent="0.35">
      <c r="A418">
        <v>956</v>
      </c>
      <c r="B418" t="s">
        <v>3086</v>
      </c>
      <c r="C418" t="s">
        <v>2890</v>
      </c>
    </row>
    <row r="419" spans="1:3" hidden="1" x14ac:dyDescent="0.35">
      <c r="A419">
        <v>956</v>
      </c>
      <c r="B419" s="42" t="s">
        <v>1653</v>
      </c>
      <c r="C419" t="s">
        <v>2890</v>
      </c>
    </row>
    <row r="420" spans="1:3" hidden="1" x14ac:dyDescent="0.35">
      <c r="A420">
        <v>956</v>
      </c>
      <c r="B420" t="s">
        <v>3087</v>
      </c>
      <c r="C420" t="s">
        <v>2890</v>
      </c>
    </row>
    <row r="421" spans="1:3" hidden="1" x14ac:dyDescent="0.35">
      <c r="A421">
        <v>956</v>
      </c>
      <c r="B421" t="s">
        <v>3088</v>
      </c>
      <c r="C421" t="s">
        <v>2890</v>
      </c>
    </row>
    <row r="422" spans="1:3" hidden="1" x14ac:dyDescent="0.35">
      <c r="A422">
        <v>956</v>
      </c>
      <c r="B422" t="s">
        <v>3089</v>
      </c>
      <c r="C422" t="s">
        <v>2890</v>
      </c>
    </row>
    <row r="423" spans="1:3" hidden="1" x14ac:dyDescent="0.35">
      <c r="A423">
        <v>956</v>
      </c>
      <c r="B423" t="s">
        <v>3090</v>
      </c>
      <c r="C423" t="s">
        <v>2890</v>
      </c>
    </row>
    <row r="424" spans="1:3" hidden="1" x14ac:dyDescent="0.35">
      <c r="A424">
        <v>956</v>
      </c>
      <c r="B424" s="42" t="s">
        <v>3091</v>
      </c>
      <c r="C424" t="s">
        <v>2890</v>
      </c>
    </row>
    <row r="425" spans="1:3" hidden="1" x14ac:dyDescent="0.35">
      <c r="A425">
        <v>956</v>
      </c>
      <c r="B425" t="s">
        <v>3092</v>
      </c>
      <c r="C425" t="s">
        <v>2890</v>
      </c>
    </row>
    <row r="426" spans="1:3" hidden="1" x14ac:dyDescent="0.35">
      <c r="A426">
        <v>309</v>
      </c>
      <c r="B426" s="7" t="s">
        <v>2893</v>
      </c>
      <c r="C426" t="s">
        <v>2884</v>
      </c>
    </row>
    <row r="427" spans="1:3" hidden="1" x14ac:dyDescent="0.35">
      <c r="A427">
        <v>309</v>
      </c>
      <c r="B427" s="7" t="s">
        <v>2248</v>
      </c>
      <c r="C427" t="s">
        <v>2884</v>
      </c>
    </row>
    <row r="428" spans="1:3" hidden="1" x14ac:dyDescent="0.35">
      <c r="A428">
        <v>309</v>
      </c>
      <c r="B428" s="7" t="s">
        <v>2902</v>
      </c>
      <c r="C428" t="s">
        <v>2884</v>
      </c>
    </row>
    <row r="429" spans="1:3" hidden="1" x14ac:dyDescent="0.35">
      <c r="A429">
        <v>309</v>
      </c>
      <c r="B429" s="7" t="s">
        <v>3093</v>
      </c>
      <c r="C429" t="s">
        <v>2884</v>
      </c>
    </row>
    <row r="430" spans="1:3" hidden="1" x14ac:dyDescent="0.35">
      <c r="A430">
        <v>309</v>
      </c>
      <c r="B430" s="42" t="s">
        <v>3094</v>
      </c>
      <c r="C430" t="s">
        <v>2890</v>
      </c>
    </row>
    <row r="431" spans="1:3" hidden="1" x14ac:dyDescent="0.35">
      <c r="A431">
        <v>309</v>
      </c>
      <c r="B431" s="24" t="s">
        <v>3095</v>
      </c>
      <c r="C431" t="s">
        <v>2886</v>
      </c>
    </row>
    <row r="432" spans="1:3" hidden="1" x14ac:dyDescent="0.35">
      <c r="A432">
        <v>309</v>
      </c>
      <c r="B432" t="s">
        <v>3096</v>
      </c>
      <c r="C432" t="s">
        <v>2914</v>
      </c>
    </row>
    <row r="433" spans="1:3" hidden="1" x14ac:dyDescent="0.35">
      <c r="A433">
        <v>236</v>
      </c>
      <c r="B433" s="17" t="s">
        <v>401</v>
      </c>
      <c r="C433" t="s">
        <v>2886</v>
      </c>
    </row>
    <row r="434" spans="1:3" hidden="1" x14ac:dyDescent="0.35">
      <c r="A434">
        <v>236</v>
      </c>
      <c r="B434" t="s">
        <v>704</v>
      </c>
      <c r="C434" t="s">
        <v>357</v>
      </c>
    </row>
    <row r="435" spans="1:3" hidden="1" x14ac:dyDescent="0.35">
      <c r="A435">
        <v>972</v>
      </c>
      <c r="B435" t="s">
        <v>800</v>
      </c>
      <c r="C435" t="s">
        <v>357</v>
      </c>
    </row>
    <row r="436" spans="1:3" hidden="1" x14ac:dyDescent="0.35">
      <c r="A436">
        <v>212</v>
      </c>
      <c r="B436" t="s">
        <v>808</v>
      </c>
      <c r="C436" t="s">
        <v>2890</v>
      </c>
    </row>
    <row r="437" spans="1:3" hidden="1" x14ac:dyDescent="0.35">
      <c r="A437">
        <v>212</v>
      </c>
      <c r="B437" s="17" t="s">
        <v>401</v>
      </c>
      <c r="C437" t="s">
        <v>2886</v>
      </c>
    </row>
    <row r="438" spans="1:3" hidden="1" x14ac:dyDescent="0.35">
      <c r="A438">
        <v>212</v>
      </c>
      <c r="B438" s="2" t="s">
        <v>2985</v>
      </c>
      <c r="C438" t="s">
        <v>2886</v>
      </c>
    </row>
    <row r="439" spans="1:3" hidden="1" x14ac:dyDescent="0.35">
      <c r="A439">
        <v>212</v>
      </c>
      <c r="B439" t="s">
        <v>3097</v>
      </c>
      <c r="C439" t="s">
        <v>2890</v>
      </c>
    </row>
    <row r="440" spans="1:3" hidden="1" x14ac:dyDescent="0.35">
      <c r="A440">
        <v>212</v>
      </c>
      <c r="B440" t="s">
        <v>103</v>
      </c>
      <c r="C440" t="s">
        <v>357</v>
      </c>
    </row>
    <row r="441" spans="1:3" hidden="1" x14ac:dyDescent="0.35">
      <c r="A441">
        <v>212</v>
      </c>
      <c r="B441" t="s">
        <v>3098</v>
      </c>
      <c r="C441" t="s">
        <v>2890</v>
      </c>
    </row>
    <row r="442" spans="1:3" hidden="1" x14ac:dyDescent="0.35">
      <c r="A442">
        <v>785</v>
      </c>
      <c r="B442" s="17" t="s">
        <v>401</v>
      </c>
      <c r="C442" t="s">
        <v>2886</v>
      </c>
    </row>
    <row r="443" spans="1:3" hidden="1" x14ac:dyDescent="0.35">
      <c r="A443">
        <v>785</v>
      </c>
      <c r="B443" s="42" t="s">
        <v>3099</v>
      </c>
      <c r="C443" t="s">
        <v>2890</v>
      </c>
    </row>
    <row r="444" spans="1:3" hidden="1" x14ac:dyDescent="0.35">
      <c r="A444">
        <v>785</v>
      </c>
      <c r="B444" t="s">
        <v>3100</v>
      </c>
      <c r="C444" t="s">
        <v>2890</v>
      </c>
    </row>
    <row r="445" spans="1:3" hidden="1" x14ac:dyDescent="0.35">
      <c r="A445">
        <v>785</v>
      </c>
      <c r="B445" s="7" t="s">
        <v>2893</v>
      </c>
      <c r="C445" t="s">
        <v>2884</v>
      </c>
    </row>
    <row r="446" spans="1:3" hidden="1" x14ac:dyDescent="0.35">
      <c r="A446">
        <v>785</v>
      </c>
      <c r="B446" s="7" t="s">
        <v>2902</v>
      </c>
      <c r="C446" t="s">
        <v>2884</v>
      </c>
    </row>
    <row r="447" spans="1:3" hidden="1" x14ac:dyDescent="0.35">
      <c r="A447">
        <v>785</v>
      </c>
      <c r="B447" s="7" t="s">
        <v>2248</v>
      </c>
      <c r="C447" t="s">
        <v>2884</v>
      </c>
    </row>
    <row r="448" spans="1:3" hidden="1" x14ac:dyDescent="0.35">
      <c r="A448">
        <v>785</v>
      </c>
      <c r="B448" s="78" t="s">
        <v>3101</v>
      </c>
      <c r="C448" t="s">
        <v>2884</v>
      </c>
    </row>
    <row r="449" spans="1:3" hidden="1" x14ac:dyDescent="0.35">
      <c r="A449">
        <v>785</v>
      </c>
      <c r="B449" t="s">
        <v>3102</v>
      </c>
      <c r="C449" t="s">
        <v>357</v>
      </c>
    </row>
    <row r="450" spans="1:3" hidden="1" x14ac:dyDescent="0.35">
      <c r="A450">
        <v>814</v>
      </c>
      <c r="B450" t="s">
        <v>637</v>
      </c>
      <c r="C450" t="s">
        <v>357</v>
      </c>
    </row>
    <row r="451" spans="1:3" hidden="1" x14ac:dyDescent="0.35">
      <c r="A451">
        <v>814</v>
      </c>
      <c r="B451" s="2" t="s">
        <v>1742</v>
      </c>
      <c r="C451" t="s">
        <v>2888</v>
      </c>
    </row>
    <row r="452" spans="1:3" hidden="1" x14ac:dyDescent="0.35">
      <c r="A452">
        <v>814</v>
      </c>
      <c r="B452" s="2" t="s">
        <v>1830</v>
      </c>
      <c r="C452" t="s">
        <v>2888</v>
      </c>
    </row>
    <row r="453" spans="1:3" hidden="1" x14ac:dyDescent="0.35">
      <c r="A453">
        <v>581</v>
      </c>
      <c r="B453" t="s">
        <v>637</v>
      </c>
      <c r="C453" t="s">
        <v>357</v>
      </c>
    </row>
    <row r="454" spans="1:3" hidden="1" x14ac:dyDescent="0.35">
      <c r="A454">
        <v>581</v>
      </c>
      <c r="B454" s="2" t="s">
        <v>3054</v>
      </c>
      <c r="C454" t="s">
        <v>2888</v>
      </c>
    </row>
    <row r="455" spans="1:3" hidden="1" x14ac:dyDescent="0.35">
      <c r="A455">
        <v>452</v>
      </c>
      <c r="B455" s="17" t="s">
        <v>401</v>
      </c>
      <c r="C455" t="s">
        <v>2886</v>
      </c>
    </row>
    <row r="456" spans="1:3" hidden="1" x14ac:dyDescent="0.35">
      <c r="A456">
        <v>452</v>
      </c>
      <c r="B456" s="61" t="s">
        <v>3103</v>
      </c>
      <c r="C456" t="s">
        <v>2884</v>
      </c>
    </row>
    <row r="457" spans="1:3" hidden="1" x14ac:dyDescent="0.35">
      <c r="A457">
        <v>452</v>
      </c>
      <c r="B457" t="s">
        <v>637</v>
      </c>
      <c r="C457" t="s">
        <v>357</v>
      </c>
    </row>
    <row r="458" spans="1:3" hidden="1" x14ac:dyDescent="0.35">
      <c r="A458">
        <v>465</v>
      </c>
      <c r="B458" s="17" t="s">
        <v>401</v>
      </c>
      <c r="C458" t="s">
        <v>2886</v>
      </c>
    </row>
    <row r="459" spans="1:3" hidden="1" x14ac:dyDescent="0.35">
      <c r="A459">
        <v>465</v>
      </c>
      <c r="B459" s="4" t="s">
        <v>3104</v>
      </c>
      <c r="C459" t="s">
        <v>2886</v>
      </c>
    </row>
    <row r="460" spans="1:3" hidden="1" x14ac:dyDescent="0.35">
      <c r="A460">
        <v>465</v>
      </c>
      <c r="B460" s="17" t="s">
        <v>3004</v>
      </c>
      <c r="C460" t="s">
        <v>2886</v>
      </c>
    </row>
    <row r="461" spans="1:3" x14ac:dyDescent="0.35">
      <c r="A461">
        <v>496</v>
      </c>
      <c r="B461" t="s">
        <v>3105</v>
      </c>
      <c r="C461" t="s">
        <v>2892</v>
      </c>
    </row>
    <row r="462" spans="1:3" hidden="1" x14ac:dyDescent="0.35">
      <c r="A462">
        <v>496</v>
      </c>
      <c r="B462" t="s">
        <v>3053</v>
      </c>
      <c r="C462" t="s">
        <v>357</v>
      </c>
    </row>
    <row r="463" spans="1:3" hidden="1" x14ac:dyDescent="0.35">
      <c r="A463">
        <v>496</v>
      </c>
      <c r="B463" s="17" t="s">
        <v>3004</v>
      </c>
      <c r="C463" t="s">
        <v>2886</v>
      </c>
    </row>
    <row r="464" spans="1:3" hidden="1" x14ac:dyDescent="0.35">
      <c r="A464">
        <v>496</v>
      </c>
      <c r="B464" s="60" t="s">
        <v>3106</v>
      </c>
      <c r="C464" t="s">
        <v>2888</v>
      </c>
    </row>
    <row r="465" spans="1:3" hidden="1" x14ac:dyDescent="0.35">
      <c r="A465">
        <v>508</v>
      </c>
      <c r="B465" s="2" t="s">
        <v>3054</v>
      </c>
      <c r="C465" t="s">
        <v>2888</v>
      </c>
    </row>
    <row r="466" spans="1:3" hidden="1" x14ac:dyDescent="0.35">
      <c r="A466">
        <v>508</v>
      </c>
      <c r="B466" t="s">
        <v>3107</v>
      </c>
      <c r="C466" t="s">
        <v>357</v>
      </c>
    </row>
    <row r="467" spans="1:3" hidden="1" x14ac:dyDescent="0.35">
      <c r="A467">
        <v>508</v>
      </c>
      <c r="B467" t="s">
        <v>3108</v>
      </c>
      <c r="C467" t="s">
        <v>2886</v>
      </c>
    </row>
    <row r="468" spans="1:3" hidden="1" x14ac:dyDescent="0.35">
      <c r="A468">
        <v>560</v>
      </c>
      <c r="B468" t="s">
        <v>3109</v>
      </c>
      <c r="C468" t="s">
        <v>357</v>
      </c>
    </row>
    <row r="469" spans="1:3" hidden="1" x14ac:dyDescent="0.35">
      <c r="A469">
        <v>560</v>
      </c>
      <c r="B469" s="2" t="s">
        <v>3110</v>
      </c>
      <c r="C469" t="s">
        <v>2888</v>
      </c>
    </row>
    <row r="470" spans="1:3" hidden="1" x14ac:dyDescent="0.35">
      <c r="A470">
        <v>560</v>
      </c>
      <c r="B470" s="77" t="s">
        <v>3111</v>
      </c>
      <c r="C470" t="s">
        <v>2884</v>
      </c>
    </row>
    <row r="471" spans="1:3" hidden="1" x14ac:dyDescent="0.35">
      <c r="A471">
        <v>560</v>
      </c>
      <c r="B471" t="s">
        <v>3112</v>
      </c>
      <c r="C471" t="s">
        <v>2890</v>
      </c>
    </row>
    <row r="472" spans="1:3" hidden="1" x14ac:dyDescent="0.35">
      <c r="A472">
        <v>620</v>
      </c>
      <c r="B472" t="s">
        <v>3113</v>
      </c>
      <c r="C472" t="s">
        <v>2890</v>
      </c>
    </row>
    <row r="473" spans="1:3" hidden="1" x14ac:dyDescent="0.35">
      <c r="A473">
        <v>620</v>
      </c>
      <c r="B473" t="s">
        <v>3114</v>
      </c>
      <c r="C473" t="s">
        <v>2890</v>
      </c>
    </row>
    <row r="474" spans="1:3" hidden="1" x14ac:dyDescent="0.35">
      <c r="A474">
        <v>620</v>
      </c>
    </row>
    <row r="475" spans="1:3" x14ac:dyDescent="0.35">
      <c r="A475">
        <v>629</v>
      </c>
      <c r="B475" t="s">
        <v>3115</v>
      </c>
      <c r="C475" t="s">
        <v>2892</v>
      </c>
    </row>
    <row r="476" spans="1:3" hidden="1" x14ac:dyDescent="0.35">
      <c r="A476">
        <v>629</v>
      </c>
      <c r="B476" t="s">
        <v>3116</v>
      </c>
      <c r="C476" t="s">
        <v>3116</v>
      </c>
    </row>
    <row r="477" spans="1:3" x14ac:dyDescent="0.35">
      <c r="A477">
        <v>630</v>
      </c>
      <c r="B477" t="s">
        <v>3115</v>
      </c>
      <c r="C477" t="s">
        <v>2892</v>
      </c>
    </row>
    <row r="478" spans="1:3" hidden="1" x14ac:dyDescent="0.35">
      <c r="A478">
        <v>630</v>
      </c>
      <c r="B478" t="s">
        <v>3053</v>
      </c>
      <c r="C478" t="s">
        <v>357</v>
      </c>
    </row>
    <row r="479" spans="1:3" hidden="1" x14ac:dyDescent="0.35">
      <c r="A479">
        <v>640</v>
      </c>
      <c r="B479" s="78" t="s">
        <v>3117</v>
      </c>
      <c r="C479" t="s">
        <v>2884</v>
      </c>
    </row>
    <row r="480" spans="1:3" hidden="1" x14ac:dyDescent="0.35">
      <c r="A480">
        <v>640</v>
      </c>
      <c r="B480" t="s">
        <v>3118</v>
      </c>
      <c r="C480" t="s">
        <v>357</v>
      </c>
    </row>
    <row r="481" spans="1:3" hidden="1" x14ac:dyDescent="0.35">
      <c r="A481">
        <v>640</v>
      </c>
      <c r="B481" t="s">
        <v>3119</v>
      </c>
      <c r="C481" t="s">
        <v>2914</v>
      </c>
    </row>
    <row r="482" spans="1:3" hidden="1" x14ac:dyDescent="0.35">
      <c r="A482">
        <v>640</v>
      </c>
      <c r="B482" s="42" t="s">
        <v>1653</v>
      </c>
      <c r="C482" t="s">
        <v>2890</v>
      </c>
    </row>
    <row r="483" spans="1:3" hidden="1" x14ac:dyDescent="0.35">
      <c r="A483">
        <v>640</v>
      </c>
      <c r="B483" t="s">
        <v>3120</v>
      </c>
      <c r="C483" t="s">
        <v>2890</v>
      </c>
    </row>
    <row r="484" spans="1:3" hidden="1" x14ac:dyDescent="0.35">
      <c r="A484">
        <v>640</v>
      </c>
      <c r="B484" s="42" t="s">
        <v>1559</v>
      </c>
      <c r="C484" t="s">
        <v>2890</v>
      </c>
    </row>
    <row r="485" spans="1:3" hidden="1" x14ac:dyDescent="0.35">
      <c r="A485">
        <v>640</v>
      </c>
      <c r="B485" t="s">
        <v>3121</v>
      </c>
      <c r="C485" t="s">
        <v>3121</v>
      </c>
    </row>
    <row r="486" spans="1:3" hidden="1" x14ac:dyDescent="0.35">
      <c r="A486">
        <v>640</v>
      </c>
      <c r="B486" t="s">
        <v>3122</v>
      </c>
      <c r="C486" t="s">
        <v>3122</v>
      </c>
    </row>
    <row r="487" spans="1:3" hidden="1" x14ac:dyDescent="0.35">
      <c r="A487">
        <v>640</v>
      </c>
      <c r="B487" t="s">
        <v>3123</v>
      </c>
      <c r="C487" t="s">
        <v>3123</v>
      </c>
    </row>
    <row r="488" spans="1:3" hidden="1" x14ac:dyDescent="0.35">
      <c r="A488">
        <v>700</v>
      </c>
      <c r="B488" t="s">
        <v>637</v>
      </c>
      <c r="C488" t="s">
        <v>357</v>
      </c>
    </row>
    <row r="489" spans="1:3" hidden="1" x14ac:dyDescent="0.35">
      <c r="A489">
        <v>700</v>
      </c>
      <c r="B489" t="s">
        <v>3124</v>
      </c>
      <c r="C489" t="s">
        <v>2890</v>
      </c>
    </row>
    <row r="490" spans="1:3" hidden="1" x14ac:dyDescent="0.35">
      <c r="A490">
        <v>700</v>
      </c>
      <c r="B490" t="s">
        <v>3125</v>
      </c>
      <c r="C490" t="s">
        <v>2890</v>
      </c>
    </row>
    <row r="491" spans="1:3" hidden="1" x14ac:dyDescent="0.35">
      <c r="A491">
        <v>706</v>
      </c>
      <c r="B491" s="76" t="s">
        <v>3079</v>
      </c>
      <c r="C491" t="s">
        <v>2886</v>
      </c>
    </row>
    <row r="492" spans="1:3" x14ac:dyDescent="0.35">
      <c r="A492">
        <v>706</v>
      </c>
      <c r="B492" t="s">
        <v>3126</v>
      </c>
      <c r="C492" t="s">
        <v>2892</v>
      </c>
    </row>
    <row r="493" spans="1:3" hidden="1" x14ac:dyDescent="0.35">
      <c r="A493">
        <v>706</v>
      </c>
      <c r="B493" t="s">
        <v>3127</v>
      </c>
      <c r="C493" t="s">
        <v>2890</v>
      </c>
    </row>
    <row r="494" spans="1:3" hidden="1" x14ac:dyDescent="0.35">
      <c r="A494">
        <v>720</v>
      </c>
      <c r="B494" t="s">
        <v>3128</v>
      </c>
      <c r="C494" t="s">
        <v>2890</v>
      </c>
    </row>
    <row r="495" spans="1:3" hidden="1" x14ac:dyDescent="0.35">
      <c r="A495">
        <v>720</v>
      </c>
      <c r="B495" s="61" t="s">
        <v>3129</v>
      </c>
      <c r="C495" t="s">
        <v>2884</v>
      </c>
    </row>
    <row r="496" spans="1:3" hidden="1" x14ac:dyDescent="0.35">
      <c r="A496">
        <v>720</v>
      </c>
      <c r="B496" s="4" t="s">
        <v>3130</v>
      </c>
      <c r="C496" t="s">
        <v>2886</v>
      </c>
    </row>
    <row r="497" spans="1:3" hidden="1" x14ac:dyDescent="0.35">
      <c r="A497">
        <v>720</v>
      </c>
      <c r="B497" s="17" t="s">
        <v>3131</v>
      </c>
      <c r="C497" t="s">
        <v>2886</v>
      </c>
    </row>
    <row r="498" spans="1:3" hidden="1" x14ac:dyDescent="0.35">
      <c r="A498">
        <v>720</v>
      </c>
    </row>
    <row r="499" spans="1:3" hidden="1" x14ac:dyDescent="0.35">
      <c r="A499">
        <v>720</v>
      </c>
      <c r="B499" s="4" t="s">
        <v>3132</v>
      </c>
      <c r="C499" t="s">
        <v>2886</v>
      </c>
    </row>
    <row r="500" spans="1:3" hidden="1" x14ac:dyDescent="0.35">
      <c r="A500">
        <v>720</v>
      </c>
      <c r="B500" t="s">
        <v>3133</v>
      </c>
      <c r="C500" t="s">
        <v>2890</v>
      </c>
    </row>
    <row r="501" spans="1:3" hidden="1" x14ac:dyDescent="0.35">
      <c r="A501">
        <v>720</v>
      </c>
      <c r="B501" t="s">
        <v>3134</v>
      </c>
      <c r="C501" t="s">
        <v>2890</v>
      </c>
    </row>
    <row r="502" spans="1:3" hidden="1" x14ac:dyDescent="0.35">
      <c r="A502">
        <v>720</v>
      </c>
      <c r="B502" t="s">
        <v>3135</v>
      </c>
      <c r="C502" t="s">
        <v>2890</v>
      </c>
    </row>
    <row r="503" spans="1:3" hidden="1" x14ac:dyDescent="0.35">
      <c r="A503">
        <v>748</v>
      </c>
      <c r="B503" t="s">
        <v>357</v>
      </c>
      <c r="C503" t="s">
        <v>357</v>
      </c>
    </row>
    <row r="504" spans="1:3" hidden="1" x14ac:dyDescent="0.35">
      <c r="A504">
        <v>756</v>
      </c>
      <c r="B504" s="77" t="s">
        <v>63</v>
      </c>
      <c r="C504" t="s">
        <v>2884</v>
      </c>
    </row>
    <row r="505" spans="1:3" hidden="1" x14ac:dyDescent="0.35">
      <c r="A505">
        <v>767</v>
      </c>
      <c r="B505" t="s">
        <v>225</v>
      </c>
      <c r="C505" t="s">
        <v>2890</v>
      </c>
    </row>
    <row r="506" spans="1:3" hidden="1" x14ac:dyDescent="0.35">
      <c r="A506">
        <v>767</v>
      </c>
      <c r="B506" t="s">
        <v>3053</v>
      </c>
      <c r="C506" t="s">
        <v>357</v>
      </c>
    </row>
    <row r="507" spans="1:3" hidden="1" x14ac:dyDescent="0.35">
      <c r="A507">
        <v>769</v>
      </c>
      <c r="B507" t="s">
        <v>357</v>
      </c>
      <c r="C507" t="s">
        <v>357</v>
      </c>
    </row>
    <row r="508" spans="1:3" hidden="1" x14ac:dyDescent="0.35">
      <c r="A508">
        <v>769</v>
      </c>
      <c r="B508" s="76" t="s">
        <v>3079</v>
      </c>
      <c r="C508" t="s">
        <v>2886</v>
      </c>
    </row>
    <row r="509" spans="1:3" hidden="1" x14ac:dyDescent="0.35">
      <c r="A509">
        <v>769</v>
      </c>
      <c r="B509" t="s">
        <v>3136</v>
      </c>
      <c r="C509" t="s">
        <v>2890</v>
      </c>
    </row>
    <row r="510" spans="1:3" hidden="1" x14ac:dyDescent="0.35">
      <c r="A510">
        <v>769</v>
      </c>
      <c r="B510" s="77" t="s">
        <v>671</v>
      </c>
      <c r="C510" t="s">
        <v>2884</v>
      </c>
    </row>
    <row r="511" spans="1:3" hidden="1" x14ac:dyDescent="0.35">
      <c r="A511">
        <v>769</v>
      </c>
      <c r="B511" t="s">
        <v>252</v>
      </c>
      <c r="C511" t="s">
        <v>2890</v>
      </c>
    </row>
    <row r="512" spans="1:3" hidden="1" x14ac:dyDescent="0.35">
      <c r="A512">
        <v>798</v>
      </c>
      <c r="B512" s="5" t="s">
        <v>3137</v>
      </c>
      <c r="C512" t="s">
        <v>2886</v>
      </c>
    </row>
    <row r="513" spans="1:3" hidden="1" x14ac:dyDescent="0.35">
      <c r="A513">
        <v>798</v>
      </c>
      <c r="B513" s="5" t="s">
        <v>3053</v>
      </c>
      <c r="C513" t="s">
        <v>357</v>
      </c>
    </row>
    <row r="514" spans="1:3" hidden="1" x14ac:dyDescent="0.35">
      <c r="A514">
        <v>798</v>
      </c>
      <c r="B514" s="5" t="s">
        <v>3015</v>
      </c>
      <c r="C514" t="s">
        <v>2890</v>
      </c>
    </row>
    <row r="515" spans="1:3" hidden="1" x14ac:dyDescent="0.35">
      <c r="A515">
        <v>798</v>
      </c>
      <c r="B515" s="5" t="s">
        <v>875</v>
      </c>
      <c r="C515" t="s">
        <v>2886</v>
      </c>
    </row>
    <row r="516" spans="1:3" hidden="1" x14ac:dyDescent="0.35">
      <c r="A516">
        <v>800</v>
      </c>
      <c r="B516" s="17" t="s">
        <v>401</v>
      </c>
      <c r="C516" t="s">
        <v>2886</v>
      </c>
    </row>
    <row r="517" spans="1:3" x14ac:dyDescent="0.35">
      <c r="A517">
        <v>800</v>
      </c>
      <c r="B517" t="s">
        <v>3138</v>
      </c>
      <c r="C517" t="s">
        <v>2892</v>
      </c>
    </row>
    <row r="518" spans="1:3" hidden="1" x14ac:dyDescent="0.35">
      <c r="A518">
        <v>817</v>
      </c>
      <c r="B518" s="4" t="s">
        <v>892</v>
      </c>
      <c r="C518" t="s">
        <v>2886</v>
      </c>
    </row>
    <row r="519" spans="1:3" hidden="1" x14ac:dyDescent="0.35">
      <c r="A519">
        <v>817</v>
      </c>
      <c r="B519" t="s">
        <v>894</v>
      </c>
      <c r="C519" t="s">
        <v>2890</v>
      </c>
    </row>
    <row r="520" spans="1:3" hidden="1" x14ac:dyDescent="0.35">
      <c r="A520">
        <v>817</v>
      </c>
      <c r="B520" t="s">
        <v>103</v>
      </c>
      <c r="C520" t="s">
        <v>357</v>
      </c>
    </row>
    <row r="521" spans="1:3" hidden="1" x14ac:dyDescent="0.35">
      <c r="A521">
        <v>817</v>
      </c>
      <c r="B521" t="s">
        <v>3139</v>
      </c>
      <c r="C521" t="s">
        <v>2890</v>
      </c>
    </row>
    <row r="522" spans="1:3" hidden="1" x14ac:dyDescent="0.35">
      <c r="A522">
        <v>817</v>
      </c>
      <c r="B522" t="s">
        <v>3140</v>
      </c>
      <c r="C522" t="s">
        <v>2890</v>
      </c>
    </row>
    <row r="523" spans="1:3" hidden="1" x14ac:dyDescent="0.35">
      <c r="A523">
        <v>817</v>
      </c>
      <c r="B523" t="s">
        <v>2999</v>
      </c>
      <c r="C523" t="s">
        <v>357</v>
      </c>
    </row>
    <row r="524" spans="1:3" hidden="1" x14ac:dyDescent="0.35">
      <c r="A524">
        <v>819</v>
      </c>
      <c r="B524" t="s">
        <v>908</v>
      </c>
      <c r="C524" t="s">
        <v>2890</v>
      </c>
    </row>
    <row r="525" spans="1:3" hidden="1" x14ac:dyDescent="0.35">
      <c r="A525">
        <v>819</v>
      </c>
      <c r="B525" t="s">
        <v>160</v>
      </c>
      <c r="C525" t="s">
        <v>357</v>
      </c>
    </row>
    <row r="526" spans="1:3" hidden="1" x14ac:dyDescent="0.35">
      <c r="A526">
        <v>819</v>
      </c>
      <c r="B526" s="77" t="s">
        <v>2997</v>
      </c>
      <c r="C526" t="s">
        <v>2884</v>
      </c>
    </row>
    <row r="527" spans="1:3" hidden="1" x14ac:dyDescent="0.35">
      <c r="A527">
        <v>819</v>
      </c>
      <c r="B527" s="78" t="s">
        <v>3141</v>
      </c>
      <c r="C527" t="s">
        <v>2884</v>
      </c>
    </row>
    <row r="528" spans="1:3" hidden="1" x14ac:dyDescent="0.35">
      <c r="A528">
        <v>819</v>
      </c>
      <c r="B528" s="78" t="s">
        <v>1795</v>
      </c>
      <c r="C528" t="s">
        <v>2884</v>
      </c>
    </row>
    <row r="529" spans="1:3" hidden="1" x14ac:dyDescent="0.35">
      <c r="A529">
        <v>819</v>
      </c>
      <c r="B529" s="7" t="s">
        <v>2917</v>
      </c>
      <c r="C529" t="s">
        <v>2884</v>
      </c>
    </row>
    <row r="530" spans="1:3" hidden="1" x14ac:dyDescent="0.35">
      <c r="A530">
        <v>819</v>
      </c>
      <c r="B530" t="s">
        <v>225</v>
      </c>
      <c r="C530" t="s">
        <v>2890</v>
      </c>
    </row>
    <row r="531" spans="1:3" hidden="1" x14ac:dyDescent="0.35">
      <c r="A531">
        <v>819</v>
      </c>
      <c r="B531" t="s">
        <v>3142</v>
      </c>
      <c r="C531" t="s">
        <v>2884</v>
      </c>
    </row>
    <row r="532" spans="1:3" x14ac:dyDescent="0.35">
      <c r="A532">
        <v>400</v>
      </c>
      <c r="B532" t="s">
        <v>2150</v>
      </c>
      <c r="C532" t="s">
        <v>2892</v>
      </c>
    </row>
    <row r="533" spans="1:3" x14ac:dyDescent="0.35">
      <c r="A533">
        <v>400</v>
      </c>
      <c r="B533" t="s">
        <v>2167</v>
      </c>
      <c r="C533" t="s">
        <v>2892</v>
      </c>
    </row>
    <row r="534" spans="1:3" hidden="1" x14ac:dyDescent="0.35">
      <c r="A534">
        <v>406</v>
      </c>
      <c r="B534" s="5" t="s">
        <v>2175</v>
      </c>
      <c r="C534" t="s">
        <v>2886</v>
      </c>
    </row>
    <row r="535" spans="1:3" hidden="1" x14ac:dyDescent="0.35">
      <c r="A535">
        <v>441</v>
      </c>
      <c r="B535" s="75" t="s">
        <v>918</v>
      </c>
      <c r="C535" t="s">
        <v>2886</v>
      </c>
    </row>
    <row r="536" spans="1:3" hidden="1" x14ac:dyDescent="0.35">
      <c r="A536">
        <v>446</v>
      </c>
      <c r="B536" s="5" t="s">
        <v>3143</v>
      </c>
      <c r="C536" t="s">
        <v>2886</v>
      </c>
    </row>
    <row r="537" spans="1:3" hidden="1" x14ac:dyDescent="0.35">
      <c r="A537">
        <v>446</v>
      </c>
      <c r="B537" t="s">
        <v>3144</v>
      </c>
      <c r="C537" t="s">
        <v>2890</v>
      </c>
    </row>
    <row r="538" spans="1:3" hidden="1" x14ac:dyDescent="0.35">
      <c r="A538">
        <v>449</v>
      </c>
      <c r="B538" t="s">
        <v>3109</v>
      </c>
      <c r="C538" t="s">
        <v>357</v>
      </c>
    </row>
    <row r="539" spans="1:3" hidden="1" x14ac:dyDescent="0.35">
      <c r="A539">
        <v>449</v>
      </c>
      <c r="B539" t="s">
        <v>3145</v>
      </c>
      <c r="C539" t="s">
        <v>2890</v>
      </c>
    </row>
    <row r="540" spans="1:3" hidden="1" x14ac:dyDescent="0.35">
      <c r="A540">
        <v>449</v>
      </c>
      <c r="B540" s="42" t="s">
        <v>3146</v>
      </c>
      <c r="C540" t="s">
        <v>2890</v>
      </c>
    </row>
    <row r="541" spans="1:3" hidden="1" x14ac:dyDescent="0.35">
      <c r="A541">
        <v>449</v>
      </c>
      <c r="B541" s="42" t="s">
        <v>3147</v>
      </c>
      <c r="C541" t="s">
        <v>2890</v>
      </c>
    </row>
    <row r="542" spans="1:3" x14ac:dyDescent="0.35">
      <c r="A542">
        <v>50</v>
      </c>
      <c r="B542" t="s">
        <v>3148</v>
      </c>
      <c r="C542" t="s">
        <v>2892</v>
      </c>
    </row>
    <row r="543" spans="1:3" hidden="1" x14ac:dyDescent="0.35">
      <c r="A543">
        <v>50</v>
      </c>
      <c r="B543" t="s">
        <v>3006</v>
      </c>
      <c r="C543" t="s">
        <v>357</v>
      </c>
    </row>
    <row r="544" spans="1:3" hidden="1" x14ac:dyDescent="0.35">
      <c r="A544">
        <v>68</v>
      </c>
      <c r="B544" t="s">
        <v>3149</v>
      </c>
      <c r="C544" t="s">
        <v>2914</v>
      </c>
    </row>
    <row r="545" spans="1:3" hidden="1" x14ac:dyDescent="0.35">
      <c r="A545">
        <v>68</v>
      </c>
      <c r="B545" s="78" t="s">
        <v>3150</v>
      </c>
      <c r="C545" t="s">
        <v>2884</v>
      </c>
    </row>
    <row r="546" spans="1:3" hidden="1" x14ac:dyDescent="0.35">
      <c r="A546">
        <v>68</v>
      </c>
      <c r="B546" s="5" t="s">
        <v>3151</v>
      </c>
      <c r="C546" t="s">
        <v>2886</v>
      </c>
    </row>
    <row r="547" spans="1:3" hidden="1" x14ac:dyDescent="0.35">
      <c r="A547">
        <v>147</v>
      </c>
      <c r="B547" t="s">
        <v>590</v>
      </c>
      <c r="C547" t="s">
        <v>357</v>
      </c>
    </row>
    <row r="548" spans="1:3" hidden="1" x14ac:dyDescent="0.35">
      <c r="A548">
        <v>147</v>
      </c>
      <c r="B548" t="s">
        <v>2899</v>
      </c>
      <c r="C548" t="s">
        <v>2890</v>
      </c>
    </row>
    <row r="549" spans="1:3" hidden="1" x14ac:dyDescent="0.35">
      <c r="A549">
        <v>147</v>
      </c>
      <c r="B549" t="s">
        <v>3152</v>
      </c>
      <c r="C549" t="s">
        <v>2890</v>
      </c>
    </row>
    <row r="550" spans="1:3" hidden="1" x14ac:dyDescent="0.35">
      <c r="A550">
        <v>147</v>
      </c>
      <c r="B550" t="s">
        <v>3153</v>
      </c>
      <c r="C550" t="s">
        <v>2890</v>
      </c>
    </row>
    <row r="551" spans="1:3" hidden="1" x14ac:dyDescent="0.35">
      <c r="A551">
        <v>147</v>
      </c>
      <c r="B551" t="s">
        <v>3154</v>
      </c>
      <c r="C551" t="s">
        <v>2890</v>
      </c>
    </row>
    <row r="552" spans="1:3" hidden="1" x14ac:dyDescent="0.35">
      <c r="A552">
        <v>147</v>
      </c>
      <c r="B552" t="s">
        <v>3155</v>
      </c>
      <c r="C552" t="s">
        <v>2890</v>
      </c>
    </row>
    <row r="553" spans="1:3" hidden="1" x14ac:dyDescent="0.35">
      <c r="A553">
        <v>167</v>
      </c>
      <c r="B553" s="17" t="s">
        <v>401</v>
      </c>
      <c r="C553" t="s">
        <v>2886</v>
      </c>
    </row>
    <row r="554" spans="1:3" hidden="1" x14ac:dyDescent="0.35">
      <c r="A554">
        <v>173</v>
      </c>
      <c r="B554" s="7" t="s">
        <v>2248</v>
      </c>
      <c r="C554" t="s">
        <v>2884</v>
      </c>
    </row>
    <row r="555" spans="1:3" hidden="1" x14ac:dyDescent="0.35">
      <c r="A555">
        <v>79</v>
      </c>
      <c r="B555" s="7" t="s">
        <v>3156</v>
      </c>
      <c r="C555" t="s">
        <v>2884</v>
      </c>
    </row>
    <row r="556" spans="1:3" hidden="1" x14ac:dyDescent="0.35">
      <c r="A556">
        <v>79</v>
      </c>
      <c r="B556" s="42" t="s">
        <v>3157</v>
      </c>
      <c r="C556" t="s">
        <v>2890</v>
      </c>
    </row>
    <row r="557" spans="1:3" hidden="1" x14ac:dyDescent="0.35">
      <c r="A557">
        <v>79</v>
      </c>
      <c r="B557" t="s">
        <v>3158</v>
      </c>
      <c r="C557" t="s">
        <v>2890</v>
      </c>
    </row>
    <row r="558" spans="1:3" hidden="1" x14ac:dyDescent="0.35">
      <c r="A558">
        <v>79</v>
      </c>
      <c r="B558" s="2" t="s">
        <v>3159</v>
      </c>
      <c r="C558" t="s">
        <v>2888</v>
      </c>
    </row>
    <row r="559" spans="1:3" hidden="1" x14ac:dyDescent="0.35">
      <c r="A559">
        <v>79</v>
      </c>
      <c r="B559" s="42" t="s">
        <v>3160</v>
      </c>
      <c r="C559" t="s">
        <v>2890</v>
      </c>
    </row>
    <row r="560" spans="1:3" hidden="1" x14ac:dyDescent="0.35">
      <c r="A560">
        <v>79</v>
      </c>
      <c r="B560" s="42" t="s">
        <v>3161</v>
      </c>
      <c r="C560" t="s">
        <v>2890</v>
      </c>
    </row>
    <row r="561" spans="1:3" hidden="1" x14ac:dyDescent="0.35">
      <c r="A561">
        <v>79</v>
      </c>
      <c r="B561" t="s">
        <v>3162</v>
      </c>
      <c r="C561" t="s">
        <v>2890</v>
      </c>
    </row>
    <row r="562" spans="1:3" hidden="1" x14ac:dyDescent="0.35">
      <c r="A562">
        <v>79</v>
      </c>
      <c r="B562" t="s">
        <v>3163</v>
      </c>
      <c r="C562" t="s">
        <v>2884</v>
      </c>
    </row>
    <row r="563" spans="1:3" hidden="1" x14ac:dyDescent="0.35">
      <c r="A563">
        <v>79</v>
      </c>
      <c r="B563" s="82" t="s">
        <v>3164</v>
      </c>
      <c r="C563" t="s">
        <v>2888</v>
      </c>
    </row>
    <row r="564" spans="1:3" hidden="1" x14ac:dyDescent="0.35">
      <c r="A564">
        <v>79</v>
      </c>
      <c r="B564" s="7" t="s">
        <v>2912</v>
      </c>
      <c r="C564" t="s">
        <v>2884</v>
      </c>
    </row>
    <row r="565" spans="1:3" hidden="1" x14ac:dyDescent="0.35">
      <c r="A565">
        <v>79</v>
      </c>
      <c r="B565" s="2" t="s">
        <v>3165</v>
      </c>
      <c r="C565" t="s">
        <v>2888</v>
      </c>
    </row>
    <row r="566" spans="1:3" hidden="1" x14ac:dyDescent="0.35">
      <c r="A566">
        <v>79</v>
      </c>
      <c r="B566" s="2" t="s">
        <v>3166</v>
      </c>
      <c r="C566" t="s">
        <v>2888</v>
      </c>
    </row>
    <row r="567" spans="1:3" hidden="1" x14ac:dyDescent="0.35">
      <c r="A567">
        <v>79</v>
      </c>
      <c r="B567" t="s">
        <v>3167</v>
      </c>
      <c r="C567" t="s">
        <v>2890</v>
      </c>
    </row>
    <row r="568" spans="1:3" hidden="1" x14ac:dyDescent="0.35">
      <c r="A568">
        <v>79</v>
      </c>
      <c r="B568" s="42" t="s">
        <v>76</v>
      </c>
      <c r="C568" t="s">
        <v>2890</v>
      </c>
    </row>
    <row r="569" spans="1:3" hidden="1" x14ac:dyDescent="0.35">
      <c r="A569">
        <v>79</v>
      </c>
      <c r="B569" s="2" t="s">
        <v>3054</v>
      </c>
      <c r="C569" t="s">
        <v>2888</v>
      </c>
    </row>
    <row r="570" spans="1:3" hidden="1" x14ac:dyDescent="0.35">
      <c r="A570">
        <v>79</v>
      </c>
      <c r="B570" s="7" t="s">
        <v>2902</v>
      </c>
      <c r="C570" t="s">
        <v>2884</v>
      </c>
    </row>
    <row r="571" spans="1:3" hidden="1" x14ac:dyDescent="0.35">
      <c r="A571">
        <v>79</v>
      </c>
      <c r="B571" t="s">
        <v>3168</v>
      </c>
      <c r="C571" t="s">
        <v>2914</v>
      </c>
    </row>
    <row r="572" spans="1:3" hidden="1" x14ac:dyDescent="0.35">
      <c r="A572">
        <v>79</v>
      </c>
      <c r="B572" t="s">
        <v>3120</v>
      </c>
      <c r="C572" t="s">
        <v>2890</v>
      </c>
    </row>
    <row r="573" spans="1:3" hidden="1" x14ac:dyDescent="0.35">
      <c r="A573">
        <v>80</v>
      </c>
      <c r="B573" t="s">
        <v>357</v>
      </c>
      <c r="C573" t="s">
        <v>357</v>
      </c>
    </row>
    <row r="574" spans="1:3" hidden="1" x14ac:dyDescent="0.35">
      <c r="A574">
        <v>80</v>
      </c>
      <c r="B574" s="2" t="s">
        <v>3169</v>
      </c>
      <c r="C574" t="s">
        <v>2888</v>
      </c>
    </row>
    <row r="575" spans="1:3" hidden="1" x14ac:dyDescent="0.35">
      <c r="A575">
        <v>776</v>
      </c>
      <c r="B575" s="78" t="s">
        <v>8</v>
      </c>
      <c r="C575" t="s">
        <v>2884</v>
      </c>
    </row>
    <row r="576" spans="1:3" hidden="1" x14ac:dyDescent="0.35">
      <c r="A576">
        <v>776</v>
      </c>
      <c r="B576" t="s">
        <v>3170</v>
      </c>
      <c r="C576" t="s">
        <v>2884</v>
      </c>
    </row>
    <row r="577" spans="1:3" hidden="1" x14ac:dyDescent="0.35">
      <c r="A577">
        <v>776</v>
      </c>
      <c r="B577" t="s">
        <v>3171</v>
      </c>
      <c r="C577" t="s">
        <v>2890</v>
      </c>
    </row>
    <row r="578" spans="1:3" hidden="1" x14ac:dyDescent="0.35">
      <c r="A578">
        <v>776</v>
      </c>
      <c r="B578" s="2" t="s">
        <v>3172</v>
      </c>
      <c r="C578" t="s">
        <v>2888</v>
      </c>
    </row>
    <row r="579" spans="1:3" hidden="1" x14ac:dyDescent="0.35">
      <c r="A579">
        <v>776</v>
      </c>
      <c r="B579" s="78" t="s">
        <v>3141</v>
      </c>
      <c r="C579" t="s">
        <v>2884</v>
      </c>
    </row>
    <row r="580" spans="1:3" hidden="1" x14ac:dyDescent="0.35">
      <c r="A580">
        <v>776</v>
      </c>
      <c r="B580" s="78" t="s">
        <v>3173</v>
      </c>
      <c r="C580" t="s">
        <v>2884</v>
      </c>
    </row>
    <row r="581" spans="1:3" hidden="1" x14ac:dyDescent="0.35">
      <c r="A581">
        <v>776</v>
      </c>
      <c r="B581" s="78" t="s">
        <v>3174</v>
      </c>
      <c r="C581" t="s">
        <v>2884</v>
      </c>
    </row>
    <row r="582" spans="1:3" hidden="1" x14ac:dyDescent="0.35">
      <c r="A582">
        <v>776</v>
      </c>
      <c r="B582" s="2" t="s">
        <v>1735</v>
      </c>
      <c r="C582" t="s">
        <v>2888</v>
      </c>
    </row>
    <row r="583" spans="1:3" hidden="1" x14ac:dyDescent="0.35">
      <c r="A583">
        <v>776</v>
      </c>
      <c r="B583" t="s">
        <v>357</v>
      </c>
      <c r="C583" t="s">
        <v>357</v>
      </c>
    </row>
    <row r="584" spans="1:3" hidden="1" x14ac:dyDescent="0.35">
      <c r="A584">
        <v>776</v>
      </c>
      <c r="B584" t="s">
        <v>3175</v>
      </c>
      <c r="C584" t="s">
        <v>2888</v>
      </c>
    </row>
    <row r="585" spans="1:3" hidden="1" x14ac:dyDescent="0.35">
      <c r="A585">
        <v>776</v>
      </c>
    </row>
    <row r="586" spans="1:3" hidden="1" x14ac:dyDescent="0.35">
      <c r="A586">
        <v>780</v>
      </c>
      <c r="B586" s="17" t="s">
        <v>401</v>
      </c>
      <c r="C586" t="s">
        <v>2886</v>
      </c>
    </row>
    <row r="587" spans="1:3" hidden="1" x14ac:dyDescent="0.35">
      <c r="A587">
        <v>780</v>
      </c>
      <c r="B587" s="78" t="s">
        <v>1795</v>
      </c>
      <c r="C587" t="s">
        <v>2884</v>
      </c>
    </row>
    <row r="588" spans="1:3" hidden="1" x14ac:dyDescent="0.35">
      <c r="A588">
        <v>780</v>
      </c>
      <c r="B588" s="78" t="s">
        <v>3141</v>
      </c>
      <c r="C588" t="s">
        <v>2884</v>
      </c>
    </row>
    <row r="589" spans="1:3" x14ac:dyDescent="0.35">
      <c r="A589">
        <v>795</v>
      </c>
      <c r="B589" t="s">
        <v>3176</v>
      </c>
      <c r="C589" t="s">
        <v>2892</v>
      </c>
    </row>
    <row r="590" spans="1:3" x14ac:dyDescent="0.35">
      <c r="A590">
        <v>795</v>
      </c>
      <c r="B590" t="s">
        <v>3177</v>
      </c>
      <c r="C590" t="s">
        <v>2892</v>
      </c>
    </row>
    <row r="591" spans="1:3" hidden="1" x14ac:dyDescent="0.35">
      <c r="A591">
        <v>795</v>
      </c>
      <c r="B591" t="s">
        <v>3178</v>
      </c>
      <c r="C591" t="s">
        <v>2890</v>
      </c>
    </row>
    <row r="592" spans="1:3" hidden="1" x14ac:dyDescent="0.35">
      <c r="A592">
        <v>801</v>
      </c>
      <c r="B592" s="17" t="s">
        <v>3179</v>
      </c>
      <c r="C592" t="s">
        <v>2886</v>
      </c>
    </row>
    <row r="593" spans="1:3" hidden="1" x14ac:dyDescent="0.35">
      <c r="A593">
        <v>801</v>
      </c>
      <c r="B593" t="s">
        <v>357</v>
      </c>
      <c r="C593" t="s">
        <v>357</v>
      </c>
    </row>
    <row r="594" spans="1:3" hidden="1" x14ac:dyDescent="0.35">
      <c r="A594">
        <v>850</v>
      </c>
      <c r="B594" t="s">
        <v>3180</v>
      </c>
      <c r="C594" t="s">
        <v>2888</v>
      </c>
    </row>
    <row r="595" spans="1:3" hidden="1" x14ac:dyDescent="0.35">
      <c r="A595">
        <v>850</v>
      </c>
      <c r="B595" s="42" t="s">
        <v>3181</v>
      </c>
      <c r="C595" t="s">
        <v>2890</v>
      </c>
    </row>
    <row r="596" spans="1:3" hidden="1" x14ac:dyDescent="0.35">
      <c r="A596">
        <v>850</v>
      </c>
      <c r="B596" s="17" t="s">
        <v>987</v>
      </c>
      <c r="C596" t="s">
        <v>2886</v>
      </c>
    </row>
    <row r="597" spans="1:3" hidden="1" x14ac:dyDescent="0.35">
      <c r="A597">
        <v>856</v>
      </c>
      <c r="B597" t="s">
        <v>3180</v>
      </c>
      <c r="C597" t="s">
        <v>2888</v>
      </c>
    </row>
    <row r="598" spans="1:3" hidden="1" x14ac:dyDescent="0.35">
      <c r="A598">
        <v>856</v>
      </c>
      <c r="B598" t="s">
        <v>357</v>
      </c>
      <c r="C598" t="s">
        <v>357</v>
      </c>
    </row>
    <row r="599" spans="1:3" hidden="1" x14ac:dyDescent="0.35">
      <c r="A599">
        <v>856</v>
      </c>
      <c r="B599" s="82" t="s">
        <v>3182</v>
      </c>
      <c r="C599" t="s">
        <v>2888</v>
      </c>
    </row>
    <row r="600" spans="1:3" hidden="1" x14ac:dyDescent="0.35">
      <c r="A600">
        <v>857</v>
      </c>
      <c r="B600" t="s">
        <v>3180</v>
      </c>
      <c r="C600" t="s">
        <v>2888</v>
      </c>
    </row>
    <row r="601" spans="1:3" hidden="1" x14ac:dyDescent="0.35">
      <c r="A601">
        <v>857</v>
      </c>
      <c r="B601" t="s">
        <v>252</v>
      </c>
      <c r="C601" t="s">
        <v>2890</v>
      </c>
    </row>
    <row r="602" spans="1:3" hidden="1" x14ac:dyDescent="0.35">
      <c r="A602">
        <v>857</v>
      </c>
      <c r="B602" s="17" t="s">
        <v>987</v>
      </c>
      <c r="C602" t="s">
        <v>2886</v>
      </c>
    </row>
    <row r="603" spans="1:3" hidden="1" x14ac:dyDescent="0.35">
      <c r="A603">
        <v>861</v>
      </c>
      <c r="B603" t="s">
        <v>3183</v>
      </c>
      <c r="C603" t="s">
        <v>2888</v>
      </c>
    </row>
    <row r="604" spans="1:3" hidden="1" x14ac:dyDescent="0.35">
      <c r="A604">
        <v>861</v>
      </c>
      <c r="B604" s="17" t="s">
        <v>987</v>
      </c>
      <c r="C604" t="s">
        <v>2886</v>
      </c>
    </row>
    <row r="605" spans="1:3" hidden="1" x14ac:dyDescent="0.35">
      <c r="A605">
        <v>861</v>
      </c>
      <c r="B605" s="7" t="s">
        <v>2917</v>
      </c>
      <c r="C605" t="s">
        <v>2884</v>
      </c>
    </row>
    <row r="606" spans="1:3" hidden="1" x14ac:dyDescent="0.35">
      <c r="A606">
        <v>861</v>
      </c>
      <c r="B606" t="s">
        <v>357</v>
      </c>
      <c r="C606" t="s">
        <v>357</v>
      </c>
    </row>
    <row r="607" spans="1:3" hidden="1" x14ac:dyDescent="0.35">
      <c r="A607">
        <v>861</v>
      </c>
      <c r="B607" t="s">
        <v>601</v>
      </c>
      <c r="C607" t="s">
        <v>2890</v>
      </c>
    </row>
    <row r="608" spans="1:3" hidden="1" x14ac:dyDescent="0.35">
      <c r="A608">
        <v>862</v>
      </c>
      <c r="B608" t="s">
        <v>357</v>
      </c>
      <c r="C608" t="s">
        <v>357</v>
      </c>
    </row>
    <row r="609" spans="1:3" hidden="1" x14ac:dyDescent="0.35">
      <c r="A609">
        <v>527</v>
      </c>
      <c r="B609" t="s">
        <v>3184</v>
      </c>
      <c r="C609" t="s">
        <v>2888</v>
      </c>
    </row>
    <row r="610" spans="1:3" hidden="1" x14ac:dyDescent="0.35">
      <c r="A610">
        <v>527</v>
      </c>
      <c r="B610" t="s">
        <v>3185</v>
      </c>
      <c r="C610" t="s">
        <v>357</v>
      </c>
    </row>
    <row r="611" spans="1:3" hidden="1" x14ac:dyDescent="0.35">
      <c r="A611">
        <v>527</v>
      </c>
      <c r="B611" s="7" t="s">
        <v>3025</v>
      </c>
      <c r="C611" t="s">
        <v>2884</v>
      </c>
    </row>
    <row r="612" spans="1:3" hidden="1" x14ac:dyDescent="0.35">
      <c r="A612">
        <v>527</v>
      </c>
      <c r="B612" s="7" t="s">
        <v>3186</v>
      </c>
      <c r="C612" t="s">
        <v>2884</v>
      </c>
    </row>
    <row r="613" spans="1:3" hidden="1" x14ac:dyDescent="0.35">
      <c r="A613">
        <v>527</v>
      </c>
      <c r="B613" s="7" t="s">
        <v>3187</v>
      </c>
      <c r="C613" t="s">
        <v>2884</v>
      </c>
    </row>
    <row r="614" spans="1:3" hidden="1" x14ac:dyDescent="0.35">
      <c r="A614">
        <v>535</v>
      </c>
      <c r="B614" s="77" t="s">
        <v>1009</v>
      </c>
      <c r="C614" t="s">
        <v>2884</v>
      </c>
    </row>
    <row r="615" spans="1:3" hidden="1" x14ac:dyDescent="0.35">
      <c r="A615">
        <v>535</v>
      </c>
      <c r="B615" s="78" t="s">
        <v>3188</v>
      </c>
      <c r="C615" t="s">
        <v>2884</v>
      </c>
    </row>
    <row r="616" spans="1:3" hidden="1" x14ac:dyDescent="0.35">
      <c r="A616">
        <v>535</v>
      </c>
      <c r="B616" s="78" t="s">
        <v>3189</v>
      </c>
      <c r="C616" t="s">
        <v>2884</v>
      </c>
    </row>
    <row r="617" spans="1:3" hidden="1" x14ac:dyDescent="0.35">
      <c r="A617">
        <v>536</v>
      </c>
      <c r="B617" t="s">
        <v>1037</v>
      </c>
      <c r="C617" t="s">
        <v>357</v>
      </c>
    </row>
    <row r="618" spans="1:3" hidden="1" x14ac:dyDescent="0.35">
      <c r="A618">
        <v>536</v>
      </c>
      <c r="B618" s="2" t="s">
        <v>3190</v>
      </c>
      <c r="C618" t="s">
        <v>2884</v>
      </c>
    </row>
    <row r="619" spans="1:3" hidden="1" x14ac:dyDescent="0.35">
      <c r="A619">
        <v>536</v>
      </c>
      <c r="B619" t="s">
        <v>1044</v>
      </c>
      <c r="C619" t="s">
        <v>2888</v>
      </c>
    </row>
    <row r="620" spans="1:3" hidden="1" x14ac:dyDescent="0.35">
      <c r="A620">
        <v>556</v>
      </c>
      <c r="B620" s="17" t="s">
        <v>3191</v>
      </c>
      <c r="C620" t="s">
        <v>2886</v>
      </c>
    </row>
    <row r="621" spans="1:3" x14ac:dyDescent="0.35">
      <c r="A621">
        <v>556</v>
      </c>
      <c r="B621" t="s">
        <v>3192</v>
      </c>
      <c r="C621" t="s">
        <v>2892</v>
      </c>
    </row>
    <row r="622" spans="1:3" hidden="1" x14ac:dyDescent="0.35">
      <c r="A622">
        <v>556</v>
      </c>
      <c r="B622" s="78" t="s">
        <v>3193</v>
      </c>
      <c r="C622" t="s">
        <v>2884</v>
      </c>
    </row>
    <row r="623" spans="1:3" hidden="1" x14ac:dyDescent="0.35">
      <c r="A623">
        <v>556</v>
      </c>
      <c r="B623" s="78" t="s">
        <v>3194</v>
      </c>
      <c r="C623" t="s">
        <v>2884</v>
      </c>
    </row>
    <row r="624" spans="1:3" x14ac:dyDescent="0.35">
      <c r="A624">
        <v>556</v>
      </c>
      <c r="B624" t="s">
        <v>3195</v>
      </c>
      <c r="C624" t="s">
        <v>2892</v>
      </c>
    </row>
    <row r="625" spans="1:3" hidden="1" x14ac:dyDescent="0.35">
      <c r="A625">
        <v>556</v>
      </c>
    </row>
    <row r="626" spans="1:3" hidden="1" x14ac:dyDescent="0.35">
      <c r="A626">
        <v>557</v>
      </c>
      <c r="B626" t="s">
        <v>601</v>
      </c>
      <c r="C626" t="s">
        <v>2890</v>
      </c>
    </row>
    <row r="627" spans="1:3" hidden="1" x14ac:dyDescent="0.35">
      <c r="A627">
        <v>557</v>
      </c>
      <c r="B627" t="s">
        <v>3196</v>
      </c>
      <c r="C627" t="s">
        <v>357</v>
      </c>
    </row>
    <row r="628" spans="1:3" hidden="1" x14ac:dyDescent="0.35">
      <c r="A628">
        <v>557</v>
      </c>
    </row>
    <row r="629" spans="1:3" hidden="1" x14ac:dyDescent="0.35">
      <c r="A629">
        <v>563</v>
      </c>
      <c r="B629" s="7" t="s">
        <v>154</v>
      </c>
      <c r="C629" t="s">
        <v>2886</v>
      </c>
    </row>
    <row r="630" spans="1:3" hidden="1" x14ac:dyDescent="0.35">
      <c r="A630">
        <v>563</v>
      </c>
      <c r="B630" s="75" t="s">
        <v>3197</v>
      </c>
      <c r="C630" t="s">
        <v>2886</v>
      </c>
    </row>
    <row r="631" spans="1:3" hidden="1" x14ac:dyDescent="0.35">
      <c r="A631">
        <v>563</v>
      </c>
      <c r="B631" s="78" t="s">
        <v>3198</v>
      </c>
      <c r="C631" t="s">
        <v>2884</v>
      </c>
    </row>
    <row r="632" spans="1:3" hidden="1" x14ac:dyDescent="0.35">
      <c r="A632">
        <v>563</v>
      </c>
      <c r="B632" s="78" t="s">
        <v>3199</v>
      </c>
      <c r="C632" t="s">
        <v>2884</v>
      </c>
    </row>
    <row r="633" spans="1:3" hidden="1" x14ac:dyDescent="0.35">
      <c r="A633">
        <v>563</v>
      </c>
      <c r="B633" t="s">
        <v>3200</v>
      </c>
      <c r="C633" t="s">
        <v>2890</v>
      </c>
    </row>
    <row r="634" spans="1:3" hidden="1" x14ac:dyDescent="0.35">
      <c r="A634">
        <v>563</v>
      </c>
      <c r="B634" t="s">
        <v>3201</v>
      </c>
      <c r="C634" t="s">
        <v>2890</v>
      </c>
    </row>
    <row r="635" spans="1:3" hidden="1" x14ac:dyDescent="0.35">
      <c r="A635">
        <v>563</v>
      </c>
      <c r="B635" t="s">
        <v>3202</v>
      </c>
      <c r="C635" t="s">
        <v>2890</v>
      </c>
    </row>
    <row r="636" spans="1:3" hidden="1" x14ac:dyDescent="0.35">
      <c r="A636">
        <v>563</v>
      </c>
      <c r="B636" t="s">
        <v>3203</v>
      </c>
      <c r="C636" t="s">
        <v>2890</v>
      </c>
    </row>
    <row r="637" spans="1:3" hidden="1" x14ac:dyDescent="0.35">
      <c r="A637">
        <v>563</v>
      </c>
      <c r="B637" t="s">
        <v>3204</v>
      </c>
      <c r="C637" t="s">
        <v>2890</v>
      </c>
    </row>
    <row r="638" spans="1:3" hidden="1" x14ac:dyDescent="0.35">
      <c r="A638">
        <v>563</v>
      </c>
      <c r="B638" t="s">
        <v>3205</v>
      </c>
      <c r="C638" t="s">
        <v>2890</v>
      </c>
    </row>
    <row r="639" spans="1:3" hidden="1" x14ac:dyDescent="0.35">
      <c r="A639">
        <v>563</v>
      </c>
      <c r="B639" t="s">
        <v>3206</v>
      </c>
      <c r="C639" t="s">
        <v>2890</v>
      </c>
    </row>
    <row r="640" spans="1:3" hidden="1" x14ac:dyDescent="0.35">
      <c r="A640">
        <v>564</v>
      </c>
      <c r="B640" t="s">
        <v>357</v>
      </c>
      <c r="C640" t="s">
        <v>357</v>
      </c>
    </row>
    <row r="641" spans="1:3" hidden="1" x14ac:dyDescent="0.35">
      <c r="A641">
        <v>564</v>
      </c>
      <c r="B641" t="s">
        <v>1117</v>
      </c>
      <c r="C641" t="s">
        <v>357</v>
      </c>
    </row>
    <row r="642" spans="1:3" hidden="1" x14ac:dyDescent="0.35">
      <c r="A642">
        <v>564</v>
      </c>
      <c r="B642" t="s">
        <v>3207</v>
      </c>
      <c r="C642" t="s">
        <v>357</v>
      </c>
    </row>
    <row r="643" spans="1:3" hidden="1" x14ac:dyDescent="0.35">
      <c r="A643">
        <v>564</v>
      </c>
      <c r="B643" t="s">
        <v>3208</v>
      </c>
      <c r="C643" t="s">
        <v>2890</v>
      </c>
    </row>
    <row r="644" spans="1:3" hidden="1" x14ac:dyDescent="0.35">
      <c r="A644">
        <v>571</v>
      </c>
    </row>
    <row r="645" spans="1:3" hidden="1" x14ac:dyDescent="0.35">
      <c r="A645">
        <v>571</v>
      </c>
      <c r="B645" t="s">
        <v>357</v>
      </c>
      <c r="C645" t="s">
        <v>357</v>
      </c>
    </row>
    <row r="646" spans="1:3" hidden="1" x14ac:dyDescent="0.35">
      <c r="A646">
        <v>571</v>
      </c>
    </row>
    <row r="647" spans="1:3" hidden="1" x14ac:dyDescent="0.35">
      <c r="A647">
        <v>571</v>
      </c>
      <c r="B647" t="s">
        <v>3209</v>
      </c>
      <c r="C647" t="s">
        <v>3210</v>
      </c>
    </row>
    <row r="648" spans="1:3" hidden="1" x14ac:dyDescent="0.35">
      <c r="A648">
        <v>571</v>
      </c>
      <c r="B648" s="2" t="s">
        <v>3211</v>
      </c>
      <c r="C648" t="s">
        <v>2888</v>
      </c>
    </row>
    <row r="649" spans="1:3" hidden="1" x14ac:dyDescent="0.35">
      <c r="A649">
        <v>595</v>
      </c>
    </row>
    <row r="650" spans="1:3" x14ac:dyDescent="0.35">
      <c r="A650">
        <v>595</v>
      </c>
      <c r="B650" t="s">
        <v>1139</v>
      </c>
      <c r="C650" t="s">
        <v>2892</v>
      </c>
    </row>
    <row r="651" spans="1:3" hidden="1" x14ac:dyDescent="0.35">
      <c r="A651">
        <v>595</v>
      </c>
      <c r="B651" t="s">
        <v>3212</v>
      </c>
      <c r="C651" t="s">
        <v>2890</v>
      </c>
    </row>
    <row r="652" spans="1:3" hidden="1" x14ac:dyDescent="0.35">
      <c r="A652">
        <v>93</v>
      </c>
      <c r="B652" t="s">
        <v>357</v>
      </c>
      <c r="C652" t="s">
        <v>357</v>
      </c>
    </row>
    <row r="653" spans="1:3" hidden="1" x14ac:dyDescent="0.35">
      <c r="A653">
        <v>96</v>
      </c>
      <c r="B653" t="s">
        <v>3213</v>
      </c>
      <c r="C653" t="s">
        <v>2888</v>
      </c>
    </row>
    <row r="654" spans="1:3" hidden="1" x14ac:dyDescent="0.35">
      <c r="A654">
        <v>96</v>
      </c>
      <c r="B654" t="s">
        <v>3214</v>
      </c>
      <c r="C654" t="s">
        <v>2888</v>
      </c>
    </row>
    <row r="655" spans="1:3" hidden="1" x14ac:dyDescent="0.35">
      <c r="A655">
        <v>96</v>
      </c>
      <c r="B655" s="17" t="s">
        <v>401</v>
      </c>
      <c r="C655" t="s">
        <v>2886</v>
      </c>
    </row>
    <row r="656" spans="1:3" hidden="1" x14ac:dyDescent="0.35">
      <c r="A656">
        <v>96</v>
      </c>
      <c r="B656" t="s">
        <v>3215</v>
      </c>
      <c r="C656" t="s">
        <v>2888</v>
      </c>
    </row>
    <row r="657" spans="1:3" hidden="1" x14ac:dyDescent="0.35">
      <c r="A657">
        <v>96</v>
      </c>
      <c r="B657" t="s">
        <v>1585</v>
      </c>
      <c r="C657" t="s">
        <v>2890</v>
      </c>
    </row>
    <row r="658" spans="1:3" x14ac:dyDescent="0.35">
      <c r="A658">
        <v>96</v>
      </c>
      <c r="B658" t="s">
        <v>3216</v>
      </c>
      <c r="C658" t="s">
        <v>2892</v>
      </c>
    </row>
    <row r="659" spans="1:3" hidden="1" x14ac:dyDescent="0.35">
      <c r="A659">
        <v>96</v>
      </c>
      <c r="B659" t="s">
        <v>3217</v>
      </c>
      <c r="C659" t="s">
        <v>2888</v>
      </c>
    </row>
    <row r="660" spans="1:3" hidden="1" x14ac:dyDescent="0.35">
      <c r="A660">
        <v>96</v>
      </c>
      <c r="B660" t="s">
        <v>3218</v>
      </c>
      <c r="C660" t="s">
        <v>2888</v>
      </c>
    </row>
    <row r="661" spans="1:3" hidden="1" x14ac:dyDescent="0.35">
      <c r="A661">
        <v>96</v>
      </c>
      <c r="B661" t="s">
        <v>3219</v>
      </c>
      <c r="C661" t="s">
        <v>2890</v>
      </c>
    </row>
    <row r="662" spans="1:3" hidden="1" x14ac:dyDescent="0.35">
      <c r="A662">
        <v>102</v>
      </c>
      <c r="B662" s="7" t="s">
        <v>154</v>
      </c>
      <c r="C662" t="s">
        <v>2886</v>
      </c>
    </row>
    <row r="663" spans="1:3" x14ac:dyDescent="0.35">
      <c r="A663">
        <v>102</v>
      </c>
      <c r="B663" t="s">
        <v>2981</v>
      </c>
      <c r="C663" t="s">
        <v>2892</v>
      </c>
    </row>
    <row r="664" spans="1:3" x14ac:dyDescent="0.35">
      <c r="A664">
        <v>109</v>
      </c>
      <c r="B664" t="s">
        <v>3220</v>
      </c>
      <c r="C664" t="s">
        <v>2892</v>
      </c>
    </row>
    <row r="665" spans="1:3" hidden="1" x14ac:dyDescent="0.35">
      <c r="A665">
        <v>109</v>
      </c>
      <c r="B665" s="17" t="s">
        <v>3221</v>
      </c>
      <c r="C665" t="s">
        <v>2886</v>
      </c>
    </row>
    <row r="666" spans="1:3" hidden="1" x14ac:dyDescent="0.35">
      <c r="A666">
        <v>109</v>
      </c>
      <c r="B666" s="7" t="s">
        <v>154</v>
      </c>
      <c r="C666" t="s">
        <v>2886</v>
      </c>
    </row>
    <row r="667" spans="1:3" hidden="1" x14ac:dyDescent="0.35">
      <c r="A667">
        <v>109</v>
      </c>
      <c r="B667" t="s">
        <v>704</v>
      </c>
      <c r="C667" t="s">
        <v>357</v>
      </c>
    </row>
    <row r="668" spans="1:3" hidden="1" x14ac:dyDescent="0.35">
      <c r="A668">
        <v>109</v>
      </c>
      <c r="B668" s="78" t="s">
        <v>3222</v>
      </c>
      <c r="C668" t="s">
        <v>2884</v>
      </c>
    </row>
    <row r="669" spans="1:3" hidden="1" x14ac:dyDescent="0.35">
      <c r="A669">
        <v>109</v>
      </c>
      <c r="B669" s="7" t="s">
        <v>3223</v>
      </c>
      <c r="C669" t="s">
        <v>2884</v>
      </c>
    </row>
    <row r="670" spans="1:3" hidden="1" x14ac:dyDescent="0.35">
      <c r="A670">
        <v>109</v>
      </c>
      <c r="B670" s="7" t="s">
        <v>2893</v>
      </c>
      <c r="C670" t="s">
        <v>2884</v>
      </c>
    </row>
    <row r="671" spans="1:3" hidden="1" x14ac:dyDescent="0.35">
      <c r="A671">
        <v>109</v>
      </c>
      <c r="B671" s="7" t="s">
        <v>3224</v>
      </c>
      <c r="C671" t="s">
        <v>2884</v>
      </c>
    </row>
    <row r="672" spans="1:3" hidden="1" x14ac:dyDescent="0.35">
      <c r="A672">
        <v>112</v>
      </c>
      <c r="B672" t="s">
        <v>1178</v>
      </c>
      <c r="C672" t="s">
        <v>2890</v>
      </c>
    </row>
    <row r="673" spans="1:3" x14ac:dyDescent="0.35">
      <c r="A673">
        <v>114</v>
      </c>
      <c r="B673" t="s">
        <v>3225</v>
      </c>
      <c r="C673" t="s">
        <v>2892</v>
      </c>
    </row>
    <row r="674" spans="1:3" hidden="1" x14ac:dyDescent="0.35">
      <c r="A674">
        <v>114</v>
      </c>
      <c r="B674" t="s">
        <v>3226</v>
      </c>
      <c r="C674" t="s">
        <v>2888</v>
      </c>
    </row>
    <row r="675" spans="1:3" hidden="1" x14ac:dyDescent="0.35">
      <c r="A675">
        <v>114</v>
      </c>
      <c r="B675" t="s">
        <v>3227</v>
      </c>
      <c r="C675" t="s">
        <v>2888</v>
      </c>
    </row>
    <row r="676" spans="1:3" hidden="1" x14ac:dyDescent="0.35">
      <c r="A676">
        <v>114</v>
      </c>
      <c r="B676" t="s">
        <v>3228</v>
      </c>
      <c r="C676" t="s">
        <v>2888</v>
      </c>
    </row>
    <row r="677" spans="1:3" hidden="1" x14ac:dyDescent="0.35">
      <c r="A677">
        <v>114</v>
      </c>
      <c r="B677" t="s">
        <v>3229</v>
      </c>
      <c r="C677" t="s">
        <v>2888</v>
      </c>
    </row>
    <row r="678" spans="1:3" hidden="1" x14ac:dyDescent="0.35">
      <c r="A678">
        <v>114</v>
      </c>
      <c r="B678" s="2" t="s">
        <v>3230</v>
      </c>
      <c r="C678" t="s">
        <v>2888</v>
      </c>
    </row>
    <row r="679" spans="1:3" hidden="1" x14ac:dyDescent="0.35">
      <c r="A679">
        <v>117</v>
      </c>
      <c r="B679" s="11" t="s">
        <v>3231</v>
      </c>
      <c r="C679" t="s">
        <v>2886</v>
      </c>
    </row>
    <row r="680" spans="1:3" hidden="1" x14ac:dyDescent="0.35">
      <c r="A680">
        <v>117</v>
      </c>
      <c r="B680" t="s">
        <v>3232</v>
      </c>
      <c r="C680" t="s">
        <v>2884</v>
      </c>
    </row>
    <row r="681" spans="1:3" hidden="1" x14ac:dyDescent="0.35">
      <c r="A681">
        <v>117</v>
      </c>
      <c r="B681" s="7" t="s">
        <v>3233</v>
      </c>
      <c r="C681" t="s">
        <v>2884</v>
      </c>
    </row>
    <row r="682" spans="1:3" hidden="1" x14ac:dyDescent="0.35">
      <c r="A682">
        <v>117</v>
      </c>
      <c r="B682" s="75" t="s">
        <v>3234</v>
      </c>
      <c r="C682" t="s">
        <v>2886</v>
      </c>
    </row>
    <row r="683" spans="1:3" hidden="1" x14ac:dyDescent="0.35">
      <c r="A683">
        <v>117</v>
      </c>
      <c r="B683" s="7" t="s">
        <v>3235</v>
      </c>
      <c r="C683" t="s">
        <v>2884</v>
      </c>
    </row>
    <row r="684" spans="1:3" hidden="1" x14ac:dyDescent="0.35">
      <c r="A684">
        <v>117</v>
      </c>
      <c r="B684" s="2" t="s">
        <v>3236</v>
      </c>
      <c r="C684" t="s">
        <v>2884</v>
      </c>
    </row>
    <row r="685" spans="1:3" hidden="1" x14ac:dyDescent="0.35">
      <c r="A685">
        <v>117</v>
      </c>
      <c r="B685" t="s">
        <v>3237</v>
      </c>
      <c r="C685" t="s">
        <v>2888</v>
      </c>
    </row>
    <row r="686" spans="1:3" hidden="1" x14ac:dyDescent="0.35">
      <c r="A686">
        <v>117</v>
      </c>
      <c r="B686" s="11" t="s">
        <v>3056</v>
      </c>
      <c r="C686" t="s">
        <v>2886</v>
      </c>
    </row>
    <row r="687" spans="1:3" hidden="1" x14ac:dyDescent="0.35">
      <c r="A687">
        <v>117</v>
      </c>
      <c r="B687" t="s">
        <v>3238</v>
      </c>
      <c r="C687" t="s">
        <v>2884</v>
      </c>
    </row>
    <row r="688" spans="1:3" hidden="1" x14ac:dyDescent="0.35">
      <c r="A688">
        <v>228</v>
      </c>
      <c r="B688" t="s">
        <v>1202</v>
      </c>
      <c r="C688" t="s">
        <v>357</v>
      </c>
    </row>
    <row r="689" spans="1:3" hidden="1" x14ac:dyDescent="0.35">
      <c r="A689">
        <v>228</v>
      </c>
      <c r="B689" s="78" t="s">
        <v>3239</v>
      </c>
      <c r="C689" t="s">
        <v>2884</v>
      </c>
    </row>
    <row r="690" spans="1:3" hidden="1" x14ac:dyDescent="0.35">
      <c r="A690">
        <v>340</v>
      </c>
      <c r="B690" s="17" t="s">
        <v>1536</v>
      </c>
      <c r="C690" t="s">
        <v>2886</v>
      </c>
    </row>
    <row r="691" spans="1:3" hidden="1" x14ac:dyDescent="0.35">
      <c r="A691">
        <v>340</v>
      </c>
      <c r="B691" s="78" t="s">
        <v>3240</v>
      </c>
      <c r="C691" t="s">
        <v>2884</v>
      </c>
    </row>
    <row r="692" spans="1:3" hidden="1" x14ac:dyDescent="0.35">
      <c r="A692">
        <v>340</v>
      </c>
      <c r="B692" s="2" t="s">
        <v>3241</v>
      </c>
      <c r="C692" t="s">
        <v>2888</v>
      </c>
    </row>
    <row r="693" spans="1:3" hidden="1" x14ac:dyDescent="0.35">
      <c r="A693">
        <v>340</v>
      </c>
      <c r="B693" t="s">
        <v>3242</v>
      </c>
      <c r="C693" t="s">
        <v>2888</v>
      </c>
    </row>
    <row r="694" spans="1:3" hidden="1" x14ac:dyDescent="0.35">
      <c r="A694">
        <v>340</v>
      </c>
      <c r="B694" s="61" t="s">
        <v>3243</v>
      </c>
      <c r="C694" t="s">
        <v>2884</v>
      </c>
    </row>
    <row r="695" spans="1:3" hidden="1" x14ac:dyDescent="0.35">
      <c r="A695">
        <v>457</v>
      </c>
      <c r="B695" s="17" t="s">
        <v>401</v>
      </c>
      <c r="C695" t="s">
        <v>2886</v>
      </c>
    </row>
    <row r="696" spans="1:3" hidden="1" x14ac:dyDescent="0.35">
      <c r="A696">
        <v>457</v>
      </c>
      <c r="B696" s="7" t="s">
        <v>154</v>
      </c>
      <c r="C696" t="s">
        <v>2886</v>
      </c>
    </row>
    <row r="697" spans="1:3" hidden="1" x14ac:dyDescent="0.35">
      <c r="A697">
        <v>457</v>
      </c>
      <c r="B697" t="s">
        <v>3244</v>
      </c>
      <c r="C697" t="s">
        <v>2888</v>
      </c>
    </row>
    <row r="698" spans="1:3" hidden="1" x14ac:dyDescent="0.35">
      <c r="A698">
        <v>485</v>
      </c>
      <c r="B698" s="17" t="s">
        <v>1242</v>
      </c>
      <c r="C698" t="s">
        <v>2886</v>
      </c>
    </row>
    <row r="699" spans="1:3" hidden="1" x14ac:dyDescent="0.35">
      <c r="A699">
        <v>485</v>
      </c>
      <c r="B699" s="17" t="s">
        <v>401</v>
      </c>
      <c r="C699" t="s">
        <v>2886</v>
      </c>
    </row>
    <row r="700" spans="1:3" hidden="1" x14ac:dyDescent="0.35">
      <c r="A700">
        <v>485</v>
      </c>
      <c r="B700" s="42" t="s">
        <v>3245</v>
      </c>
      <c r="C700" t="s">
        <v>2890</v>
      </c>
    </row>
    <row r="701" spans="1:3" hidden="1" x14ac:dyDescent="0.35">
      <c r="A701">
        <v>485</v>
      </c>
    </row>
    <row r="702" spans="1:3" hidden="1" x14ac:dyDescent="0.35">
      <c r="A702">
        <v>808</v>
      </c>
      <c r="B702" t="s">
        <v>590</v>
      </c>
      <c r="C702" t="s">
        <v>357</v>
      </c>
    </row>
    <row r="703" spans="1:3" hidden="1" x14ac:dyDescent="0.35">
      <c r="A703">
        <v>808</v>
      </c>
      <c r="B703" s="4" t="s">
        <v>3246</v>
      </c>
      <c r="C703" t="s">
        <v>2886</v>
      </c>
    </row>
    <row r="704" spans="1:3" hidden="1" x14ac:dyDescent="0.35">
      <c r="A704">
        <v>808</v>
      </c>
      <c r="B704" t="s">
        <v>362</v>
      </c>
      <c r="C704" t="s">
        <v>362</v>
      </c>
    </row>
    <row r="705" spans="1:3" hidden="1" x14ac:dyDescent="0.35">
      <c r="A705">
        <v>808</v>
      </c>
      <c r="B705" s="4" t="s">
        <v>1296</v>
      </c>
      <c r="C705" t="s">
        <v>2886</v>
      </c>
    </row>
    <row r="706" spans="1:3" hidden="1" x14ac:dyDescent="0.35">
      <c r="A706">
        <v>809</v>
      </c>
      <c r="B706" s="77" t="s">
        <v>1300</v>
      </c>
      <c r="C706" t="s">
        <v>2884</v>
      </c>
    </row>
    <row r="707" spans="1:3" hidden="1" x14ac:dyDescent="0.35">
      <c r="A707">
        <v>809</v>
      </c>
      <c r="B707" t="s">
        <v>3247</v>
      </c>
      <c r="C707" t="s">
        <v>2888</v>
      </c>
    </row>
    <row r="708" spans="1:3" x14ac:dyDescent="0.35">
      <c r="A708">
        <v>821</v>
      </c>
      <c r="B708" t="s">
        <v>1320</v>
      </c>
      <c r="C708" t="s">
        <v>2892</v>
      </c>
    </row>
    <row r="709" spans="1:3" hidden="1" x14ac:dyDescent="0.35">
      <c r="A709">
        <v>821</v>
      </c>
      <c r="B709" t="s">
        <v>225</v>
      </c>
      <c r="C709" t="s">
        <v>2890</v>
      </c>
    </row>
    <row r="710" spans="1:3" hidden="1" x14ac:dyDescent="0.35">
      <c r="A710">
        <v>821</v>
      </c>
      <c r="B710" s="78" t="s">
        <v>3248</v>
      </c>
      <c r="C710" t="s">
        <v>2884</v>
      </c>
    </row>
    <row r="711" spans="1:3" hidden="1" x14ac:dyDescent="0.35">
      <c r="A711">
        <v>821</v>
      </c>
      <c r="B711" t="s">
        <v>3249</v>
      </c>
      <c r="C711" t="s">
        <v>3249</v>
      </c>
    </row>
    <row r="712" spans="1:3" hidden="1" x14ac:dyDescent="0.35">
      <c r="A712">
        <v>822</v>
      </c>
      <c r="B712" s="17" t="s">
        <v>401</v>
      </c>
      <c r="C712" t="s">
        <v>2886</v>
      </c>
    </row>
    <row r="713" spans="1:3" x14ac:dyDescent="0.35">
      <c r="A713">
        <v>822</v>
      </c>
      <c r="B713" t="s">
        <v>2826</v>
      </c>
      <c r="C713" t="s">
        <v>2892</v>
      </c>
    </row>
    <row r="714" spans="1:3" hidden="1" x14ac:dyDescent="0.35">
      <c r="A714">
        <v>822</v>
      </c>
      <c r="B714" s="7" t="s">
        <v>2902</v>
      </c>
      <c r="C714" t="s">
        <v>2884</v>
      </c>
    </row>
    <row r="715" spans="1:3" hidden="1" x14ac:dyDescent="0.35">
      <c r="A715">
        <v>822</v>
      </c>
      <c r="B715" t="s">
        <v>3250</v>
      </c>
      <c r="C715" t="s">
        <v>2890</v>
      </c>
    </row>
    <row r="716" spans="1:3" hidden="1" x14ac:dyDescent="0.35">
      <c r="A716">
        <v>822</v>
      </c>
      <c r="B716" t="s">
        <v>225</v>
      </c>
      <c r="C716" t="s">
        <v>2890</v>
      </c>
    </row>
    <row r="717" spans="1:3" hidden="1" x14ac:dyDescent="0.35">
      <c r="A717">
        <v>822</v>
      </c>
      <c r="B717" t="s">
        <v>3251</v>
      </c>
      <c r="C717" t="s">
        <v>2890</v>
      </c>
    </row>
    <row r="718" spans="1:3" hidden="1" x14ac:dyDescent="0.35">
      <c r="A718">
        <v>822</v>
      </c>
      <c r="B718" t="s">
        <v>3252</v>
      </c>
      <c r="C718" t="s">
        <v>2890</v>
      </c>
    </row>
    <row r="719" spans="1:3" x14ac:dyDescent="0.35">
      <c r="A719">
        <v>27</v>
      </c>
      <c r="B719" t="s">
        <v>3253</v>
      </c>
      <c r="C719" t="s">
        <v>2892</v>
      </c>
    </row>
    <row r="720" spans="1:3" hidden="1" x14ac:dyDescent="0.35">
      <c r="A720">
        <v>27</v>
      </c>
      <c r="B720" t="s">
        <v>2899</v>
      </c>
      <c r="C720" t="s">
        <v>2890</v>
      </c>
    </row>
    <row r="721" spans="1:3" hidden="1" x14ac:dyDescent="0.35">
      <c r="A721">
        <v>27</v>
      </c>
      <c r="B721" t="s">
        <v>3254</v>
      </c>
      <c r="C721" t="s">
        <v>357</v>
      </c>
    </row>
    <row r="722" spans="1:3" hidden="1" x14ac:dyDescent="0.35">
      <c r="A722">
        <v>27</v>
      </c>
      <c r="B722" s="78" t="s">
        <v>3255</v>
      </c>
      <c r="C722" t="s">
        <v>2884</v>
      </c>
    </row>
    <row r="723" spans="1:3" hidden="1" x14ac:dyDescent="0.35">
      <c r="A723">
        <v>27</v>
      </c>
      <c r="B723" t="s">
        <v>3256</v>
      </c>
      <c r="C723" t="s">
        <v>357</v>
      </c>
    </row>
    <row r="724" spans="1:3" x14ac:dyDescent="0.35">
      <c r="A724">
        <v>27</v>
      </c>
      <c r="B724" t="s">
        <v>3257</v>
      </c>
      <c r="C724" t="s">
        <v>2892</v>
      </c>
    </row>
    <row r="725" spans="1:3" hidden="1" x14ac:dyDescent="0.35">
      <c r="A725">
        <v>27</v>
      </c>
      <c r="B725" t="s">
        <v>3258</v>
      </c>
      <c r="C725" t="s">
        <v>2914</v>
      </c>
    </row>
    <row r="726" spans="1:3" hidden="1" x14ac:dyDescent="0.35">
      <c r="A726">
        <v>27</v>
      </c>
      <c r="B726" t="s">
        <v>3259</v>
      </c>
      <c r="C726" t="s">
        <v>357</v>
      </c>
    </row>
    <row r="727" spans="1:3" hidden="1" x14ac:dyDescent="0.35">
      <c r="A727">
        <v>123</v>
      </c>
      <c r="B727" t="s">
        <v>160</v>
      </c>
      <c r="C727" t="s">
        <v>357</v>
      </c>
    </row>
    <row r="728" spans="1:3" hidden="1" x14ac:dyDescent="0.35">
      <c r="A728">
        <v>123</v>
      </c>
      <c r="B728" s="77" t="s">
        <v>3260</v>
      </c>
      <c r="C728" t="s">
        <v>2884</v>
      </c>
    </row>
    <row r="729" spans="1:3" hidden="1" x14ac:dyDescent="0.35">
      <c r="A729">
        <v>123</v>
      </c>
      <c r="B729" s="77" t="s">
        <v>3037</v>
      </c>
      <c r="C729" t="s">
        <v>2884</v>
      </c>
    </row>
    <row r="730" spans="1:3" hidden="1" x14ac:dyDescent="0.35">
      <c r="A730">
        <v>123</v>
      </c>
      <c r="B730" t="s">
        <v>3261</v>
      </c>
      <c r="C730" t="s">
        <v>2884</v>
      </c>
    </row>
    <row r="731" spans="1:3" hidden="1" x14ac:dyDescent="0.35">
      <c r="A731">
        <v>123</v>
      </c>
    </row>
    <row r="732" spans="1:3" hidden="1" x14ac:dyDescent="0.35">
      <c r="A732">
        <v>126</v>
      </c>
      <c r="B732" t="s">
        <v>3262</v>
      </c>
      <c r="C732" t="s">
        <v>357</v>
      </c>
    </row>
    <row r="733" spans="1:3" hidden="1" x14ac:dyDescent="0.35">
      <c r="A733">
        <v>126</v>
      </c>
      <c r="B733" s="77" t="s">
        <v>671</v>
      </c>
      <c r="C733" t="s">
        <v>2884</v>
      </c>
    </row>
    <row r="734" spans="1:3" hidden="1" x14ac:dyDescent="0.35">
      <c r="A734">
        <v>126</v>
      </c>
      <c r="B734" t="s">
        <v>3263</v>
      </c>
      <c r="C734" t="s">
        <v>2890</v>
      </c>
    </row>
    <row r="735" spans="1:3" hidden="1" x14ac:dyDescent="0.35">
      <c r="A735">
        <v>126</v>
      </c>
      <c r="B735" t="s">
        <v>3264</v>
      </c>
      <c r="C735" t="s">
        <v>3264</v>
      </c>
    </row>
    <row r="736" spans="1:3" hidden="1" x14ac:dyDescent="0.35">
      <c r="A736">
        <v>126</v>
      </c>
      <c r="B736" t="s">
        <v>3265</v>
      </c>
      <c r="C736" t="s">
        <v>3265</v>
      </c>
    </row>
    <row r="737" spans="1:3" hidden="1" x14ac:dyDescent="0.35">
      <c r="A737">
        <v>126</v>
      </c>
      <c r="B737" t="s">
        <v>3266</v>
      </c>
      <c r="C737" t="s">
        <v>2884</v>
      </c>
    </row>
    <row r="738" spans="1:3" hidden="1" x14ac:dyDescent="0.35">
      <c r="A738">
        <v>151</v>
      </c>
      <c r="B738" s="77" t="s">
        <v>2400</v>
      </c>
      <c r="C738" t="s">
        <v>2884</v>
      </c>
    </row>
    <row r="739" spans="1:3" hidden="1" x14ac:dyDescent="0.35">
      <c r="A739">
        <v>156</v>
      </c>
      <c r="B739" s="77" t="s">
        <v>120</v>
      </c>
      <c r="C739" t="s">
        <v>2884</v>
      </c>
    </row>
    <row r="740" spans="1:3" hidden="1" x14ac:dyDescent="0.35">
      <c r="A740">
        <v>156</v>
      </c>
      <c r="B740" t="s">
        <v>3267</v>
      </c>
      <c r="C740" t="s">
        <v>2886</v>
      </c>
    </row>
    <row r="741" spans="1:3" hidden="1" x14ac:dyDescent="0.35">
      <c r="A741">
        <v>162</v>
      </c>
      <c r="B741" t="s">
        <v>1394</v>
      </c>
      <c r="C741" t="s">
        <v>2886</v>
      </c>
    </row>
    <row r="742" spans="1:3" hidden="1" x14ac:dyDescent="0.35">
      <c r="A742">
        <v>162</v>
      </c>
      <c r="B742" s="2" t="s">
        <v>3268</v>
      </c>
      <c r="C742" t="s">
        <v>2888</v>
      </c>
    </row>
    <row r="743" spans="1:3" hidden="1" x14ac:dyDescent="0.35">
      <c r="A743">
        <v>162</v>
      </c>
      <c r="B743" s="17" t="s">
        <v>3269</v>
      </c>
      <c r="C743" t="s">
        <v>2886</v>
      </c>
    </row>
    <row r="744" spans="1:3" hidden="1" x14ac:dyDescent="0.35">
      <c r="A744">
        <v>162</v>
      </c>
      <c r="B744" t="s">
        <v>3270</v>
      </c>
      <c r="C744" t="s">
        <v>2890</v>
      </c>
    </row>
    <row r="745" spans="1:3" x14ac:dyDescent="0.35">
      <c r="A745">
        <v>198</v>
      </c>
      <c r="B745" t="s">
        <v>1414</v>
      </c>
      <c r="C745" t="s">
        <v>2892</v>
      </c>
    </row>
    <row r="746" spans="1:3" hidden="1" x14ac:dyDescent="0.35">
      <c r="A746">
        <v>198</v>
      </c>
      <c r="B746" t="s">
        <v>225</v>
      </c>
      <c r="C746" t="s">
        <v>2890</v>
      </c>
    </row>
    <row r="747" spans="1:3" hidden="1" x14ac:dyDescent="0.35">
      <c r="A747">
        <v>198</v>
      </c>
      <c r="B747" t="s">
        <v>3271</v>
      </c>
      <c r="C747" t="s">
        <v>2890</v>
      </c>
    </row>
    <row r="748" spans="1:3" hidden="1" x14ac:dyDescent="0.35">
      <c r="A748">
        <v>199</v>
      </c>
      <c r="B748" s="7" t="s">
        <v>3272</v>
      </c>
      <c r="C748" t="s">
        <v>2884</v>
      </c>
    </row>
    <row r="749" spans="1:3" hidden="1" x14ac:dyDescent="0.35">
      <c r="A749">
        <v>199</v>
      </c>
      <c r="B749" s="7" t="s">
        <v>3273</v>
      </c>
      <c r="C749" t="s">
        <v>2884</v>
      </c>
    </row>
    <row r="750" spans="1:3" hidden="1" x14ac:dyDescent="0.35">
      <c r="A750">
        <v>199</v>
      </c>
      <c r="B750" s="7" t="s">
        <v>3274</v>
      </c>
      <c r="C750" t="s">
        <v>2886</v>
      </c>
    </row>
    <row r="751" spans="1:3" hidden="1" x14ac:dyDescent="0.35">
      <c r="A751">
        <v>199</v>
      </c>
      <c r="B751" s="77" t="s">
        <v>3275</v>
      </c>
      <c r="C751" t="s">
        <v>2884</v>
      </c>
    </row>
    <row r="752" spans="1:3" hidden="1" x14ac:dyDescent="0.35">
      <c r="A752">
        <v>199</v>
      </c>
      <c r="B752" s="7" t="s">
        <v>3276</v>
      </c>
      <c r="C752" t="s">
        <v>2884</v>
      </c>
    </row>
    <row r="753" spans="1:3" hidden="1" x14ac:dyDescent="0.35">
      <c r="A753">
        <v>199</v>
      </c>
      <c r="B753" t="s">
        <v>3109</v>
      </c>
      <c r="C753" t="s">
        <v>357</v>
      </c>
    </row>
    <row r="754" spans="1:3" hidden="1" x14ac:dyDescent="0.35">
      <c r="A754">
        <v>199</v>
      </c>
      <c r="B754" s="7" t="s">
        <v>3277</v>
      </c>
      <c r="C754" t="s">
        <v>2884</v>
      </c>
    </row>
    <row r="755" spans="1:3" hidden="1" x14ac:dyDescent="0.35">
      <c r="A755">
        <v>199</v>
      </c>
      <c r="B755" s="7" t="s">
        <v>3278</v>
      </c>
      <c r="C755" t="s">
        <v>2886</v>
      </c>
    </row>
    <row r="756" spans="1:3" hidden="1" x14ac:dyDescent="0.35">
      <c r="A756">
        <v>203</v>
      </c>
      <c r="B756" s="7" t="s">
        <v>3279</v>
      </c>
      <c r="C756" t="s">
        <v>2884</v>
      </c>
    </row>
    <row r="757" spans="1:3" hidden="1" x14ac:dyDescent="0.35">
      <c r="A757">
        <v>203</v>
      </c>
      <c r="B757" t="s">
        <v>3280</v>
      </c>
      <c r="C757" t="s">
        <v>2914</v>
      </c>
    </row>
    <row r="758" spans="1:3" hidden="1" x14ac:dyDescent="0.35">
      <c r="A758">
        <v>221</v>
      </c>
      <c r="B758" s="78" t="s">
        <v>3281</v>
      </c>
      <c r="C758" t="s">
        <v>2884</v>
      </c>
    </row>
    <row r="759" spans="1:3" hidden="1" x14ac:dyDescent="0.35">
      <c r="A759">
        <v>221</v>
      </c>
      <c r="B759" s="78" t="s">
        <v>3282</v>
      </c>
      <c r="C759" t="s">
        <v>2884</v>
      </c>
    </row>
    <row r="760" spans="1:3" hidden="1" x14ac:dyDescent="0.35">
      <c r="A760">
        <v>221</v>
      </c>
      <c r="B760" s="78" t="s">
        <v>3283</v>
      </c>
      <c r="C760" t="s">
        <v>2884</v>
      </c>
    </row>
    <row r="761" spans="1:3" hidden="1" x14ac:dyDescent="0.35">
      <c r="A761">
        <v>221</v>
      </c>
      <c r="B761" s="78" t="s">
        <v>3284</v>
      </c>
      <c r="C761" t="s">
        <v>2884</v>
      </c>
    </row>
    <row r="762" spans="1:3" hidden="1" x14ac:dyDescent="0.35">
      <c r="A762">
        <v>221</v>
      </c>
      <c r="B762" s="78" t="s">
        <v>3285</v>
      </c>
      <c r="C762" t="s">
        <v>2884</v>
      </c>
    </row>
    <row r="763" spans="1:3" hidden="1" x14ac:dyDescent="0.35">
      <c r="A763">
        <v>221</v>
      </c>
      <c r="B763" t="s">
        <v>357</v>
      </c>
      <c r="C763" t="s">
        <v>357</v>
      </c>
    </row>
    <row r="764" spans="1:3" hidden="1" x14ac:dyDescent="0.35">
      <c r="A764">
        <v>221</v>
      </c>
      <c r="B764" t="s">
        <v>3109</v>
      </c>
      <c r="C764" t="s">
        <v>357</v>
      </c>
    </row>
    <row r="765" spans="1:3" hidden="1" x14ac:dyDescent="0.35">
      <c r="A765">
        <v>223</v>
      </c>
      <c r="B765" s="2" t="s">
        <v>3286</v>
      </c>
      <c r="C765" t="s">
        <v>2888</v>
      </c>
    </row>
    <row r="766" spans="1:3" hidden="1" x14ac:dyDescent="0.35">
      <c r="A766">
        <v>223</v>
      </c>
      <c r="B766" s="2" t="s">
        <v>3287</v>
      </c>
      <c r="C766" t="s">
        <v>2888</v>
      </c>
    </row>
    <row r="767" spans="1:3" hidden="1" x14ac:dyDescent="0.35">
      <c r="A767">
        <v>223</v>
      </c>
      <c r="B767" s="82" t="s">
        <v>2459</v>
      </c>
      <c r="C767" t="s">
        <v>2888</v>
      </c>
    </row>
    <row r="768" spans="1:3" hidden="1" x14ac:dyDescent="0.35">
      <c r="A768">
        <v>223</v>
      </c>
      <c r="B768" s="42" t="s">
        <v>3288</v>
      </c>
      <c r="C768" t="s">
        <v>2890</v>
      </c>
    </row>
    <row r="769" spans="1:3" hidden="1" x14ac:dyDescent="0.35">
      <c r="A769">
        <v>223</v>
      </c>
      <c r="B769" s="42" t="s">
        <v>2471</v>
      </c>
      <c r="C769" t="s">
        <v>2890</v>
      </c>
    </row>
    <row r="770" spans="1:3" hidden="1" x14ac:dyDescent="0.35">
      <c r="A770">
        <v>223</v>
      </c>
      <c r="B770" t="s">
        <v>3289</v>
      </c>
      <c r="C770" t="s">
        <v>2888</v>
      </c>
    </row>
    <row r="771" spans="1:3" hidden="1" x14ac:dyDescent="0.35">
      <c r="A771">
        <v>223</v>
      </c>
      <c r="B771" t="s">
        <v>3109</v>
      </c>
      <c r="C771" t="s">
        <v>357</v>
      </c>
    </row>
    <row r="772" spans="1:3" hidden="1" x14ac:dyDescent="0.35">
      <c r="A772">
        <v>223</v>
      </c>
      <c r="B772" s="42" t="s">
        <v>352</v>
      </c>
      <c r="C772" t="s">
        <v>2890</v>
      </c>
    </row>
    <row r="773" spans="1:3" hidden="1" x14ac:dyDescent="0.35">
      <c r="A773">
        <v>225</v>
      </c>
      <c r="B773" s="7" t="s">
        <v>3290</v>
      </c>
      <c r="C773" t="s">
        <v>2884</v>
      </c>
    </row>
    <row r="774" spans="1:3" hidden="1" x14ac:dyDescent="0.35">
      <c r="A774">
        <v>225</v>
      </c>
      <c r="B774" t="s">
        <v>357</v>
      </c>
      <c r="C774" t="s">
        <v>357</v>
      </c>
    </row>
    <row r="775" spans="1:3" hidden="1" x14ac:dyDescent="0.35">
      <c r="A775">
        <v>225</v>
      </c>
    </row>
    <row r="776" spans="1:3" hidden="1" x14ac:dyDescent="0.35">
      <c r="A776">
        <v>225</v>
      </c>
      <c r="B776" s="82" t="s">
        <v>3291</v>
      </c>
      <c r="C776" t="s">
        <v>2888</v>
      </c>
    </row>
    <row r="777" spans="1:3" hidden="1" x14ac:dyDescent="0.35">
      <c r="A777">
        <v>225</v>
      </c>
      <c r="B777" s="42" t="s">
        <v>3052</v>
      </c>
      <c r="C777" t="s">
        <v>2890</v>
      </c>
    </row>
    <row r="778" spans="1:3" hidden="1" x14ac:dyDescent="0.35">
      <c r="A778">
        <v>225</v>
      </c>
      <c r="B778" s="78" t="s">
        <v>3292</v>
      </c>
      <c r="C778" t="s">
        <v>2884</v>
      </c>
    </row>
    <row r="779" spans="1:3" hidden="1" x14ac:dyDescent="0.35">
      <c r="A779">
        <v>225</v>
      </c>
      <c r="B779" s="78" t="s">
        <v>3199</v>
      </c>
      <c r="C779" t="s">
        <v>2884</v>
      </c>
    </row>
    <row r="780" spans="1:3" hidden="1" x14ac:dyDescent="0.35">
      <c r="A780">
        <v>225</v>
      </c>
      <c r="B780" s="78" t="s">
        <v>3293</v>
      </c>
      <c r="C780" t="s">
        <v>2884</v>
      </c>
    </row>
    <row r="781" spans="1:3" hidden="1" x14ac:dyDescent="0.35">
      <c r="A781">
        <v>225</v>
      </c>
      <c r="B781" s="7" t="s">
        <v>3025</v>
      </c>
      <c r="C781" t="s">
        <v>2884</v>
      </c>
    </row>
    <row r="782" spans="1:3" hidden="1" x14ac:dyDescent="0.35">
      <c r="A782">
        <v>225</v>
      </c>
      <c r="B782" s="7" t="s">
        <v>3055</v>
      </c>
      <c r="C782" t="s">
        <v>2884</v>
      </c>
    </row>
    <row r="783" spans="1:3" hidden="1" x14ac:dyDescent="0.35">
      <c r="A783">
        <v>225</v>
      </c>
      <c r="B783" s="17" t="s">
        <v>3004</v>
      </c>
      <c r="C783" t="s">
        <v>2886</v>
      </c>
    </row>
    <row r="784" spans="1:3" hidden="1" x14ac:dyDescent="0.35">
      <c r="A784">
        <v>225</v>
      </c>
      <c r="B784" s="78" t="s">
        <v>3294</v>
      </c>
      <c r="C784" t="s">
        <v>2884</v>
      </c>
    </row>
    <row r="785" spans="1:3" hidden="1" x14ac:dyDescent="0.35">
      <c r="A785">
        <v>231</v>
      </c>
      <c r="B785" t="s">
        <v>27</v>
      </c>
      <c r="C785" t="s">
        <v>2888</v>
      </c>
    </row>
    <row r="786" spans="1:3" hidden="1" x14ac:dyDescent="0.35">
      <c r="A786">
        <v>238</v>
      </c>
      <c r="B786" t="s">
        <v>3295</v>
      </c>
      <c r="C786" t="s">
        <v>2890</v>
      </c>
    </row>
    <row r="787" spans="1:3" hidden="1" x14ac:dyDescent="0.35">
      <c r="A787">
        <v>238</v>
      </c>
      <c r="B787" s="11" t="s">
        <v>3296</v>
      </c>
      <c r="C787" t="s">
        <v>2886</v>
      </c>
    </row>
    <row r="788" spans="1:3" hidden="1" x14ac:dyDescent="0.35">
      <c r="A788">
        <v>238</v>
      </c>
      <c r="B788" s="7" t="s">
        <v>3297</v>
      </c>
      <c r="C788" t="s">
        <v>2884</v>
      </c>
    </row>
    <row r="789" spans="1:3" hidden="1" x14ac:dyDescent="0.35">
      <c r="A789">
        <v>238</v>
      </c>
      <c r="B789" s="7" t="s">
        <v>3298</v>
      </c>
      <c r="C789" t="s">
        <v>2884</v>
      </c>
    </row>
    <row r="790" spans="1:3" hidden="1" x14ac:dyDescent="0.35">
      <c r="A790">
        <v>238</v>
      </c>
      <c r="B790" s="7" t="s">
        <v>3299</v>
      </c>
      <c r="C790" t="s">
        <v>2884</v>
      </c>
    </row>
    <row r="791" spans="1:3" hidden="1" x14ac:dyDescent="0.35">
      <c r="A791">
        <v>238</v>
      </c>
      <c r="B791" s="2" t="s">
        <v>3300</v>
      </c>
      <c r="C791" t="s">
        <v>2888</v>
      </c>
    </row>
    <row r="792" spans="1:3" hidden="1" x14ac:dyDescent="0.35">
      <c r="A792">
        <v>238</v>
      </c>
      <c r="B792" s="2" t="s">
        <v>3301</v>
      </c>
      <c r="C792" t="s">
        <v>2888</v>
      </c>
    </row>
    <row r="793" spans="1:3" hidden="1" x14ac:dyDescent="0.35">
      <c r="A793">
        <v>238</v>
      </c>
      <c r="B793" s="2" t="s">
        <v>3302</v>
      </c>
      <c r="C793" t="s">
        <v>2888</v>
      </c>
    </row>
    <row r="794" spans="1:3" hidden="1" x14ac:dyDescent="0.35">
      <c r="A794">
        <v>238</v>
      </c>
      <c r="B794" t="s">
        <v>3303</v>
      </c>
      <c r="C794" t="s">
        <v>2890</v>
      </c>
    </row>
    <row r="795" spans="1:3" hidden="1" x14ac:dyDescent="0.35">
      <c r="A795">
        <v>244</v>
      </c>
      <c r="B795" t="s">
        <v>3304</v>
      </c>
      <c r="C795" t="s">
        <v>2890</v>
      </c>
    </row>
    <row r="796" spans="1:3" hidden="1" x14ac:dyDescent="0.35">
      <c r="A796">
        <v>244</v>
      </c>
      <c r="B796" t="s">
        <v>3305</v>
      </c>
      <c r="C796" t="s">
        <v>357</v>
      </c>
    </row>
    <row r="797" spans="1:3" hidden="1" x14ac:dyDescent="0.35">
      <c r="A797">
        <v>244</v>
      </c>
      <c r="B797" s="17" t="s">
        <v>987</v>
      </c>
      <c r="C797" t="s">
        <v>2886</v>
      </c>
    </row>
    <row r="798" spans="1:3" hidden="1" x14ac:dyDescent="0.35">
      <c r="A798">
        <v>244</v>
      </c>
      <c r="B798" t="s">
        <v>601</v>
      </c>
      <c r="C798" t="s">
        <v>2890</v>
      </c>
    </row>
    <row r="799" spans="1:3" hidden="1" x14ac:dyDescent="0.35">
      <c r="A799">
        <v>244</v>
      </c>
      <c r="B799" t="s">
        <v>3306</v>
      </c>
      <c r="C799" t="s">
        <v>2888</v>
      </c>
    </row>
    <row r="800" spans="1:3" hidden="1" x14ac:dyDescent="0.35">
      <c r="A800">
        <v>244</v>
      </c>
      <c r="B800" s="24" t="s">
        <v>3307</v>
      </c>
      <c r="C800" t="s">
        <v>2886</v>
      </c>
    </row>
    <row r="801" spans="1:3" hidden="1" x14ac:dyDescent="0.35">
      <c r="A801">
        <v>244</v>
      </c>
      <c r="B801" s="7" t="s">
        <v>3308</v>
      </c>
      <c r="C801" t="s">
        <v>2886</v>
      </c>
    </row>
    <row r="802" spans="1:3" hidden="1" x14ac:dyDescent="0.35">
      <c r="A802">
        <v>244</v>
      </c>
      <c r="B802" s="7" t="s">
        <v>3186</v>
      </c>
      <c r="C802" t="s">
        <v>2884</v>
      </c>
    </row>
    <row r="803" spans="1:3" hidden="1" x14ac:dyDescent="0.35">
      <c r="A803">
        <v>244</v>
      </c>
      <c r="B803" s="7" t="s">
        <v>3025</v>
      </c>
      <c r="C803" t="s">
        <v>2884</v>
      </c>
    </row>
    <row r="804" spans="1:3" hidden="1" x14ac:dyDescent="0.35">
      <c r="A804">
        <v>244</v>
      </c>
      <c r="B804" s="7" t="s">
        <v>3055</v>
      </c>
      <c r="C804" t="s">
        <v>2884</v>
      </c>
    </row>
    <row r="805" spans="1:3" hidden="1" x14ac:dyDescent="0.35">
      <c r="A805">
        <v>244</v>
      </c>
      <c r="B805" s="78" t="s">
        <v>3309</v>
      </c>
      <c r="C805" t="s">
        <v>2884</v>
      </c>
    </row>
    <row r="806" spans="1:3" hidden="1" x14ac:dyDescent="0.35">
      <c r="A806">
        <v>244</v>
      </c>
      <c r="B806" s="78" t="s">
        <v>3310</v>
      </c>
      <c r="C806" t="s">
        <v>2884</v>
      </c>
    </row>
    <row r="807" spans="1:3" hidden="1" x14ac:dyDescent="0.35">
      <c r="A807">
        <v>244</v>
      </c>
      <c r="B807" s="78" t="s">
        <v>3311</v>
      </c>
      <c r="C807" t="s">
        <v>2884</v>
      </c>
    </row>
    <row r="808" spans="1:3" hidden="1" x14ac:dyDescent="0.35">
      <c r="A808">
        <v>264</v>
      </c>
      <c r="B808" t="s">
        <v>1472</v>
      </c>
      <c r="C808" t="s">
        <v>1472</v>
      </c>
    </row>
    <row r="809" spans="1:3" hidden="1" x14ac:dyDescent="0.35">
      <c r="A809">
        <v>264</v>
      </c>
      <c r="B809" t="s">
        <v>1482</v>
      </c>
      <c r="C809" t="s">
        <v>2890</v>
      </c>
    </row>
    <row r="810" spans="1:3" hidden="1" x14ac:dyDescent="0.35">
      <c r="A810">
        <v>267</v>
      </c>
      <c r="B810" t="s">
        <v>3312</v>
      </c>
      <c r="C810" t="s">
        <v>2886</v>
      </c>
    </row>
    <row r="811" spans="1:3" hidden="1" x14ac:dyDescent="0.35">
      <c r="A811">
        <v>267</v>
      </c>
      <c r="B811" s="77" t="s">
        <v>3313</v>
      </c>
      <c r="C811" t="s">
        <v>2884</v>
      </c>
    </row>
    <row r="812" spans="1:3" hidden="1" x14ac:dyDescent="0.35">
      <c r="A812">
        <v>267</v>
      </c>
      <c r="B812" t="s">
        <v>3314</v>
      </c>
      <c r="C812" t="s">
        <v>2890</v>
      </c>
    </row>
    <row r="813" spans="1:3" hidden="1" x14ac:dyDescent="0.35">
      <c r="A813">
        <v>267</v>
      </c>
      <c r="B813" t="s">
        <v>3315</v>
      </c>
      <c r="C813" t="s">
        <v>2890</v>
      </c>
    </row>
    <row r="814" spans="1:3" hidden="1" x14ac:dyDescent="0.35">
      <c r="A814">
        <v>267</v>
      </c>
      <c r="B814" s="77" t="s">
        <v>3316</v>
      </c>
      <c r="C814" t="s">
        <v>2884</v>
      </c>
    </row>
    <row r="815" spans="1:3" hidden="1" x14ac:dyDescent="0.35">
      <c r="A815">
        <v>267</v>
      </c>
      <c r="B815" t="s">
        <v>160</v>
      </c>
      <c r="C815" t="s">
        <v>357</v>
      </c>
    </row>
    <row r="816" spans="1:3" hidden="1" x14ac:dyDescent="0.35">
      <c r="A816">
        <v>268</v>
      </c>
      <c r="B816" s="2" t="s">
        <v>3317</v>
      </c>
      <c r="C816" t="s">
        <v>2888</v>
      </c>
    </row>
    <row r="817" spans="1:3" hidden="1" x14ac:dyDescent="0.35">
      <c r="A817">
        <v>268</v>
      </c>
      <c r="B817" s="77" t="s">
        <v>3318</v>
      </c>
      <c r="C817" t="s">
        <v>2884</v>
      </c>
    </row>
    <row r="818" spans="1:3" hidden="1" x14ac:dyDescent="0.35">
      <c r="A818">
        <v>268</v>
      </c>
      <c r="B818" s="7" t="s">
        <v>3319</v>
      </c>
      <c r="C818" t="s">
        <v>2884</v>
      </c>
    </row>
    <row r="819" spans="1:3" hidden="1" x14ac:dyDescent="0.35">
      <c r="A819">
        <v>268</v>
      </c>
      <c r="B819" s="77" t="s">
        <v>3320</v>
      </c>
      <c r="C819" t="s">
        <v>2884</v>
      </c>
    </row>
    <row r="820" spans="1:3" hidden="1" x14ac:dyDescent="0.35">
      <c r="A820">
        <v>268</v>
      </c>
      <c r="B820" s="2" t="s">
        <v>3321</v>
      </c>
      <c r="C820" t="s">
        <v>2888</v>
      </c>
    </row>
    <row r="821" spans="1:3" hidden="1" x14ac:dyDescent="0.35">
      <c r="A821">
        <v>268</v>
      </c>
      <c r="B821" s="7" t="s">
        <v>3025</v>
      </c>
      <c r="C821" t="s">
        <v>2884</v>
      </c>
    </row>
    <row r="822" spans="1:3" hidden="1" x14ac:dyDescent="0.35">
      <c r="A822">
        <v>268</v>
      </c>
      <c r="B822" s="77" t="s">
        <v>3322</v>
      </c>
      <c r="C822" t="s">
        <v>2884</v>
      </c>
    </row>
    <row r="823" spans="1:3" hidden="1" x14ac:dyDescent="0.35">
      <c r="A823">
        <v>268</v>
      </c>
      <c r="B823" t="s">
        <v>225</v>
      </c>
      <c r="C823" t="s">
        <v>2890</v>
      </c>
    </row>
    <row r="824" spans="1:3" hidden="1" x14ac:dyDescent="0.35">
      <c r="A824">
        <v>269</v>
      </c>
      <c r="B824" s="78" t="s">
        <v>3323</v>
      </c>
      <c r="C824" t="s">
        <v>2884</v>
      </c>
    </row>
    <row r="825" spans="1:3" hidden="1" x14ac:dyDescent="0.35">
      <c r="A825">
        <v>269</v>
      </c>
      <c r="B825" s="7" t="s">
        <v>3025</v>
      </c>
      <c r="C825" t="s">
        <v>2884</v>
      </c>
    </row>
    <row r="826" spans="1:3" hidden="1" x14ac:dyDescent="0.35">
      <c r="A826">
        <v>269</v>
      </c>
      <c r="B826" t="s">
        <v>2999</v>
      </c>
      <c r="C826" t="s">
        <v>357</v>
      </c>
    </row>
    <row r="827" spans="1:3" hidden="1" x14ac:dyDescent="0.35">
      <c r="A827">
        <v>269</v>
      </c>
      <c r="B827" t="s">
        <v>3324</v>
      </c>
      <c r="C827" t="s">
        <v>2890</v>
      </c>
    </row>
    <row r="828" spans="1:3" hidden="1" x14ac:dyDescent="0.35">
      <c r="A828">
        <v>281</v>
      </c>
      <c r="B828" t="s">
        <v>103</v>
      </c>
      <c r="C828" t="s">
        <v>357</v>
      </c>
    </row>
    <row r="829" spans="1:3" hidden="1" x14ac:dyDescent="0.35">
      <c r="A829">
        <v>281</v>
      </c>
      <c r="B829" s="2" t="s">
        <v>3325</v>
      </c>
      <c r="C829" t="s">
        <v>2888</v>
      </c>
    </row>
    <row r="830" spans="1:3" hidden="1" x14ac:dyDescent="0.35">
      <c r="A830">
        <v>281</v>
      </c>
      <c r="B830" s="2" t="s">
        <v>3326</v>
      </c>
      <c r="C830" t="s">
        <v>2888</v>
      </c>
    </row>
    <row r="831" spans="1:3" hidden="1" x14ac:dyDescent="0.35">
      <c r="A831">
        <v>281</v>
      </c>
      <c r="B831" s="2" t="s">
        <v>3327</v>
      </c>
      <c r="C831" t="s">
        <v>2888</v>
      </c>
    </row>
    <row r="832" spans="1:3" hidden="1" x14ac:dyDescent="0.35">
      <c r="A832">
        <v>281</v>
      </c>
      <c r="B832" s="2" t="s">
        <v>3328</v>
      </c>
      <c r="C832" t="s">
        <v>2888</v>
      </c>
    </row>
    <row r="833" spans="1:3" hidden="1" x14ac:dyDescent="0.35">
      <c r="A833">
        <v>281</v>
      </c>
      <c r="B833" s="17" t="s">
        <v>3004</v>
      </c>
      <c r="C833" t="s">
        <v>2886</v>
      </c>
    </row>
    <row r="834" spans="1:3" hidden="1" x14ac:dyDescent="0.35">
      <c r="A834">
        <v>281</v>
      </c>
      <c r="B834" s="7" t="s">
        <v>3055</v>
      </c>
      <c r="C834" t="s">
        <v>2884</v>
      </c>
    </row>
    <row r="835" spans="1:3" hidden="1" x14ac:dyDescent="0.35">
      <c r="A835">
        <v>281</v>
      </c>
      <c r="B835" t="s">
        <v>3329</v>
      </c>
      <c r="C835" t="s">
        <v>2890</v>
      </c>
    </row>
    <row r="836" spans="1:3" hidden="1" x14ac:dyDescent="0.35">
      <c r="A836">
        <v>298</v>
      </c>
      <c r="B836" t="s">
        <v>3330</v>
      </c>
      <c r="C836" t="s">
        <v>2888</v>
      </c>
    </row>
    <row r="837" spans="1:3" hidden="1" x14ac:dyDescent="0.35">
      <c r="A837">
        <v>298</v>
      </c>
      <c r="B837" t="s">
        <v>3331</v>
      </c>
      <c r="C837" t="s">
        <v>357</v>
      </c>
    </row>
    <row r="838" spans="1:3" hidden="1" x14ac:dyDescent="0.35">
      <c r="A838">
        <v>298</v>
      </c>
      <c r="B838" t="s">
        <v>3332</v>
      </c>
      <c r="C838" t="s">
        <v>2886</v>
      </c>
    </row>
    <row r="839" spans="1:3" hidden="1" x14ac:dyDescent="0.35">
      <c r="A839">
        <v>298</v>
      </c>
      <c r="B839" t="s">
        <v>3333</v>
      </c>
      <c r="C839" t="s">
        <v>357</v>
      </c>
    </row>
    <row r="840" spans="1:3" hidden="1" x14ac:dyDescent="0.35">
      <c r="A840">
        <v>320</v>
      </c>
      <c r="B840" t="s">
        <v>144</v>
      </c>
      <c r="C840" t="s">
        <v>2890</v>
      </c>
    </row>
    <row r="841" spans="1:3" hidden="1" x14ac:dyDescent="0.35">
      <c r="A841">
        <v>320</v>
      </c>
      <c r="B841" t="s">
        <v>3334</v>
      </c>
      <c r="C841" t="s">
        <v>2890</v>
      </c>
    </row>
    <row r="842" spans="1:3" hidden="1" x14ac:dyDescent="0.35">
      <c r="A842">
        <v>320</v>
      </c>
      <c r="B842" t="s">
        <v>3335</v>
      </c>
      <c r="C842" t="s">
        <v>2890</v>
      </c>
    </row>
    <row r="843" spans="1:3" hidden="1" x14ac:dyDescent="0.35">
      <c r="A843">
        <v>320</v>
      </c>
      <c r="B843" t="s">
        <v>3336</v>
      </c>
      <c r="C843" t="s">
        <v>2890</v>
      </c>
    </row>
    <row r="844" spans="1:3" hidden="1" x14ac:dyDescent="0.35">
      <c r="A844">
        <v>320</v>
      </c>
      <c r="B844" t="s">
        <v>3337</v>
      </c>
      <c r="C844" t="s">
        <v>2890</v>
      </c>
    </row>
    <row r="845" spans="1:3" hidden="1" x14ac:dyDescent="0.35">
      <c r="A845">
        <v>320</v>
      </c>
      <c r="B845" t="s">
        <v>1506</v>
      </c>
      <c r="C845" t="s">
        <v>2884</v>
      </c>
    </row>
    <row r="846" spans="1:3" hidden="1" x14ac:dyDescent="0.35">
      <c r="A846">
        <v>324</v>
      </c>
      <c r="B846" t="s">
        <v>3338</v>
      </c>
      <c r="C846" t="s">
        <v>3338</v>
      </c>
    </row>
    <row r="847" spans="1:3" hidden="1" x14ac:dyDescent="0.35">
      <c r="A847">
        <v>324</v>
      </c>
      <c r="B847" t="s">
        <v>3339</v>
      </c>
      <c r="C847" t="s">
        <v>3339</v>
      </c>
    </row>
    <row r="848" spans="1:3" hidden="1" x14ac:dyDescent="0.35">
      <c r="A848">
        <v>324</v>
      </c>
      <c r="B848" t="s">
        <v>3340</v>
      </c>
      <c r="C848" t="s">
        <v>3340</v>
      </c>
    </row>
    <row r="849" spans="1:3" hidden="1" x14ac:dyDescent="0.35">
      <c r="A849">
        <v>324</v>
      </c>
      <c r="B849" s="7" t="s">
        <v>3341</v>
      </c>
      <c r="C849" t="s">
        <v>2886</v>
      </c>
    </row>
    <row r="850" spans="1:3" hidden="1" x14ac:dyDescent="0.35">
      <c r="A850">
        <v>324</v>
      </c>
      <c r="B850" s="17" t="s">
        <v>3131</v>
      </c>
      <c r="C850" t="s">
        <v>2886</v>
      </c>
    </row>
    <row r="851" spans="1:3" hidden="1" x14ac:dyDescent="0.35">
      <c r="A851">
        <v>333</v>
      </c>
      <c r="B851" s="7" t="s">
        <v>2893</v>
      </c>
      <c r="C851" t="s">
        <v>2884</v>
      </c>
    </row>
    <row r="852" spans="1:3" hidden="1" x14ac:dyDescent="0.35">
      <c r="A852">
        <v>333</v>
      </c>
      <c r="B852" t="s">
        <v>225</v>
      </c>
      <c r="C852" t="s">
        <v>2890</v>
      </c>
    </row>
    <row r="853" spans="1:3" x14ac:dyDescent="0.35">
      <c r="A853">
        <v>333</v>
      </c>
      <c r="B853" t="s">
        <v>2566</v>
      </c>
      <c r="C853" t="s">
        <v>2892</v>
      </c>
    </row>
    <row r="854" spans="1:3" hidden="1" x14ac:dyDescent="0.35">
      <c r="A854">
        <v>333</v>
      </c>
      <c r="B854" t="s">
        <v>3342</v>
      </c>
      <c r="C854" t="s">
        <v>2884</v>
      </c>
    </row>
    <row r="855" spans="1:3" hidden="1" x14ac:dyDescent="0.35">
      <c r="A855">
        <v>335</v>
      </c>
      <c r="B855" s="78" t="s">
        <v>3343</v>
      </c>
      <c r="C855" t="s">
        <v>2884</v>
      </c>
    </row>
    <row r="856" spans="1:3" hidden="1" x14ac:dyDescent="0.35">
      <c r="A856">
        <v>335</v>
      </c>
      <c r="B856" s="77" t="s">
        <v>3344</v>
      </c>
      <c r="C856" t="s">
        <v>2884</v>
      </c>
    </row>
    <row r="857" spans="1:3" hidden="1" x14ac:dyDescent="0.35">
      <c r="A857">
        <v>335</v>
      </c>
      <c r="B857" s="7" t="s">
        <v>3345</v>
      </c>
      <c r="C857" t="s">
        <v>2884</v>
      </c>
    </row>
    <row r="858" spans="1:3" hidden="1" x14ac:dyDescent="0.35">
      <c r="A858">
        <v>335</v>
      </c>
      <c r="B858" t="s">
        <v>3346</v>
      </c>
      <c r="C858" t="s">
        <v>2890</v>
      </c>
    </row>
    <row r="859" spans="1:3" hidden="1" x14ac:dyDescent="0.35">
      <c r="A859">
        <v>335</v>
      </c>
      <c r="B859" t="s">
        <v>3347</v>
      </c>
      <c r="C859" t="s">
        <v>2890</v>
      </c>
    </row>
    <row r="860" spans="1:3" hidden="1" x14ac:dyDescent="0.35">
      <c r="A860">
        <v>335</v>
      </c>
      <c r="B860" s="17" t="s">
        <v>401</v>
      </c>
      <c r="C860" t="s">
        <v>2886</v>
      </c>
    </row>
    <row r="861" spans="1:3" x14ac:dyDescent="0.35">
      <c r="A861">
        <v>335</v>
      </c>
      <c r="B861" t="s">
        <v>2566</v>
      </c>
      <c r="C861" t="s">
        <v>2892</v>
      </c>
    </row>
    <row r="862" spans="1:3" hidden="1" x14ac:dyDescent="0.35">
      <c r="A862">
        <v>335</v>
      </c>
      <c r="B862" s="78" t="s">
        <v>3348</v>
      </c>
      <c r="C862" t="s">
        <v>2884</v>
      </c>
    </row>
    <row r="863" spans="1:3" hidden="1" x14ac:dyDescent="0.35">
      <c r="A863">
        <v>335</v>
      </c>
      <c r="B863" t="s">
        <v>3349</v>
      </c>
      <c r="C863" t="s">
        <v>2890</v>
      </c>
    </row>
    <row r="864" spans="1:3" hidden="1" x14ac:dyDescent="0.35">
      <c r="A864">
        <v>335</v>
      </c>
      <c r="B864" t="s">
        <v>3350</v>
      </c>
      <c r="C864" t="s">
        <v>2890</v>
      </c>
    </row>
    <row r="865" spans="1:3" hidden="1" x14ac:dyDescent="0.35">
      <c r="A865">
        <v>335</v>
      </c>
      <c r="B865" t="s">
        <v>3351</v>
      </c>
      <c r="C865" t="s">
        <v>2888</v>
      </c>
    </row>
    <row r="866" spans="1:3" hidden="1" x14ac:dyDescent="0.35">
      <c r="A866">
        <v>335</v>
      </c>
      <c r="B866" t="s">
        <v>3352</v>
      </c>
      <c r="C866" t="s">
        <v>357</v>
      </c>
    </row>
    <row r="867" spans="1:3" hidden="1" x14ac:dyDescent="0.35">
      <c r="A867">
        <v>339</v>
      </c>
      <c r="B867" s="17" t="s">
        <v>1536</v>
      </c>
      <c r="C867" t="s">
        <v>2886</v>
      </c>
    </row>
    <row r="868" spans="1:3" hidden="1" x14ac:dyDescent="0.35">
      <c r="A868">
        <v>344</v>
      </c>
      <c r="B868" t="s">
        <v>3353</v>
      </c>
      <c r="C868" t="s">
        <v>2890</v>
      </c>
    </row>
    <row r="869" spans="1:3" hidden="1" x14ac:dyDescent="0.35">
      <c r="A869">
        <v>344</v>
      </c>
      <c r="B869" t="s">
        <v>357</v>
      </c>
      <c r="C869" t="s">
        <v>357</v>
      </c>
    </row>
    <row r="870" spans="1:3" hidden="1" x14ac:dyDescent="0.35">
      <c r="A870">
        <v>344</v>
      </c>
      <c r="B870" s="78" t="s">
        <v>3354</v>
      </c>
      <c r="C870" t="s">
        <v>2884</v>
      </c>
    </row>
    <row r="871" spans="1:3" hidden="1" x14ac:dyDescent="0.35">
      <c r="A871">
        <v>344</v>
      </c>
      <c r="B871" t="s">
        <v>3355</v>
      </c>
      <c r="C871" t="s">
        <v>2890</v>
      </c>
    </row>
    <row r="872" spans="1:3" hidden="1" x14ac:dyDescent="0.35">
      <c r="A872">
        <v>350</v>
      </c>
      <c r="B872" t="s">
        <v>3356</v>
      </c>
      <c r="C872" t="s">
        <v>2890</v>
      </c>
    </row>
    <row r="873" spans="1:3" hidden="1" x14ac:dyDescent="0.35">
      <c r="A873">
        <v>350</v>
      </c>
      <c r="B873" s="2" t="s">
        <v>3357</v>
      </c>
      <c r="C873" t="s">
        <v>2888</v>
      </c>
    </row>
    <row r="874" spans="1:3" hidden="1" x14ac:dyDescent="0.35">
      <c r="A874">
        <v>350</v>
      </c>
      <c r="B874" s="42" t="s">
        <v>3052</v>
      </c>
      <c r="C874" t="s">
        <v>2890</v>
      </c>
    </row>
    <row r="875" spans="1:3" hidden="1" x14ac:dyDescent="0.35">
      <c r="A875">
        <v>350</v>
      </c>
      <c r="B875" t="s">
        <v>3358</v>
      </c>
      <c r="C875" t="s">
        <v>2890</v>
      </c>
    </row>
    <row r="876" spans="1:3" hidden="1" x14ac:dyDescent="0.35">
      <c r="A876">
        <v>350</v>
      </c>
      <c r="B876" t="s">
        <v>3120</v>
      </c>
      <c r="C876" t="s">
        <v>2890</v>
      </c>
    </row>
    <row r="877" spans="1:3" hidden="1" x14ac:dyDescent="0.35">
      <c r="A877">
        <v>351</v>
      </c>
      <c r="B877" s="78" t="s">
        <v>3359</v>
      </c>
      <c r="C877" t="s">
        <v>2884</v>
      </c>
    </row>
    <row r="878" spans="1:3" hidden="1" x14ac:dyDescent="0.35">
      <c r="A878">
        <v>351</v>
      </c>
      <c r="B878" s="42" t="s">
        <v>76</v>
      </c>
      <c r="C878" t="s">
        <v>2890</v>
      </c>
    </row>
    <row r="879" spans="1:3" hidden="1" x14ac:dyDescent="0.35">
      <c r="A879">
        <v>351</v>
      </c>
      <c r="B879" t="s">
        <v>3360</v>
      </c>
      <c r="C879" t="s">
        <v>2888</v>
      </c>
    </row>
    <row r="880" spans="1:3" hidden="1" x14ac:dyDescent="0.35">
      <c r="A880">
        <v>351</v>
      </c>
      <c r="B880" t="s">
        <v>590</v>
      </c>
      <c r="C880" t="s">
        <v>357</v>
      </c>
    </row>
    <row r="881" spans="1:3" hidden="1" x14ac:dyDescent="0.35">
      <c r="A881">
        <v>357</v>
      </c>
      <c r="B881" t="s">
        <v>357</v>
      </c>
      <c r="C881" t="s">
        <v>357</v>
      </c>
    </row>
    <row r="882" spans="1:3" hidden="1" x14ac:dyDescent="0.35">
      <c r="A882">
        <v>357</v>
      </c>
      <c r="B882" s="5" t="s">
        <v>1543</v>
      </c>
      <c r="C882" t="s">
        <v>2886</v>
      </c>
    </row>
    <row r="883" spans="1:3" hidden="1" x14ac:dyDescent="0.35">
      <c r="A883">
        <v>357</v>
      </c>
      <c r="B883" t="s">
        <v>3361</v>
      </c>
      <c r="C883" t="s">
        <v>2890</v>
      </c>
    </row>
    <row r="884" spans="1:3" hidden="1" x14ac:dyDescent="0.35">
      <c r="A884">
        <v>361</v>
      </c>
      <c r="B884" s="76" t="s">
        <v>3079</v>
      </c>
      <c r="C884" t="s">
        <v>2886</v>
      </c>
    </row>
    <row r="885" spans="1:3" hidden="1" x14ac:dyDescent="0.35">
      <c r="A885">
        <v>361</v>
      </c>
      <c r="B885" t="s">
        <v>704</v>
      </c>
      <c r="C885" t="s">
        <v>357</v>
      </c>
    </row>
    <row r="886" spans="1:3" hidden="1" x14ac:dyDescent="0.35">
      <c r="A886">
        <v>361</v>
      </c>
      <c r="B886" s="5" t="s">
        <v>1543</v>
      </c>
      <c r="C886" t="s">
        <v>2886</v>
      </c>
    </row>
    <row r="887" spans="1:3" hidden="1" x14ac:dyDescent="0.35">
      <c r="A887">
        <v>361</v>
      </c>
      <c r="B887" s="2" t="s">
        <v>3362</v>
      </c>
      <c r="C887" t="s">
        <v>2888</v>
      </c>
    </row>
    <row r="888" spans="1:3" hidden="1" x14ac:dyDescent="0.35">
      <c r="A888">
        <v>361</v>
      </c>
      <c r="B888" t="s">
        <v>357</v>
      </c>
      <c r="C888" t="s">
        <v>357</v>
      </c>
    </row>
    <row r="889" spans="1:3" hidden="1" x14ac:dyDescent="0.35">
      <c r="A889">
        <v>383</v>
      </c>
      <c r="B889" s="17" t="s">
        <v>401</v>
      </c>
      <c r="C889" t="s">
        <v>2886</v>
      </c>
    </row>
    <row r="890" spans="1:3" hidden="1" x14ac:dyDescent="0.35">
      <c r="A890">
        <v>383</v>
      </c>
      <c r="B890" t="s">
        <v>2934</v>
      </c>
      <c r="C890" t="s">
        <v>2888</v>
      </c>
    </row>
    <row r="891" spans="1:3" hidden="1" x14ac:dyDescent="0.35">
      <c r="A891">
        <v>383</v>
      </c>
      <c r="B891" t="s">
        <v>357</v>
      </c>
      <c r="C891" t="s">
        <v>357</v>
      </c>
    </row>
    <row r="892" spans="1:3" hidden="1" x14ac:dyDescent="0.35">
      <c r="A892">
        <v>387</v>
      </c>
      <c r="B892" s="5" t="s">
        <v>1543</v>
      </c>
      <c r="C892" t="s">
        <v>2886</v>
      </c>
    </row>
    <row r="893" spans="1:3" x14ac:dyDescent="0.35">
      <c r="A893">
        <v>387</v>
      </c>
      <c r="B893" t="s">
        <v>2566</v>
      </c>
      <c r="C893" t="s">
        <v>2892</v>
      </c>
    </row>
    <row r="894" spans="1:3" hidden="1" x14ac:dyDescent="0.35">
      <c r="A894">
        <v>387</v>
      </c>
      <c r="B894" s="74" t="s">
        <v>3363</v>
      </c>
      <c r="C894" t="s">
        <v>2890</v>
      </c>
    </row>
    <row r="895" spans="1:3" hidden="1" x14ac:dyDescent="0.35">
      <c r="A895">
        <v>387</v>
      </c>
      <c r="B895" s="7" t="s">
        <v>3364</v>
      </c>
      <c r="C895" t="s">
        <v>2884</v>
      </c>
    </row>
    <row r="896" spans="1:3" hidden="1" x14ac:dyDescent="0.35">
      <c r="A896">
        <v>387</v>
      </c>
      <c r="B896" s="7" t="s">
        <v>2917</v>
      </c>
      <c r="C896" t="s">
        <v>2884</v>
      </c>
    </row>
    <row r="897" spans="1:3" hidden="1" x14ac:dyDescent="0.35">
      <c r="A897">
        <v>387</v>
      </c>
      <c r="B897" s="7" t="s">
        <v>3365</v>
      </c>
      <c r="C897" t="s">
        <v>2884</v>
      </c>
    </row>
    <row r="898" spans="1:3" x14ac:dyDescent="0.35">
      <c r="A898">
        <v>396</v>
      </c>
      <c r="B898" t="s">
        <v>3366</v>
      </c>
      <c r="C898" t="s">
        <v>2892</v>
      </c>
    </row>
    <row r="899" spans="1:3" hidden="1" x14ac:dyDescent="0.35">
      <c r="A899">
        <v>396</v>
      </c>
      <c r="B899" t="s">
        <v>357</v>
      </c>
      <c r="C899" t="s">
        <v>357</v>
      </c>
    </row>
    <row r="900" spans="1:3" hidden="1" x14ac:dyDescent="0.35">
      <c r="A900">
        <v>422</v>
      </c>
      <c r="B900" s="17" t="s">
        <v>1536</v>
      </c>
      <c r="C900" t="s">
        <v>2886</v>
      </c>
    </row>
    <row r="901" spans="1:3" hidden="1" x14ac:dyDescent="0.35">
      <c r="A901">
        <v>422</v>
      </c>
      <c r="B901" t="s">
        <v>3109</v>
      </c>
      <c r="C901" t="s">
        <v>357</v>
      </c>
    </row>
    <row r="902" spans="1:3" hidden="1" x14ac:dyDescent="0.35">
      <c r="A902">
        <v>422</v>
      </c>
      <c r="B902" s="17" t="s">
        <v>401</v>
      </c>
      <c r="C902" t="s">
        <v>2886</v>
      </c>
    </row>
    <row r="903" spans="1:3" hidden="1" x14ac:dyDescent="0.35">
      <c r="A903">
        <v>423</v>
      </c>
      <c r="B903" s="5" t="s">
        <v>1543</v>
      </c>
      <c r="C903" t="s">
        <v>2886</v>
      </c>
    </row>
    <row r="904" spans="1:3" hidden="1" x14ac:dyDescent="0.35">
      <c r="A904">
        <v>425</v>
      </c>
      <c r="B904" s="5" t="s">
        <v>1543</v>
      </c>
      <c r="C904" t="s">
        <v>2886</v>
      </c>
    </row>
    <row r="905" spans="1:3" hidden="1" x14ac:dyDescent="0.35">
      <c r="A905">
        <v>425</v>
      </c>
      <c r="B905" t="s">
        <v>3367</v>
      </c>
      <c r="C905" t="s">
        <v>2884</v>
      </c>
    </row>
    <row r="906" spans="1:3" hidden="1" x14ac:dyDescent="0.35">
      <c r="A906">
        <v>428</v>
      </c>
      <c r="B906" s="5" t="s">
        <v>1543</v>
      </c>
      <c r="C906" t="s">
        <v>2886</v>
      </c>
    </row>
    <row r="907" spans="1:3" hidden="1" x14ac:dyDescent="0.35">
      <c r="A907">
        <v>428</v>
      </c>
      <c r="B907" t="s">
        <v>357</v>
      </c>
      <c r="C907" t="s">
        <v>357</v>
      </c>
    </row>
    <row r="908" spans="1:3" hidden="1" x14ac:dyDescent="0.35">
      <c r="A908">
        <v>428</v>
      </c>
      <c r="B908" s="2" t="s">
        <v>3054</v>
      </c>
      <c r="C908" t="s">
        <v>2888</v>
      </c>
    </row>
    <row r="909" spans="1:3" x14ac:dyDescent="0.35">
      <c r="A909">
        <v>432</v>
      </c>
      <c r="B909" t="s">
        <v>1558</v>
      </c>
      <c r="C909" t="s">
        <v>2892</v>
      </c>
    </row>
    <row r="910" spans="1:3" hidden="1" x14ac:dyDescent="0.35">
      <c r="A910">
        <v>432</v>
      </c>
      <c r="B910" t="s">
        <v>357</v>
      </c>
      <c r="C910" t="s">
        <v>357</v>
      </c>
    </row>
    <row r="911" spans="1:3" hidden="1" x14ac:dyDescent="0.35">
      <c r="A911">
        <v>435</v>
      </c>
      <c r="B911" t="s">
        <v>357</v>
      </c>
      <c r="C911" t="s">
        <v>357</v>
      </c>
    </row>
    <row r="912" spans="1:3" hidden="1" x14ac:dyDescent="0.35">
      <c r="A912">
        <v>435</v>
      </c>
      <c r="B912" s="5" t="s">
        <v>3151</v>
      </c>
      <c r="C912" t="s">
        <v>2886</v>
      </c>
    </row>
    <row r="913" spans="1:3" hidden="1" x14ac:dyDescent="0.35">
      <c r="A913">
        <v>435</v>
      </c>
      <c r="B913" s="77" t="s">
        <v>671</v>
      </c>
      <c r="C913" t="s">
        <v>2884</v>
      </c>
    </row>
    <row r="914" spans="1:3" hidden="1" x14ac:dyDescent="0.35">
      <c r="A914">
        <v>448</v>
      </c>
      <c r="B914" t="s">
        <v>704</v>
      </c>
      <c r="C914" t="s">
        <v>357</v>
      </c>
    </row>
    <row r="915" spans="1:3" hidden="1" x14ac:dyDescent="0.35">
      <c r="A915">
        <v>448</v>
      </c>
      <c r="B915" t="s">
        <v>3368</v>
      </c>
      <c r="C915" t="s">
        <v>357</v>
      </c>
    </row>
    <row r="916" spans="1:3" hidden="1" x14ac:dyDescent="0.35">
      <c r="A916">
        <v>448</v>
      </c>
      <c r="B916" s="7" t="s">
        <v>154</v>
      </c>
      <c r="C916" t="s">
        <v>2886</v>
      </c>
    </row>
    <row r="917" spans="1:3" hidden="1" x14ac:dyDescent="0.35">
      <c r="A917">
        <v>450</v>
      </c>
      <c r="B917" s="5" t="s">
        <v>1543</v>
      </c>
      <c r="C917" t="s">
        <v>2886</v>
      </c>
    </row>
    <row r="918" spans="1:3" hidden="1" x14ac:dyDescent="0.35">
      <c r="A918">
        <v>450</v>
      </c>
      <c r="B918" t="s">
        <v>357</v>
      </c>
      <c r="C918" t="s">
        <v>357</v>
      </c>
    </row>
    <row r="919" spans="1:3" hidden="1" x14ac:dyDescent="0.35">
      <c r="A919">
        <v>450</v>
      </c>
      <c r="B919" s="2" t="s">
        <v>3369</v>
      </c>
      <c r="C919" t="s">
        <v>2884</v>
      </c>
    </row>
    <row r="920" spans="1:3" hidden="1" x14ac:dyDescent="0.35">
      <c r="A920">
        <v>450</v>
      </c>
      <c r="B920" s="78" t="s">
        <v>2961</v>
      </c>
      <c r="C920" t="s">
        <v>2884</v>
      </c>
    </row>
    <row r="921" spans="1:3" hidden="1" x14ac:dyDescent="0.35">
      <c r="A921">
        <v>455</v>
      </c>
      <c r="B921" t="s">
        <v>357</v>
      </c>
      <c r="C921" t="s">
        <v>357</v>
      </c>
    </row>
    <row r="922" spans="1:3" hidden="1" x14ac:dyDescent="0.35">
      <c r="A922">
        <v>455</v>
      </c>
      <c r="B922" s="61" t="s">
        <v>36</v>
      </c>
      <c r="C922" t="s">
        <v>2886</v>
      </c>
    </row>
    <row r="923" spans="1:3" hidden="1" x14ac:dyDescent="0.35">
      <c r="A923">
        <v>455</v>
      </c>
      <c r="B923" s="78" t="s">
        <v>2961</v>
      </c>
      <c r="C923" t="s">
        <v>2884</v>
      </c>
    </row>
    <row r="924" spans="1:3" hidden="1" x14ac:dyDescent="0.35">
      <c r="A924">
        <v>455</v>
      </c>
      <c r="B924" s="7" t="s">
        <v>2917</v>
      </c>
      <c r="C924" t="s">
        <v>2884</v>
      </c>
    </row>
    <row r="925" spans="1:3" hidden="1" x14ac:dyDescent="0.35">
      <c r="A925">
        <v>455</v>
      </c>
      <c r="B925" t="s">
        <v>3370</v>
      </c>
      <c r="C925" t="s">
        <v>2888</v>
      </c>
    </row>
    <row r="926" spans="1:3" hidden="1" x14ac:dyDescent="0.35">
      <c r="A926">
        <v>455</v>
      </c>
      <c r="B926" t="s">
        <v>3371</v>
      </c>
      <c r="C926" t="s">
        <v>2890</v>
      </c>
    </row>
    <row r="927" spans="1:3" x14ac:dyDescent="0.35">
      <c r="A927">
        <v>460</v>
      </c>
      <c r="B927" t="s">
        <v>1558</v>
      </c>
      <c r="C927" t="s">
        <v>2892</v>
      </c>
    </row>
    <row r="928" spans="1:3" hidden="1" x14ac:dyDescent="0.35">
      <c r="A928">
        <v>460</v>
      </c>
      <c r="B928" s="42" t="s">
        <v>1557</v>
      </c>
      <c r="C928" t="s">
        <v>2890</v>
      </c>
    </row>
    <row r="929" spans="1:3" hidden="1" x14ac:dyDescent="0.35">
      <c r="A929">
        <v>460</v>
      </c>
      <c r="B929" s="2" t="s">
        <v>2896</v>
      </c>
      <c r="C929" t="s">
        <v>2888</v>
      </c>
    </row>
    <row r="930" spans="1:3" hidden="1" x14ac:dyDescent="0.35">
      <c r="A930">
        <v>462</v>
      </c>
      <c r="B930" s="75" t="s">
        <v>3372</v>
      </c>
      <c r="C930" t="s">
        <v>2886</v>
      </c>
    </row>
    <row r="931" spans="1:3" hidden="1" x14ac:dyDescent="0.35">
      <c r="A931">
        <v>462</v>
      </c>
      <c r="B931" s="75" t="s">
        <v>3373</v>
      </c>
      <c r="C931" t="s">
        <v>2886</v>
      </c>
    </row>
    <row r="932" spans="1:3" hidden="1" x14ac:dyDescent="0.35">
      <c r="A932">
        <v>462</v>
      </c>
      <c r="B932" t="s">
        <v>3374</v>
      </c>
      <c r="C932" t="s">
        <v>2890</v>
      </c>
    </row>
    <row r="933" spans="1:3" hidden="1" x14ac:dyDescent="0.35">
      <c r="A933">
        <v>467</v>
      </c>
      <c r="B933" t="s">
        <v>357</v>
      </c>
      <c r="C933" t="s">
        <v>357</v>
      </c>
    </row>
    <row r="934" spans="1:3" hidden="1" x14ac:dyDescent="0.35">
      <c r="A934">
        <v>467</v>
      </c>
      <c r="B934" s="2" t="s">
        <v>2896</v>
      </c>
      <c r="C934" t="s">
        <v>2888</v>
      </c>
    </row>
    <row r="935" spans="1:3" hidden="1" x14ac:dyDescent="0.35">
      <c r="A935">
        <v>479</v>
      </c>
      <c r="B935" s="77" t="s">
        <v>3375</v>
      </c>
      <c r="C935" t="s">
        <v>2884</v>
      </c>
    </row>
    <row r="936" spans="1:3" hidden="1" x14ac:dyDescent="0.35">
      <c r="A936">
        <v>479</v>
      </c>
      <c r="B936" s="77" t="s">
        <v>3376</v>
      </c>
      <c r="C936" t="s">
        <v>2884</v>
      </c>
    </row>
    <row r="937" spans="1:3" x14ac:dyDescent="0.35">
      <c r="A937">
        <v>479</v>
      </c>
      <c r="B937" t="s">
        <v>2566</v>
      </c>
      <c r="C937" t="s">
        <v>2892</v>
      </c>
    </row>
    <row r="938" spans="1:3" hidden="1" x14ac:dyDescent="0.35">
      <c r="A938">
        <v>482</v>
      </c>
      <c r="B938" t="s">
        <v>3377</v>
      </c>
      <c r="C938" t="s">
        <v>2890</v>
      </c>
    </row>
    <row r="939" spans="1:3" hidden="1" x14ac:dyDescent="0.35">
      <c r="A939">
        <v>482</v>
      </c>
      <c r="B939" t="s">
        <v>3378</v>
      </c>
      <c r="C939" t="s">
        <v>2888</v>
      </c>
    </row>
    <row r="940" spans="1:3" hidden="1" x14ac:dyDescent="0.35">
      <c r="A940">
        <v>482</v>
      </c>
      <c r="B940" t="s">
        <v>225</v>
      </c>
      <c r="C940" t="s">
        <v>2890</v>
      </c>
    </row>
    <row r="941" spans="1:3" hidden="1" x14ac:dyDescent="0.35">
      <c r="A941">
        <v>482</v>
      </c>
      <c r="B941" t="s">
        <v>3379</v>
      </c>
      <c r="C941" t="s">
        <v>2888</v>
      </c>
    </row>
    <row r="942" spans="1:3" hidden="1" x14ac:dyDescent="0.35">
      <c r="A942">
        <v>482</v>
      </c>
      <c r="B942" s="2" t="s">
        <v>3054</v>
      </c>
      <c r="C942" t="s">
        <v>2888</v>
      </c>
    </row>
    <row r="943" spans="1:3" hidden="1" x14ac:dyDescent="0.35">
      <c r="A943">
        <v>482</v>
      </c>
      <c r="B943" s="78" t="s">
        <v>3081</v>
      </c>
      <c r="C943" t="s">
        <v>2884</v>
      </c>
    </row>
    <row r="944" spans="1:3" hidden="1" x14ac:dyDescent="0.35">
      <c r="A944">
        <v>482</v>
      </c>
      <c r="B944" t="s">
        <v>357</v>
      </c>
      <c r="C944" t="s">
        <v>357</v>
      </c>
    </row>
    <row r="945" spans="1:3" hidden="1" x14ac:dyDescent="0.35">
      <c r="A945">
        <v>484</v>
      </c>
      <c r="B945" t="s">
        <v>3355</v>
      </c>
      <c r="C945" t="s">
        <v>2890</v>
      </c>
    </row>
    <row r="946" spans="1:3" hidden="1" x14ac:dyDescent="0.35">
      <c r="A946">
        <v>484</v>
      </c>
      <c r="B946" t="s">
        <v>3380</v>
      </c>
      <c r="C946" t="s">
        <v>2890</v>
      </c>
    </row>
    <row r="947" spans="1:3" hidden="1" x14ac:dyDescent="0.35">
      <c r="A947">
        <v>484</v>
      </c>
      <c r="B947" t="s">
        <v>225</v>
      </c>
      <c r="C947" t="s">
        <v>2890</v>
      </c>
    </row>
    <row r="948" spans="1:3" hidden="1" x14ac:dyDescent="0.35">
      <c r="A948">
        <v>501</v>
      </c>
      <c r="B948" s="5" t="s">
        <v>1543</v>
      </c>
      <c r="C948" t="s">
        <v>2886</v>
      </c>
    </row>
    <row r="949" spans="1:3" hidden="1" x14ac:dyDescent="0.35">
      <c r="A949">
        <v>501</v>
      </c>
      <c r="B949" t="s">
        <v>357</v>
      </c>
      <c r="C949" t="s">
        <v>357</v>
      </c>
    </row>
    <row r="950" spans="1:3" hidden="1" x14ac:dyDescent="0.35">
      <c r="A950">
        <v>501</v>
      </c>
      <c r="B950" t="s">
        <v>3381</v>
      </c>
      <c r="C950" t="s">
        <v>2884</v>
      </c>
    </row>
    <row r="951" spans="1:3" hidden="1" x14ac:dyDescent="0.35">
      <c r="A951">
        <v>501</v>
      </c>
      <c r="B951" t="s">
        <v>3382</v>
      </c>
      <c r="C951" t="s">
        <v>2890</v>
      </c>
    </row>
    <row r="952" spans="1:3" hidden="1" x14ac:dyDescent="0.35">
      <c r="A952">
        <v>506</v>
      </c>
      <c r="B952" t="s">
        <v>3383</v>
      </c>
      <c r="C952" t="s">
        <v>2886</v>
      </c>
    </row>
    <row r="953" spans="1:3" hidden="1" x14ac:dyDescent="0.35">
      <c r="A953">
        <v>506</v>
      </c>
      <c r="B953" t="s">
        <v>225</v>
      </c>
      <c r="C953" t="s">
        <v>2890</v>
      </c>
    </row>
    <row r="954" spans="1:3" hidden="1" x14ac:dyDescent="0.35">
      <c r="A954">
        <v>506</v>
      </c>
      <c r="B954" t="s">
        <v>3384</v>
      </c>
      <c r="C954" t="s">
        <v>2890</v>
      </c>
    </row>
    <row r="955" spans="1:3" hidden="1" x14ac:dyDescent="0.35">
      <c r="A955">
        <v>506</v>
      </c>
      <c r="B955" t="s">
        <v>3385</v>
      </c>
      <c r="C955" t="s">
        <v>2890</v>
      </c>
    </row>
    <row r="956" spans="1:3" hidden="1" x14ac:dyDescent="0.35">
      <c r="A956">
        <v>506</v>
      </c>
      <c r="B956" s="5" t="s">
        <v>1543</v>
      </c>
      <c r="C956" t="s">
        <v>2886</v>
      </c>
    </row>
    <row r="957" spans="1:3" x14ac:dyDescent="0.35">
      <c r="A957">
        <v>510</v>
      </c>
      <c r="B957" t="s">
        <v>1558</v>
      </c>
      <c r="C957" t="s">
        <v>2892</v>
      </c>
    </row>
    <row r="958" spans="1:3" hidden="1" x14ac:dyDescent="0.35">
      <c r="A958">
        <v>510</v>
      </c>
      <c r="B958" s="7" t="s">
        <v>3386</v>
      </c>
      <c r="C958" t="s">
        <v>2884</v>
      </c>
    </row>
    <row r="959" spans="1:3" hidden="1" x14ac:dyDescent="0.35">
      <c r="A959">
        <v>510</v>
      </c>
      <c r="B959" t="s">
        <v>225</v>
      </c>
      <c r="C959" t="s">
        <v>2890</v>
      </c>
    </row>
    <row r="960" spans="1:3" hidden="1" x14ac:dyDescent="0.35">
      <c r="A960">
        <v>510</v>
      </c>
      <c r="B960" s="7" t="s">
        <v>3290</v>
      </c>
      <c r="C960" t="s">
        <v>2884</v>
      </c>
    </row>
    <row r="961" spans="1:3" hidden="1" x14ac:dyDescent="0.35">
      <c r="A961">
        <v>514</v>
      </c>
      <c r="B961" s="42" t="s">
        <v>1609</v>
      </c>
      <c r="C961" t="s">
        <v>2890</v>
      </c>
    </row>
    <row r="962" spans="1:3" hidden="1" x14ac:dyDescent="0.35">
      <c r="A962">
        <v>514</v>
      </c>
      <c r="B962" s="5" t="s">
        <v>3151</v>
      </c>
      <c r="C962" t="s">
        <v>2886</v>
      </c>
    </row>
    <row r="963" spans="1:3" hidden="1" x14ac:dyDescent="0.35">
      <c r="A963">
        <v>514</v>
      </c>
      <c r="B963" t="s">
        <v>357</v>
      </c>
      <c r="C963" t="s">
        <v>357</v>
      </c>
    </row>
    <row r="964" spans="1:3" hidden="1" x14ac:dyDescent="0.35">
      <c r="A964">
        <v>514</v>
      </c>
      <c r="B964" t="s">
        <v>3387</v>
      </c>
      <c r="C964" t="s">
        <v>2890</v>
      </c>
    </row>
    <row r="965" spans="1:3" hidden="1" x14ac:dyDescent="0.35">
      <c r="A965">
        <v>515</v>
      </c>
      <c r="B965" s="7" t="s">
        <v>154</v>
      </c>
      <c r="C965" t="s">
        <v>2886</v>
      </c>
    </row>
    <row r="966" spans="1:3" hidden="1" x14ac:dyDescent="0.35">
      <c r="A966">
        <v>515</v>
      </c>
      <c r="B966" t="s">
        <v>144</v>
      </c>
      <c r="C966" t="s">
        <v>2890</v>
      </c>
    </row>
    <row r="967" spans="1:3" hidden="1" x14ac:dyDescent="0.35">
      <c r="A967">
        <v>515</v>
      </c>
      <c r="B967" s="17" t="s">
        <v>405</v>
      </c>
      <c r="C967" t="s">
        <v>2890</v>
      </c>
    </row>
    <row r="968" spans="1:3" hidden="1" x14ac:dyDescent="0.35">
      <c r="A968">
        <v>515</v>
      </c>
      <c r="B968" t="s">
        <v>3388</v>
      </c>
      <c r="C968" t="s">
        <v>2890</v>
      </c>
    </row>
    <row r="969" spans="1:3" hidden="1" x14ac:dyDescent="0.35">
      <c r="A969">
        <v>522</v>
      </c>
      <c r="B969" t="s">
        <v>357</v>
      </c>
      <c r="C969" t="s">
        <v>357</v>
      </c>
    </row>
    <row r="970" spans="1:3" hidden="1" x14ac:dyDescent="0.35">
      <c r="A970">
        <v>538</v>
      </c>
      <c r="B970" s="5" t="s">
        <v>3389</v>
      </c>
      <c r="C970" t="s">
        <v>2886</v>
      </c>
    </row>
    <row r="971" spans="1:3" hidden="1" x14ac:dyDescent="0.35">
      <c r="A971">
        <v>538</v>
      </c>
      <c r="B971" t="s">
        <v>601</v>
      </c>
      <c r="C971" t="s">
        <v>2890</v>
      </c>
    </row>
    <row r="972" spans="1:3" hidden="1" x14ac:dyDescent="0.35">
      <c r="A972">
        <v>538</v>
      </c>
      <c r="B972" t="s">
        <v>3006</v>
      </c>
      <c r="C972" t="s">
        <v>357</v>
      </c>
    </row>
    <row r="973" spans="1:3" hidden="1" x14ac:dyDescent="0.35">
      <c r="A973">
        <v>551</v>
      </c>
      <c r="B973" s="5" t="s">
        <v>1635</v>
      </c>
      <c r="C973" t="s">
        <v>2886</v>
      </c>
    </row>
    <row r="974" spans="1:3" hidden="1" x14ac:dyDescent="0.35">
      <c r="A974">
        <v>551</v>
      </c>
      <c r="B974" s="17" t="s">
        <v>401</v>
      </c>
      <c r="C974" t="s">
        <v>2886</v>
      </c>
    </row>
    <row r="975" spans="1:3" hidden="1" x14ac:dyDescent="0.35">
      <c r="A975">
        <v>542</v>
      </c>
    </row>
    <row r="976" spans="1:3" hidden="1" x14ac:dyDescent="0.35">
      <c r="A976">
        <v>554</v>
      </c>
      <c r="B976" t="s">
        <v>357</v>
      </c>
      <c r="C976" t="s">
        <v>357</v>
      </c>
    </row>
    <row r="977" spans="1:3" hidden="1" x14ac:dyDescent="0.35">
      <c r="A977">
        <v>558</v>
      </c>
      <c r="B977" s="77" t="s">
        <v>671</v>
      </c>
      <c r="C977" t="s">
        <v>2884</v>
      </c>
    </row>
    <row r="978" spans="1:3" hidden="1" x14ac:dyDescent="0.35">
      <c r="A978">
        <v>641</v>
      </c>
      <c r="B978" t="s">
        <v>601</v>
      </c>
      <c r="C978" t="s">
        <v>2890</v>
      </c>
    </row>
    <row r="979" spans="1:3" hidden="1" x14ac:dyDescent="0.35">
      <c r="A979">
        <v>641</v>
      </c>
      <c r="B979" s="17" t="s">
        <v>401</v>
      </c>
      <c r="C979" t="s">
        <v>2886</v>
      </c>
    </row>
    <row r="980" spans="1:3" hidden="1" x14ac:dyDescent="0.35">
      <c r="A980">
        <v>727</v>
      </c>
      <c r="B980" s="5" t="s">
        <v>1635</v>
      </c>
      <c r="C980" t="s">
        <v>2886</v>
      </c>
    </row>
    <row r="981" spans="1:3" hidden="1" x14ac:dyDescent="0.35">
      <c r="A981">
        <v>727</v>
      </c>
      <c r="B981" s="2" t="s">
        <v>3054</v>
      </c>
      <c r="C981" t="s">
        <v>2888</v>
      </c>
    </row>
    <row r="982" spans="1:3" hidden="1" x14ac:dyDescent="0.35">
      <c r="A982">
        <v>751</v>
      </c>
      <c r="B982" s="5" t="s">
        <v>1635</v>
      </c>
      <c r="C982" t="s">
        <v>2886</v>
      </c>
    </row>
    <row r="983" spans="1:3" hidden="1" x14ac:dyDescent="0.35">
      <c r="A983">
        <v>751</v>
      </c>
      <c r="B983" t="s">
        <v>3390</v>
      </c>
      <c r="C983" t="s">
        <v>3390</v>
      </c>
    </row>
    <row r="984" spans="1:3" hidden="1" x14ac:dyDescent="0.35">
      <c r="A984">
        <v>751</v>
      </c>
      <c r="B984" t="s">
        <v>3391</v>
      </c>
      <c r="C984" t="s">
        <v>2884</v>
      </c>
    </row>
    <row r="985" spans="1:3" hidden="1" x14ac:dyDescent="0.35">
      <c r="A985">
        <v>757</v>
      </c>
      <c r="B985" t="s">
        <v>3392</v>
      </c>
      <c r="C985" t="s">
        <v>2886</v>
      </c>
    </row>
    <row r="986" spans="1:3" x14ac:dyDescent="0.35">
      <c r="A986">
        <v>773</v>
      </c>
      <c r="B986" t="s">
        <v>2711</v>
      </c>
      <c r="C986" t="s">
        <v>2892</v>
      </c>
    </row>
    <row r="987" spans="1:3" x14ac:dyDescent="0.35">
      <c r="A987">
        <v>773</v>
      </c>
      <c r="B987" t="s">
        <v>3393</v>
      </c>
      <c r="C987" t="s">
        <v>2892</v>
      </c>
    </row>
    <row r="988" spans="1:3" hidden="1" x14ac:dyDescent="0.35">
      <c r="A988">
        <v>773</v>
      </c>
      <c r="B988" s="2" t="s">
        <v>3394</v>
      </c>
      <c r="C988" t="s">
        <v>2888</v>
      </c>
    </row>
    <row r="989" spans="1:3" hidden="1" x14ac:dyDescent="0.35">
      <c r="A989">
        <v>787</v>
      </c>
      <c r="B989" s="5" t="s">
        <v>3395</v>
      </c>
      <c r="C989" t="s">
        <v>2886</v>
      </c>
    </row>
    <row r="990" spans="1:3" hidden="1" x14ac:dyDescent="0.35">
      <c r="A990">
        <v>787</v>
      </c>
      <c r="B990" t="s">
        <v>3396</v>
      </c>
      <c r="C990" t="s">
        <v>2888</v>
      </c>
    </row>
    <row r="991" spans="1:3" hidden="1" x14ac:dyDescent="0.35">
      <c r="A991">
        <v>787</v>
      </c>
      <c r="B991" t="s">
        <v>225</v>
      </c>
      <c r="C991" t="s">
        <v>2890</v>
      </c>
    </row>
    <row r="992" spans="1:3" hidden="1" x14ac:dyDescent="0.35">
      <c r="A992">
        <v>787</v>
      </c>
      <c r="B992" t="s">
        <v>3397</v>
      </c>
      <c r="C992" t="s">
        <v>3397</v>
      </c>
    </row>
    <row r="993" spans="1:3" hidden="1" x14ac:dyDescent="0.35">
      <c r="A993">
        <v>790</v>
      </c>
      <c r="B993" t="s">
        <v>225</v>
      </c>
      <c r="C993" t="s">
        <v>2890</v>
      </c>
    </row>
    <row r="994" spans="1:3" hidden="1" x14ac:dyDescent="0.35">
      <c r="A994">
        <v>790</v>
      </c>
      <c r="B994" t="s">
        <v>3398</v>
      </c>
      <c r="C994" t="s">
        <v>3398</v>
      </c>
    </row>
    <row r="995" spans="1:3" hidden="1" x14ac:dyDescent="0.35">
      <c r="A995">
        <v>790</v>
      </c>
    </row>
    <row r="996" spans="1:3" hidden="1" x14ac:dyDescent="0.35">
      <c r="A996">
        <v>807</v>
      </c>
      <c r="B996" t="s">
        <v>252</v>
      </c>
      <c r="C996" t="s">
        <v>2890</v>
      </c>
    </row>
    <row r="997" spans="1:3" hidden="1" x14ac:dyDescent="0.35">
      <c r="A997">
        <v>807</v>
      </c>
      <c r="B997" s="4" t="s">
        <v>3399</v>
      </c>
      <c r="C997" t="s">
        <v>2886</v>
      </c>
    </row>
    <row r="998" spans="1:3" hidden="1" x14ac:dyDescent="0.35">
      <c r="A998">
        <v>807</v>
      </c>
      <c r="B998" s="7" t="s">
        <v>3186</v>
      </c>
      <c r="C998" t="s">
        <v>2884</v>
      </c>
    </row>
    <row r="999" spans="1:3" hidden="1" x14ac:dyDescent="0.35">
      <c r="A999">
        <v>807</v>
      </c>
      <c r="B999" t="s">
        <v>3400</v>
      </c>
      <c r="C999" t="s">
        <v>2890</v>
      </c>
    </row>
    <row r="1000" spans="1:3" hidden="1" x14ac:dyDescent="0.35">
      <c r="A1000">
        <v>807</v>
      </c>
      <c r="B1000" t="s">
        <v>3014</v>
      </c>
      <c r="C1000" t="s">
        <v>357</v>
      </c>
    </row>
    <row r="1001" spans="1:3" x14ac:dyDescent="0.35">
      <c r="A1001">
        <v>815</v>
      </c>
      <c r="B1001" t="s">
        <v>3401</v>
      </c>
      <c r="C1001" t="s">
        <v>2892</v>
      </c>
    </row>
    <row r="1002" spans="1:3" hidden="1" x14ac:dyDescent="0.35">
      <c r="A1002">
        <v>815</v>
      </c>
      <c r="B1002" s="7" t="s">
        <v>3055</v>
      </c>
      <c r="C1002" t="s">
        <v>2884</v>
      </c>
    </row>
    <row r="1003" spans="1:3" hidden="1" x14ac:dyDescent="0.35">
      <c r="A1003">
        <v>815</v>
      </c>
      <c r="B1003" t="s">
        <v>3402</v>
      </c>
      <c r="C1003" t="s">
        <v>2888</v>
      </c>
    </row>
    <row r="1004" spans="1:3" hidden="1" x14ac:dyDescent="0.35">
      <c r="A1004">
        <v>834</v>
      </c>
      <c r="B1004" t="s">
        <v>3403</v>
      </c>
      <c r="C1004" t="s">
        <v>2890</v>
      </c>
    </row>
    <row r="1005" spans="1:3" hidden="1" x14ac:dyDescent="0.35">
      <c r="A1005">
        <v>834</v>
      </c>
      <c r="B1005" s="17" t="s">
        <v>3404</v>
      </c>
      <c r="C1005" t="s">
        <v>2886</v>
      </c>
    </row>
    <row r="1006" spans="1:3" hidden="1" x14ac:dyDescent="0.35">
      <c r="A1006">
        <v>834</v>
      </c>
      <c r="B1006" t="s">
        <v>3405</v>
      </c>
      <c r="C1006" t="s">
        <v>2890</v>
      </c>
    </row>
    <row r="1007" spans="1:3" hidden="1" x14ac:dyDescent="0.35">
      <c r="A1007">
        <v>834</v>
      </c>
      <c r="B1007" t="s">
        <v>3406</v>
      </c>
      <c r="C1007" t="s">
        <v>2914</v>
      </c>
    </row>
    <row r="1008" spans="1:3" x14ac:dyDescent="0.35">
      <c r="A1008">
        <v>834</v>
      </c>
      <c r="B1008" t="s">
        <v>3407</v>
      </c>
      <c r="C1008" t="s">
        <v>2892</v>
      </c>
    </row>
    <row r="1009" spans="1:3" hidden="1" x14ac:dyDescent="0.35">
      <c r="A1009">
        <v>834</v>
      </c>
      <c r="B1009" t="s">
        <v>3408</v>
      </c>
      <c r="C1009" t="s">
        <v>2890</v>
      </c>
    </row>
    <row r="1010" spans="1:3" hidden="1" x14ac:dyDescent="0.35">
      <c r="A1010">
        <v>834</v>
      </c>
      <c r="B1010" t="s">
        <v>3409</v>
      </c>
      <c r="C1010" t="s">
        <v>2914</v>
      </c>
    </row>
    <row r="1011" spans="1:3" hidden="1" x14ac:dyDescent="0.35">
      <c r="A1011">
        <v>834</v>
      </c>
      <c r="B1011" t="s">
        <v>3033</v>
      </c>
      <c r="C1011" t="s">
        <v>2890</v>
      </c>
    </row>
    <row r="1012" spans="1:3" hidden="1" x14ac:dyDescent="0.35">
      <c r="A1012">
        <v>834</v>
      </c>
      <c r="B1012" t="s">
        <v>3410</v>
      </c>
      <c r="C1012" t="s">
        <v>2890</v>
      </c>
    </row>
    <row r="1013" spans="1:3" hidden="1" x14ac:dyDescent="0.35">
      <c r="A1013">
        <v>834</v>
      </c>
      <c r="B1013" t="s">
        <v>3411</v>
      </c>
      <c r="C1013" t="s">
        <v>2890</v>
      </c>
    </row>
    <row r="1014" spans="1:3" hidden="1" x14ac:dyDescent="0.35">
      <c r="A1014">
        <v>834</v>
      </c>
      <c r="B1014" s="5" t="s">
        <v>1635</v>
      </c>
      <c r="C1014" t="s">
        <v>2886</v>
      </c>
    </row>
    <row r="1015" spans="1:3" hidden="1" x14ac:dyDescent="0.35">
      <c r="A1015">
        <v>851</v>
      </c>
      <c r="B1015" s="77" t="s">
        <v>3412</v>
      </c>
      <c r="C1015" t="s">
        <v>2884</v>
      </c>
    </row>
    <row r="1016" spans="1:3" x14ac:dyDescent="0.35">
      <c r="A1016">
        <v>851</v>
      </c>
      <c r="B1016" t="s">
        <v>3413</v>
      </c>
      <c r="C1016" t="s">
        <v>2892</v>
      </c>
    </row>
    <row r="1017" spans="1:3" hidden="1" x14ac:dyDescent="0.35">
      <c r="A1017">
        <v>851</v>
      </c>
      <c r="B1017" s="77" t="s">
        <v>3414</v>
      </c>
      <c r="C1017" t="s">
        <v>2884</v>
      </c>
    </row>
    <row r="1018" spans="1:3" hidden="1" x14ac:dyDescent="0.35">
      <c r="A1018">
        <v>851</v>
      </c>
      <c r="B1018" t="s">
        <v>3415</v>
      </c>
      <c r="C1018" t="s">
        <v>357</v>
      </c>
    </row>
    <row r="1019" spans="1:3" hidden="1" x14ac:dyDescent="0.35">
      <c r="A1019">
        <v>851</v>
      </c>
      <c r="B1019" s="77" t="s">
        <v>3416</v>
      </c>
      <c r="C1019" t="s">
        <v>2884</v>
      </c>
    </row>
    <row r="1020" spans="1:3" hidden="1" x14ac:dyDescent="0.35">
      <c r="A1020">
        <v>936</v>
      </c>
      <c r="B1020" s="78" t="s">
        <v>3417</v>
      </c>
      <c r="C1020" t="s">
        <v>2884</v>
      </c>
    </row>
    <row r="1021" spans="1:3" hidden="1" x14ac:dyDescent="0.35">
      <c r="A1021">
        <v>936</v>
      </c>
      <c r="B1021" s="78" t="s">
        <v>3418</v>
      </c>
      <c r="C1021" t="s">
        <v>2884</v>
      </c>
    </row>
    <row r="1022" spans="1:3" hidden="1" x14ac:dyDescent="0.35">
      <c r="A1022">
        <v>936</v>
      </c>
      <c r="B1022" s="78" t="s">
        <v>3419</v>
      </c>
      <c r="C1022" t="s">
        <v>2884</v>
      </c>
    </row>
    <row r="1023" spans="1:3" hidden="1" x14ac:dyDescent="0.35">
      <c r="A1023">
        <v>936</v>
      </c>
      <c r="B1023" s="2" t="s">
        <v>3420</v>
      </c>
      <c r="C1023" t="s">
        <v>2888</v>
      </c>
    </row>
    <row r="1024" spans="1:3" hidden="1" x14ac:dyDescent="0.35">
      <c r="A1024">
        <v>936</v>
      </c>
      <c r="B1024" s="78" t="s">
        <v>3421</v>
      </c>
      <c r="C1024" t="s">
        <v>3421</v>
      </c>
    </row>
    <row r="1025" spans="1:3" hidden="1" x14ac:dyDescent="0.35">
      <c r="A1025">
        <v>936</v>
      </c>
      <c r="B1025" s="78" t="s">
        <v>3422</v>
      </c>
      <c r="C1025" t="s">
        <v>2884</v>
      </c>
    </row>
    <row r="1026" spans="1:3" hidden="1" x14ac:dyDescent="0.35">
      <c r="A1026">
        <v>936</v>
      </c>
      <c r="B1026" s="78" t="s">
        <v>3423</v>
      </c>
      <c r="C1026" t="s">
        <v>2884</v>
      </c>
    </row>
    <row r="1027" spans="1:3" hidden="1" x14ac:dyDescent="0.35">
      <c r="A1027">
        <v>936</v>
      </c>
      <c r="B1027" s="2" t="s">
        <v>3424</v>
      </c>
      <c r="C1027" t="s">
        <v>2888</v>
      </c>
    </row>
    <row r="1028" spans="1:3" hidden="1" x14ac:dyDescent="0.35">
      <c r="A1028">
        <v>936</v>
      </c>
      <c r="B1028" s="78" t="s">
        <v>3425</v>
      </c>
      <c r="C1028" t="s">
        <v>2888</v>
      </c>
    </row>
    <row r="1029" spans="1:3" hidden="1" x14ac:dyDescent="0.35">
      <c r="A1029">
        <v>936</v>
      </c>
      <c r="B1029" s="78" t="s">
        <v>3426</v>
      </c>
      <c r="C1029" t="s">
        <v>2884</v>
      </c>
    </row>
    <row r="1030" spans="1:3" hidden="1" x14ac:dyDescent="0.35">
      <c r="A1030">
        <v>980</v>
      </c>
      <c r="B1030" t="s">
        <v>3109</v>
      </c>
      <c r="C1030" t="s">
        <v>357</v>
      </c>
    </row>
    <row r="1031" spans="1:3" hidden="1" x14ac:dyDescent="0.35">
      <c r="A1031">
        <v>980</v>
      </c>
      <c r="B1031" s="5" t="s">
        <v>3427</v>
      </c>
      <c r="C1031" t="s">
        <v>2886</v>
      </c>
    </row>
    <row r="1032" spans="1:3" x14ac:dyDescent="0.35">
      <c r="A1032">
        <v>384</v>
      </c>
      <c r="B1032" t="s">
        <v>2826</v>
      </c>
      <c r="C1032" t="s">
        <v>2892</v>
      </c>
    </row>
    <row r="1033" spans="1:3" hidden="1" x14ac:dyDescent="0.35">
      <c r="A1033">
        <v>384</v>
      </c>
      <c r="B1033" s="2" t="s">
        <v>2226</v>
      </c>
      <c r="C1033" t="s">
        <v>2888</v>
      </c>
    </row>
    <row r="1034" spans="1:3" hidden="1" x14ac:dyDescent="0.35">
      <c r="A1034">
        <v>384</v>
      </c>
      <c r="B1034" s="2" t="s">
        <v>2223</v>
      </c>
      <c r="C1034" t="s">
        <v>2888</v>
      </c>
    </row>
    <row r="1035" spans="1:3" hidden="1" x14ac:dyDescent="0.35">
      <c r="A1035">
        <v>384</v>
      </c>
      <c r="B1035" s="2" t="s">
        <v>1742</v>
      </c>
      <c r="C1035" t="s">
        <v>2888</v>
      </c>
    </row>
    <row r="1036" spans="1:3" hidden="1" x14ac:dyDescent="0.35">
      <c r="A1036">
        <v>384</v>
      </c>
      <c r="B1036" s="2" t="s">
        <v>1746</v>
      </c>
      <c r="C1036" t="s">
        <v>2888</v>
      </c>
    </row>
    <row r="1037" spans="1:3" hidden="1" x14ac:dyDescent="0.35">
      <c r="A1037">
        <v>384</v>
      </c>
      <c r="B1037" s="2" t="s">
        <v>3428</v>
      </c>
      <c r="C1037" t="s">
        <v>2888</v>
      </c>
    </row>
    <row r="1038" spans="1:3" hidden="1" x14ac:dyDescent="0.35">
      <c r="A1038">
        <v>384</v>
      </c>
      <c r="B1038" s="2" t="s">
        <v>2132</v>
      </c>
      <c r="C1038" t="s">
        <v>2888</v>
      </c>
    </row>
    <row r="1039" spans="1:3" hidden="1" x14ac:dyDescent="0.35">
      <c r="A1039">
        <v>384</v>
      </c>
      <c r="B1039" s="2" t="s">
        <v>1750</v>
      </c>
      <c r="C1039" t="s">
        <v>2888</v>
      </c>
    </row>
    <row r="1040" spans="1:3" hidden="1" x14ac:dyDescent="0.35">
      <c r="A1040">
        <v>384</v>
      </c>
      <c r="B1040" s="2" t="s">
        <v>2745</v>
      </c>
      <c r="C1040" t="s">
        <v>2888</v>
      </c>
    </row>
    <row r="1041" spans="1:3" hidden="1" x14ac:dyDescent="0.35">
      <c r="A1041">
        <v>384</v>
      </c>
      <c r="B1041" s="2" t="s">
        <v>2778</v>
      </c>
      <c r="C1041" t="s">
        <v>2888</v>
      </c>
    </row>
    <row r="1042" spans="1:3" hidden="1" x14ac:dyDescent="0.35">
      <c r="A1042">
        <v>384</v>
      </c>
      <c r="B1042" s="2" t="s">
        <v>1752</v>
      </c>
      <c r="C1042" t="s">
        <v>2888</v>
      </c>
    </row>
    <row r="1043" spans="1:3" hidden="1" x14ac:dyDescent="0.35">
      <c r="A1043">
        <v>384</v>
      </c>
      <c r="B1043" s="2" t="s">
        <v>2506</v>
      </c>
      <c r="C1043" t="s">
        <v>2888</v>
      </c>
    </row>
    <row r="1044" spans="1:3" hidden="1" x14ac:dyDescent="0.35">
      <c r="A1044">
        <v>384</v>
      </c>
      <c r="B1044" s="2" t="s">
        <v>2782</v>
      </c>
      <c r="C1044" t="s">
        <v>2888</v>
      </c>
    </row>
    <row r="1045" spans="1:3" hidden="1" x14ac:dyDescent="0.35">
      <c r="A1045">
        <v>384</v>
      </c>
      <c r="B1045" s="2" t="s">
        <v>1753</v>
      </c>
      <c r="C1045" t="s">
        <v>2888</v>
      </c>
    </row>
    <row r="1046" spans="1:3" hidden="1" x14ac:dyDescent="0.35">
      <c r="A1046">
        <v>384</v>
      </c>
      <c r="B1046" s="2" t="s">
        <v>3429</v>
      </c>
      <c r="C1046" t="s">
        <v>2888</v>
      </c>
    </row>
    <row r="1047" spans="1:3" hidden="1" x14ac:dyDescent="0.35">
      <c r="A1047">
        <v>384</v>
      </c>
      <c r="B1047" s="2" t="s">
        <v>3430</v>
      </c>
      <c r="C1047" t="s">
        <v>2888</v>
      </c>
    </row>
    <row r="1048" spans="1:3" hidden="1" x14ac:dyDescent="0.35">
      <c r="A1048">
        <v>384</v>
      </c>
      <c r="B1048" s="81" t="s">
        <v>3431</v>
      </c>
      <c r="C1048" t="s">
        <v>2888</v>
      </c>
    </row>
    <row r="1049" spans="1:3" hidden="1" x14ac:dyDescent="0.35">
      <c r="A1049">
        <v>384</v>
      </c>
      <c r="B1049" s="81" t="s">
        <v>2163</v>
      </c>
      <c r="C1049" t="s">
        <v>2888</v>
      </c>
    </row>
    <row r="1050" spans="1:3" hidden="1" x14ac:dyDescent="0.35">
      <c r="A1050">
        <v>384</v>
      </c>
      <c r="B1050" s="81" t="s">
        <v>1758</v>
      </c>
      <c r="C1050" t="s">
        <v>2888</v>
      </c>
    </row>
    <row r="1051" spans="1:3" hidden="1" x14ac:dyDescent="0.35">
      <c r="A1051">
        <v>384</v>
      </c>
      <c r="B1051" s="81" t="s">
        <v>2796</v>
      </c>
      <c r="C1051" t="s">
        <v>2888</v>
      </c>
    </row>
    <row r="1052" spans="1:3" hidden="1" x14ac:dyDescent="0.35">
      <c r="A1052">
        <v>384</v>
      </c>
      <c r="B1052" s="81" t="s">
        <v>2798</v>
      </c>
      <c r="C1052" t="s">
        <v>2888</v>
      </c>
    </row>
    <row r="1053" spans="1:3" hidden="1" x14ac:dyDescent="0.35">
      <c r="A1053">
        <v>384</v>
      </c>
      <c r="B1053" s="2" t="s">
        <v>2227</v>
      </c>
      <c r="C1053" t="s">
        <v>2888</v>
      </c>
    </row>
    <row r="1054" spans="1:3" hidden="1" x14ac:dyDescent="0.35">
      <c r="A1054">
        <v>369</v>
      </c>
      <c r="B1054" t="s">
        <v>225</v>
      </c>
      <c r="C1054" t="s">
        <v>2890</v>
      </c>
    </row>
    <row r="1055" spans="1:3" hidden="1" x14ac:dyDescent="0.35">
      <c r="A1055">
        <v>369</v>
      </c>
      <c r="B1055" s="17" t="s">
        <v>401</v>
      </c>
      <c r="C1055" t="s">
        <v>2886</v>
      </c>
    </row>
    <row r="1056" spans="1:3" hidden="1" x14ac:dyDescent="0.35">
      <c r="A1056">
        <v>369</v>
      </c>
      <c r="B1056" t="s">
        <v>357</v>
      </c>
      <c r="C1056" t="s">
        <v>357</v>
      </c>
    </row>
    <row r="1057" spans="1:3" hidden="1" x14ac:dyDescent="0.35">
      <c r="A1057">
        <v>368</v>
      </c>
      <c r="B1057" t="s">
        <v>357</v>
      </c>
      <c r="C1057" t="s">
        <v>357</v>
      </c>
    </row>
    <row r="1058" spans="1:3" x14ac:dyDescent="0.35">
      <c r="A1058">
        <v>368</v>
      </c>
      <c r="B1058" t="s">
        <v>3432</v>
      </c>
      <c r="C1058" t="s">
        <v>2892</v>
      </c>
    </row>
    <row r="1059" spans="1:3" hidden="1" x14ac:dyDescent="0.35">
      <c r="A1059">
        <v>368</v>
      </c>
      <c r="B1059" s="78" t="s">
        <v>3433</v>
      </c>
      <c r="C1059" t="s">
        <v>2884</v>
      </c>
    </row>
    <row r="1060" spans="1:3" hidden="1" x14ac:dyDescent="0.35">
      <c r="A1060">
        <v>368</v>
      </c>
      <c r="B1060" s="78" t="s">
        <v>3434</v>
      </c>
      <c r="C1060" t="s">
        <v>2884</v>
      </c>
    </row>
    <row r="1061" spans="1:3" hidden="1" x14ac:dyDescent="0.35">
      <c r="A1061">
        <v>368</v>
      </c>
      <c r="B1061" s="2" t="s">
        <v>3435</v>
      </c>
      <c r="C1061" t="s">
        <v>2888</v>
      </c>
    </row>
    <row r="1062" spans="1:3" x14ac:dyDescent="0.35">
      <c r="A1062">
        <v>364</v>
      </c>
      <c r="B1062" t="s">
        <v>2826</v>
      </c>
      <c r="C1062" t="s">
        <v>2892</v>
      </c>
    </row>
    <row r="1063" spans="1:3" hidden="1" x14ac:dyDescent="0.35">
      <c r="A1063">
        <v>364</v>
      </c>
      <c r="B1063" s="2" t="s">
        <v>1746</v>
      </c>
      <c r="C1063" t="s">
        <v>2888</v>
      </c>
    </row>
    <row r="1064" spans="1:3" hidden="1" x14ac:dyDescent="0.35">
      <c r="A1064">
        <v>364</v>
      </c>
      <c r="B1064" s="2" t="s">
        <v>2132</v>
      </c>
      <c r="C1064" t="s">
        <v>2888</v>
      </c>
    </row>
    <row r="1065" spans="1:3" hidden="1" x14ac:dyDescent="0.35">
      <c r="A1065">
        <v>364</v>
      </c>
      <c r="B1065" s="2" t="s">
        <v>3429</v>
      </c>
      <c r="C1065" t="s">
        <v>2888</v>
      </c>
    </row>
    <row r="1066" spans="1:3" hidden="1" x14ac:dyDescent="0.35">
      <c r="A1066">
        <v>364</v>
      </c>
      <c r="B1066" s="81" t="s">
        <v>3430</v>
      </c>
      <c r="C1066" t="s">
        <v>2888</v>
      </c>
    </row>
    <row r="1067" spans="1:3" hidden="1" x14ac:dyDescent="0.35">
      <c r="A1067">
        <v>364</v>
      </c>
      <c r="B1067" s="81" t="s">
        <v>3431</v>
      </c>
      <c r="C1067" t="s">
        <v>2888</v>
      </c>
    </row>
    <row r="1068" spans="1:3" hidden="1" x14ac:dyDescent="0.35">
      <c r="A1068">
        <v>364</v>
      </c>
      <c r="B1068" s="81" t="s">
        <v>1758</v>
      </c>
      <c r="C1068" t="s">
        <v>2888</v>
      </c>
    </row>
    <row r="1069" spans="1:3" hidden="1" x14ac:dyDescent="0.35">
      <c r="A1069">
        <v>364</v>
      </c>
      <c r="B1069" s="81" t="s">
        <v>2796</v>
      </c>
      <c r="C1069" t="s">
        <v>2888</v>
      </c>
    </row>
    <row r="1070" spans="1:3" hidden="1" x14ac:dyDescent="0.35">
      <c r="A1070">
        <v>364</v>
      </c>
      <c r="B1070" s="81" t="s">
        <v>2824</v>
      </c>
      <c r="C1070" t="s">
        <v>2888</v>
      </c>
    </row>
    <row r="1071" spans="1:3" hidden="1" x14ac:dyDescent="0.35">
      <c r="A1071">
        <v>364</v>
      </c>
      <c r="B1071" s="81" t="s">
        <v>2163</v>
      </c>
      <c r="C1071" t="s">
        <v>2888</v>
      </c>
    </row>
    <row r="1072" spans="1:3" hidden="1" x14ac:dyDescent="0.35">
      <c r="A1072">
        <v>364</v>
      </c>
      <c r="B1072" s="2" t="s">
        <v>1742</v>
      </c>
      <c r="C1072" t="s">
        <v>2888</v>
      </c>
    </row>
    <row r="1073" spans="1:3" hidden="1" x14ac:dyDescent="0.35">
      <c r="A1073">
        <v>347</v>
      </c>
      <c r="B1073" t="s">
        <v>3436</v>
      </c>
      <c r="C1073" t="s">
        <v>2890</v>
      </c>
    </row>
    <row r="1074" spans="1:3" x14ac:dyDescent="0.35">
      <c r="A1074">
        <v>347</v>
      </c>
      <c r="B1074" t="s">
        <v>3432</v>
      </c>
      <c r="C1074" t="s">
        <v>2892</v>
      </c>
    </row>
    <row r="1075" spans="1:3" hidden="1" x14ac:dyDescent="0.35">
      <c r="A1075">
        <v>347</v>
      </c>
      <c r="B1075" s="7" t="s">
        <v>2248</v>
      </c>
      <c r="C1075" t="s">
        <v>2884</v>
      </c>
    </row>
    <row r="1076" spans="1:3" hidden="1" x14ac:dyDescent="0.35">
      <c r="A1076">
        <v>347</v>
      </c>
      <c r="B1076" s="2" t="s">
        <v>1746</v>
      </c>
      <c r="C1076" t="s">
        <v>2888</v>
      </c>
    </row>
    <row r="1077" spans="1:3" hidden="1" x14ac:dyDescent="0.35">
      <c r="A1077">
        <v>347</v>
      </c>
      <c r="B1077" s="2" t="s">
        <v>1738</v>
      </c>
      <c r="C1077" t="s">
        <v>2888</v>
      </c>
    </row>
    <row r="1078" spans="1:3" hidden="1" x14ac:dyDescent="0.35">
      <c r="A1078">
        <v>347</v>
      </c>
      <c r="B1078" s="12" t="s">
        <v>3437</v>
      </c>
      <c r="C1078" t="s">
        <v>2888</v>
      </c>
    </row>
    <row r="1079" spans="1:3" hidden="1" x14ac:dyDescent="0.35">
      <c r="A1079">
        <v>347</v>
      </c>
      <c r="B1079" s="2" t="s">
        <v>1735</v>
      </c>
      <c r="C1079" t="s">
        <v>2888</v>
      </c>
    </row>
    <row r="1080" spans="1:3" hidden="1" x14ac:dyDescent="0.35">
      <c r="A1080">
        <v>347</v>
      </c>
      <c r="B1080" s="81" t="s">
        <v>3430</v>
      </c>
      <c r="C1080" t="s">
        <v>2888</v>
      </c>
    </row>
    <row r="1081" spans="1:3" hidden="1" x14ac:dyDescent="0.35">
      <c r="A1081">
        <v>347</v>
      </c>
      <c r="B1081" s="81" t="s">
        <v>2835</v>
      </c>
      <c r="C1081" t="s">
        <v>2888</v>
      </c>
    </row>
    <row r="1082" spans="1:3" hidden="1" x14ac:dyDescent="0.35">
      <c r="A1082">
        <v>347</v>
      </c>
      <c r="B1082" s="81" t="s">
        <v>3431</v>
      </c>
      <c r="C1082" t="s">
        <v>2888</v>
      </c>
    </row>
    <row r="1083" spans="1:3" hidden="1" x14ac:dyDescent="0.35">
      <c r="A1083">
        <v>347</v>
      </c>
      <c r="B1083" s="81" t="s">
        <v>1758</v>
      </c>
      <c r="C1083" t="s">
        <v>2888</v>
      </c>
    </row>
    <row r="1084" spans="1:3" hidden="1" x14ac:dyDescent="0.35">
      <c r="A1084">
        <v>347</v>
      </c>
      <c r="B1084" s="81" t="s">
        <v>2841</v>
      </c>
      <c r="C1084" t="s">
        <v>2888</v>
      </c>
    </row>
    <row r="1085" spans="1:3" hidden="1" x14ac:dyDescent="0.35">
      <c r="A1085">
        <v>347</v>
      </c>
      <c r="B1085" s="81" t="s">
        <v>2163</v>
      </c>
      <c r="C1085" t="s">
        <v>2888</v>
      </c>
    </row>
    <row r="1086" spans="1:3" hidden="1" x14ac:dyDescent="0.35">
      <c r="A1086">
        <v>347</v>
      </c>
      <c r="B1086" t="s">
        <v>3438</v>
      </c>
      <c r="C1086" t="s">
        <v>2888</v>
      </c>
    </row>
    <row r="1087" spans="1:3" hidden="1" x14ac:dyDescent="0.35">
      <c r="A1087">
        <v>347</v>
      </c>
      <c r="B1087" t="s">
        <v>3088</v>
      </c>
      <c r="C1087" t="s">
        <v>2888</v>
      </c>
    </row>
    <row r="1088" spans="1:3" hidden="1" x14ac:dyDescent="0.35">
      <c r="A1088">
        <v>347</v>
      </c>
      <c r="B1088" t="s">
        <v>3439</v>
      </c>
      <c r="C1088" t="s">
        <v>2888</v>
      </c>
    </row>
    <row r="1089" spans="1:3" hidden="1" x14ac:dyDescent="0.35">
      <c r="A1089">
        <v>347</v>
      </c>
      <c r="B1089" t="s">
        <v>3440</v>
      </c>
      <c r="C1089" t="s">
        <v>2890</v>
      </c>
    </row>
    <row r="1090" spans="1:3" hidden="1" x14ac:dyDescent="0.35">
      <c r="A1090">
        <v>347</v>
      </c>
      <c r="B1090" s="2" t="s">
        <v>1742</v>
      </c>
      <c r="C1090" t="s">
        <v>2888</v>
      </c>
    </row>
    <row r="1091" spans="1:3" x14ac:dyDescent="0.35">
      <c r="A1091">
        <v>329</v>
      </c>
      <c r="B1091" t="s">
        <v>3441</v>
      </c>
      <c r="C1091" t="s">
        <v>2892</v>
      </c>
    </row>
    <row r="1092" spans="1:3" x14ac:dyDescent="0.35">
      <c r="A1092">
        <v>329</v>
      </c>
      <c r="B1092" t="s">
        <v>2894</v>
      </c>
      <c r="C1092" t="s">
        <v>2892</v>
      </c>
    </row>
    <row r="1093" spans="1:3" hidden="1" x14ac:dyDescent="0.35">
      <c r="A1093">
        <v>323</v>
      </c>
      <c r="B1093" t="s">
        <v>357</v>
      </c>
      <c r="C1093" t="s">
        <v>357</v>
      </c>
    </row>
    <row r="1094" spans="1:3" hidden="1" x14ac:dyDescent="0.35">
      <c r="A1094">
        <v>323</v>
      </c>
      <c r="B1094" s="76" t="s">
        <v>3079</v>
      </c>
      <c r="C1094" t="s">
        <v>2886</v>
      </c>
    </row>
    <row r="1095" spans="1:3" hidden="1" x14ac:dyDescent="0.35">
      <c r="A1095">
        <v>323</v>
      </c>
      <c r="B1095" s="17" t="s">
        <v>2933</v>
      </c>
      <c r="C1095" t="s">
        <v>2886</v>
      </c>
    </row>
    <row r="1096" spans="1:3" hidden="1" x14ac:dyDescent="0.35">
      <c r="A1096">
        <v>323</v>
      </c>
      <c r="B1096" s="42" t="s">
        <v>3442</v>
      </c>
      <c r="C1096" t="s">
        <v>2890</v>
      </c>
    </row>
    <row r="1097" spans="1:3" hidden="1" x14ac:dyDescent="0.35">
      <c r="A1097">
        <v>305</v>
      </c>
      <c r="B1097" s="61" t="s">
        <v>3443</v>
      </c>
      <c r="C1097" t="s">
        <v>2884</v>
      </c>
    </row>
    <row r="1098" spans="1:3" hidden="1" x14ac:dyDescent="0.35">
      <c r="A1098">
        <v>305</v>
      </c>
      <c r="B1098" t="s">
        <v>3444</v>
      </c>
      <c r="C1098" t="s">
        <v>2890</v>
      </c>
    </row>
    <row r="1099" spans="1:3" hidden="1" x14ac:dyDescent="0.35">
      <c r="A1099">
        <v>305</v>
      </c>
      <c r="B1099" t="s">
        <v>3445</v>
      </c>
      <c r="C1099" t="s">
        <v>2888</v>
      </c>
    </row>
    <row r="1100" spans="1:3" x14ac:dyDescent="0.35">
      <c r="A1100">
        <v>305</v>
      </c>
      <c r="B1100" t="s">
        <v>3446</v>
      </c>
      <c r="C1100" t="s">
        <v>2892</v>
      </c>
    </row>
    <row r="1101" spans="1:3" hidden="1" x14ac:dyDescent="0.35">
      <c r="A1101">
        <v>305</v>
      </c>
      <c r="B1101" t="s">
        <v>3447</v>
      </c>
      <c r="C1101" t="s">
        <v>2890</v>
      </c>
    </row>
    <row r="1102" spans="1:3" hidden="1" x14ac:dyDescent="0.35">
      <c r="A1102">
        <v>305</v>
      </c>
      <c r="B1102" s="7" t="s">
        <v>2902</v>
      </c>
      <c r="C1102" t="s">
        <v>2884</v>
      </c>
    </row>
    <row r="1103" spans="1:3" hidden="1" x14ac:dyDescent="0.35">
      <c r="A1103">
        <v>305</v>
      </c>
      <c r="B1103" s="7" t="s">
        <v>2893</v>
      </c>
      <c r="C1103" t="s">
        <v>2884</v>
      </c>
    </row>
    <row r="1104" spans="1:3" hidden="1" x14ac:dyDescent="0.35">
      <c r="A1104">
        <v>305</v>
      </c>
      <c r="B1104" t="s">
        <v>3448</v>
      </c>
      <c r="C1104" t="s">
        <v>2890</v>
      </c>
    </row>
    <row r="1105" spans="1:3" hidden="1" x14ac:dyDescent="0.35">
      <c r="A1105">
        <v>305</v>
      </c>
      <c r="B1105" t="s">
        <v>3449</v>
      </c>
      <c r="C1105" t="s">
        <v>2890</v>
      </c>
    </row>
    <row r="1106" spans="1:3" hidden="1" x14ac:dyDescent="0.35">
      <c r="A1106">
        <v>304</v>
      </c>
      <c r="B1106" t="s">
        <v>357</v>
      </c>
      <c r="C1106" t="s">
        <v>357</v>
      </c>
    </row>
    <row r="1107" spans="1:3" hidden="1" x14ac:dyDescent="0.35">
      <c r="A1107">
        <v>304</v>
      </c>
      <c r="B1107" t="s">
        <v>3450</v>
      </c>
      <c r="C1107" t="s">
        <v>2888</v>
      </c>
    </row>
    <row r="1108" spans="1:3" hidden="1" x14ac:dyDescent="0.35">
      <c r="A1108">
        <v>304</v>
      </c>
      <c r="B1108" t="s">
        <v>3451</v>
      </c>
      <c r="C1108" t="s">
        <v>3450</v>
      </c>
    </row>
    <row r="1109" spans="1:3" hidden="1" x14ac:dyDescent="0.35">
      <c r="A1109">
        <v>302</v>
      </c>
      <c r="B1109" t="s">
        <v>3452</v>
      </c>
      <c r="C1109" t="s">
        <v>357</v>
      </c>
    </row>
    <row r="1110" spans="1:3" hidden="1" x14ac:dyDescent="0.35">
      <c r="A1110">
        <v>302</v>
      </c>
      <c r="B1110" t="s">
        <v>3453</v>
      </c>
      <c r="C1110" t="s">
        <v>2914</v>
      </c>
    </row>
    <row r="1111" spans="1:3" hidden="1" x14ac:dyDescent="0.35">
      <c r="A1111">
        <v>302</v>
      </c>
      <c r="B1111" t="s">
        <v>3454</v>
      </c>
      <c r="C1111" t="s">
        <v>2884</v>
      </c>
    </row>
    <row r="1112" spans="1:3" hidden="1" x14ac:dyDescent="0.35">
      <c r="A1112">
        <v>302</v>
      </c>
      <c r="B1112" t="s">
        <v>3455</v>
      </c>
      <c r="C1112" t="s">
        <v>2890</v>
      </c>
    </row>
    <row r="1113" spans="1:3" hidden="1" x14ac:dyDescent="0.35">
      <c r="A1113">
        <v>302</v>
      </c>
      <c r="B1113" t="s">
        <v>3456</v>
      </c>
      <c r="C1113" t="s">
        <v>2890</v>
      </c>
    </row>
    <row r="1114" spans="1:3" hidden="1" x14ac:dyDescent="0.35">
      <c r="A1114">
        <v>302</v>
      </c>
      <c r="B1114" s="4" t="s">
        <v>3457</v>
      </c>
      <c r="C1114" t="s">
        <v>2886</v>
      </c>
    </row>
    <row r="1115" spans="1:3" hidden="1" x14ac:dyDescent="0.35">
      <c r="A1115">
        <v>302</v>
      </c>
      <c r="B1115" s="42" t="s">
        <v>3458</v>
      </c>
      <c r="C1115" t="s">
        <v>2890</v>
      </c>
    </row>
    <row r="1116" spans="1:3" hidden="1" x14ac:dyDescent="0.35">
      <c r="A1116">
        <v>826</v>
      </c>
      <c r="B1116" s="5" t="s">
        <v>1543</v>
      </c>
      <c r="C1116" t="s">
        <v>2886</v>
      </c>
    </row>
    <row r="1117" spans="1:3" x14ac:dyDescent="0.35">
      <c r="A1117">
        <v>826</v>
      </c>
      <c r="B1117" t="s">
        <v>3459</v>
      </c>
      <c r="C1117" t="s">
        <v>2892</v>
      </c>
    </row>
    <row r="1118" spans="1:3" x14ac:dyDescent="0.35">
      <c r="A1118">
        <v>837</v>
      </c>
      <c r="B1118" t="s">
        <v>1558</v>
      </c>
      <c r="C1118" t="s">
        <v>2892</v>
      </c>
    </row>
    <row r="1119" spans="1:3" hidden="1" x14ac:dyDescent="0.35">
      <c r="A1119">
        <v>837</v>
      </c>
      <c r="B1119" t="s">
        <v>357</v>
      </c>
      <c r="C1119" t="s">
        <v>357</v>
      </c>
    </row>
    <row r="1120" spans="1:3" hidden="1" x14ac:dyDescent="0.35">
      <c r="A1120">
        <v>837</v>
      </c>
      <c r="B1120" t="s">
        <v>2899</v>
      </c>
      <c r="C1120" t="s">
        <v>2890</v>
      </c>
    </row>
    <row r="1121" spans="1:3" hidden="1" x14ac:dyDescent="0.35">
      <c r="A1121">
        <v>842</v>
      </c>
      <c r="B1121" s="77" t="s">
        <v>3460</v>
      </c>
      <c r="C1121" t="s">
        <v>2884</v>
      </c>
    </row>
    <row r="1122" spans="1:3" hidden="1" x14ac:dyDescent="0.35">
      <c r="A1122">
        <v>842</v>
      </c>
      <c r="B1122" t="s">
        <v>3107</v>
      </c>
      <c r="C1122" t="s">
        <v>357</v>
      </c>
    </row>
    <row r="1123" spans="1:3" hidden="1" x14ac:dyDescent="0.35">
      <c r="A1123">
        <v>884</v>
      </c>
      <c r="B1123" t="s">
        <v>252</v>
      </c>
      <c r="C1123" t="s">
        <v>2890</v>
      </c>
    </row>
    <row r="1124" spans="1:3" hidden="1" x14ac:dyDescent="0.35">
      <c r="A1124">
        <v>884</v>
      </c>
      <c r="B1124" t="s">
        <v>3461</v>
      </c>
      <c r="C1124" t="s">
        <v>2890</v>
      </c>
    </row>
    <row r="1125" spans="1:3" hidden="1" x14ac:dyDescent="0.35">
      <c r="A1125">
        <v>884</v>
      </c>
      <c r="B1125" s="7" t="s">
        <v>3462</v>
      </c>
      <c r="C1125" t="s">
        <v>2884</v>
      </c>
    </row>
    <row r="1126" spans="1:3" hidden="1" x14ac:dyDescent="0.35">
      <c r="A1126">
        <v>884</v>
      </c>
      <c r="B1126" s="7" t="s">
        <v>2902</v>
      </c>
      <c r="C1126" t="s">
        <v>2884</v>
      </c>
    </row>
    <row r="1127" spans="1:3" hidden="1" x14ac:dyDescent="0.35">
      <c r="A1127">
        <v>884</v>
      </c>
      <c r="B1127" s="7" t="s">
        <v>3025</v>
      </c>
      <c r="C1127" t="s">
        <v>2884</v>
      </c>
    </row>
    <row r="1128" spans="1:3" hidden="1" x14ac:dyDescent="0.35">
      <c r="A1128">
        <v>884</v>
      </c>
      <c r="B1128" s="78" t="s">
        <v>3463</v>
      </c>
      <c r="C1128" t="s">
        <v>2884</v>
      </c>
    </row>
    <row r="1129" spans="1:3" hidden="1" x14ac:dyDescent="0.35">
      <c r="A1129">
        <v>884</v>
      </c>
      <c r="B1129" t="s">
        <v>3464</v>
      </c>
      <c r="C1129" t="s">
        <v>2914</v>
      </c>
    </row>
    <row r="1130" spans="1:3" hidden="1" x14ac:dyDescent="0.35">
      <c r="A1130">
        <v>884</v>
      </c>
      <c r="B1130" t="s">
        <v>3465</v>
      </c>
      <c r="C1130" t="s">
        <v>2914</v>
      </c>
    </row>
    <row r="1131" spans="1:3" hidden="1" x14ac:dyDescent="0.35">
      <c r="A1131">
        <v>884</v>
      </c>
      <c r="B1131" t="s">
        <v>3466</v>
      </c>
      <c r="C1131" t="s">
        <v>3466</v>
      </c>
    </row>
    <row r="1132" spans="1:3" hidden="1" x14ac:dyDescent="0.35">
      <c r="A1132">
        <v>884</v>
      </c>
      <c r="B1132" s="2" t="s">
        <v>3467</v>
      </c>
      <c r="C1132" t="s">
        <v>2888</v>
      </c>
    </row>
    <row r="1133" spans="1:3" hidden="1" x14ac:dyDescent="0.35">
      <c r="A1133">
        <v>884</v>
      </c>
      <c r="B1133" s="2" t="s">
        <v>3468</v>
      </c>
      <c r="C1133" t="s">
        <v>2884</v>
      </c>
    </row>
    <row r="1134" spans="1:3" hidden="1" x14ac:dyDescent="0.35">
      <c r="A1134">
        <v>884</v>
      </c>
    </row>
    <row r="1135" spans="1:3" hidden="1" x14ac:dyDescent="0.35">
      <c r="A1135">
        <v>884</v>
      </c>
      <c r="B1135" t="s">
        <v>357</v>
      </c>
      <c r="C1135" t="s">
        <v>357</v>
      </c>
    </row>
    <row r="1136" spans="1:3" hidden="1" x14ac:dyDescent="0.35">
      <c r="A1136">
        <v>884</v>
      </c>
      <c r="B1136" s="7" t="s">
        <v>3469</v>
      </c>
      <c r="C1136" t="s">
        <v>2884</v>
      </c>
    </row>
    <row r="1137" spans="1:3" hidden="1" x14ac:dyDescent="0.35">
      <c r="A1137">
        <v>884</v>
      </c>
      <c r="B1137" s="7" t="s">
        <v>3055</v>
      </c>
      <c r="C1137" t="s">
        <v>2884</v>
      </c>
    </row>
    <row r="1138" spans="1:3" hidden="1" x14ac:dyDescent="0.35">
      <c r="A1138">
        <v>996</v>
      </c>
      <c r="B1138" t="s">
        <v>357</v>
      </c>
      <c r="C1138" t="s">
        <v>357</v>
      </c>
    </row>
    <row r="1139" spans="1:3" hidden="1" x14ac:dyDescent="0.35">
      <c r="A1139">
        <v>996</v>
      </c>
      <c r="B1139" t="s">
        <v>3470</v>
      </c>
      <c r="C1139" t="s">
        <v>2890</v>
      </c>
    </row>
    <row r="1140" spans="1:3" hidden="1" x14ac:dyDescent="0.35">
      <c r="A1140">
        <v>1018</v>
      </c>
      <c r="B1140" t="s">
        <v>357</v>
      </c>
      <c r="C1140" t="s">
        <v>357</v>
      </c>
    </row>
    <row r="1141" spans="1:3" hidden="1" x14ac:dyDescent="0.35">
      <c r="A1141">
        <v>1018</v>
      </c>
      <c r="B1141" t="s">
        <v>3471</v>
      </c>
      <c r="C1141" t="s">
        <v>2890</v>
      </c>
    </row>
    <row r="1142" spans="1:3" hidden="1" x14ac:dyDescent="0.35">
      <c r="A1142">
        <v>1018</v>
      </c>
      <c r="B1142" t="s">
        <v>3015</v>
      </c>
      <c r="C1142" t="s">
        <v>2890</v>
      </c>
    </row>
    <row r="1143" spans="1:3" hidden="1" x14ac:dyDescent="0.35">
      <c r="A1143">
        <v>1018</v>
      </c>
      <c r="B1143" t="s">
        <v>3472</v>
      </c>
      <c r="C1143" t="s">
        <v>2890</v>
      </c>
    </row>
    <row r="1144" spans="1:3" hidden="1" x14ac:dyDescent="0.35">
      <c r="A1144">
        <v>1018</v>
      </c>
      <c r="B1144" t="s">
        <v>3473</v>
      </c>
      <c r="C1144" t="s">
        <v>2890</v>
      </c>
    </row>
    <row r="1145" spans="1:3" hidden="1" x14ac:dyDescent="0.35">
      <c r="A1145">
        <v>645</v>
      </c>
      <c r="B1145" s="7" t="s">
        <v>3273</v>
      </c>
      <c r="C1145" t="s">
        <v>2884</v>
      </c>
    </row>
    <row r="1146" spans="1:3" x14ac:dyDescent="0.35">
      <c r="A1146">
        <v>645</v>
      </c>
      <c r="B1146" t="s">
        <v>3474</v>
      </c>
      <c r="C1146" t="s">
        <v>2892</v>
      </c>
    </row>
    <row r="1147" spans="1:3" hidden="1" x14ac:dyDescent="0.35">
      <c r="A1147">
        <v>645</v>
      </c>
      <c r="B1147" t="s">
        <v>3007</v>
      </c>
      <c r="C1147" t="s">
        <v>2890</v>
      </c>
    </row>
    <row r="1148" spans="1:3" hidden="1" x14ac:dyDescent="0.35">
      <c r="A1148">
        <v>645</v>
      </c>
      <c r="B1148" t="s">
        <v>3014</v>
      </c>
      <c r="C1148" t="s">
        <v>357</v>
      </c>
    </row>
  </sheetData>
  <autoFilter ref="A1:C1148" xr:uid="{32CFAE4B-028E-4D60-9F31-CA7253B5B89A}">
    <filterColumn colId="2">
      <filters>
        <filter val="use and human management"/>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7C95A-71BC-4552-B75A-07DDEA7599B5}">
  <dimension ref="A1:C28"/>
  <sheetViews>
    <sheetView workbookViewId="0">
      <selection activeCell="B14" sqref="B14"/>
    </sheetView>
  </sheetViews>
  <sheetFormatPr defaultRowHeight="14.5" x14ac:dyDescent="0.35"/>
  <cols>
    <col min="1" max="1" width="45.26953125" bestFit="1" customWidth="1"/>
    <col min="2" max="2" width="102.08984375" bestFit="1" customWidth="1"/>
    <col min="3" max="3" width="10.08984375" bestFit="1" customWidth="1"/>
  </cols>
  <sheetData>
    <row r="1" spans="1:3" x14ac:dyDescent="0.35">
      <c r="A1" s="55" t="s">
        <v>1709</v>
      </c>
      <c r="B1" s="55" t="s">
        <v>1708</v>
      </c>
      <c r="C1" s="55" t="s">
        <v>1694</v>
      </c>
    </row>
    <row r="2" spans="1:3" x14ac:dyDescent="0.35">
      <c r="A2" s="46" t="s">
        <v>357</v>
      </c>
      <c r="B2" s="56" t="s">
        <v>357</v>
      </c>
      <c r="C2" s="22">
        <v>154</v>
      </c>
    </row>
    <row r="3" spans="1:3" x14ac:dyDescent="0.35">
      <c r="A3" s="46" t="s">
        <v>3485</v>
      </c>
      <c r="B3" s="56" t="s">
        <v>3487</v>
      </c>
      <c r="C3" s="22">
        <v>98</v>
      </c>
    </row>
    <row r="4" spans="1:3" x14ac:dyDescent="0.35">
      <c r="A4" s="46" t="s">
        <v>3494</v>
      </c>
      <c r="B4" s="56" t="s">
        <v>3490</v>
      </c>
      <c r="C4" s="22">
        <v>87</v>
      </c>
    </row>
    <row r="5" spans="1:3" x14ac:dyDescent="0.35">
      <c r="A5" s="46" t="s">
        <v>2890</v>
      </c>
      <c r="B5" s="56" t="s">
        <v>3478</v>
      </c>
      <c r="C5" s="22">
        <v>86</v>
      </c>
    </row>
    <row r="6" spans="1:3" x14ac:dyDescent="0.35">
      <c r="A6" s="46" t="s">
        <v>3494</v>
      </c>
      <c r="B6" s="56" t="s">
        <v>3495</v>
      </c>
      <c r="C6" s="73">
        <v>83</v>
      </c>
    </row>
    <row r="7" spans="1:3" x14ac:dyDescent="0.35">
      <c r="A7" s="46" t="s">
        <v>3485</v>
      </c>
      <c r="B7" s="56" t="s">
        <v>3486</v>
      </c>
      <c r="C7" s="22">
        <v>66</v>
      </c>
    </row>
    <row r="8" spans="1:3" x14ac:dyDescent="0.35">
      <c r="A8" s="46" t="s">
        <v>2886</v>
      </c>
      <c r="B8" s="56" t="s">
        <v>401</v>
      </c>
      <c r="C8" s="22">
        <v>57</v>
      </c>
    </row>
    <row r="9" spans="1:3" x14ac:dyDescent="0.35">
      <c r="A9" s="46" t="s">
        <v>3485</v>
      </c>
      <c r="B9" s="56" t="s">
        <v>3488</v>
      </c>
      <c r="C9" s="22">
        <v>47</v>
      </c>
    </row>
    <row r="10" spans="1:3" x14ac:dyDescent="0.35">
      <c r="A10" s="46" t="s">
        <v>2890</v>
      </c>
      <c r="B10" s="57" t="s">
        <v>3479</v>
      </c>
      <c r="C10" s="22">
        <v>45</v>
      </c>
    </row>
    <row r="11" spans="1:3" x14ac:dyDescent="0.35">
      <c r="A11" s="46" t="s">
        <v>2890</v>
      </c>
      <c r="B11" s="56" t="s">
        <v>3475</v>
      </c>
      <c r="C11" s="22">
        <v>37</v>
      </c>
    </row>
    <row r="12" spans="1:3" x14ac:dyDescent="0.35">
      <c r="A12" s="46" t="s">
        <v>2886</v>
      </c>
      <c r="B12" s="56" t="s">
        <v>1635</v>
      </c>
      <c r="C12" s="22">
        <v>25</v>
      </c>
    </row>
    <row r="13" spans="1:3" x14ac:dyDescent="0.35">
      <c r="A13" s="46" t="s">
        <v>2890</v>
      </c>
      <c r="B13" s="72" t="s">
        <v>3480</v>
      </c>
      <c r="C13" s="22">
        <v>24</v>
      </c>
    </row>
    <row r="14" spans="1:3" x14ac:dyDescent="0.35">
      <c r="A14" s="46" t="s">
        <v>2886</v>
      </c>
      <c r="B14" s="56" t="s">
        <v>154</v>
      </c>
      <c r="C14" s="22">
        <v>18</v>
      </c>
    </row>
    <row r="15" spans="1:3" x14ac:dyDescent="0.35">
      <c r="A15" s="46" t="s">
        <v>3494</v>
      </c>
      <c r="B15" s="56" t="s">
        <v>3491</v>
      </c>
      <c r="C15" s="73">
        <v>17</v>
      </c>
    </row>
    <row r="16" spans="1:3" x14ac:dyDescent="0.35">
      <c r="A16" s="46" t="s">
        <v>2886</v>
      </c>
      <c r="B16" s="73" t="s">
        <v>3483</v>
      </c>
      <c r="C16" s="22">
        <v>12</v>
      </c>
    </row>
    <row r="17" spans="1:3" x14ac:dyDescent="0.35">
      <c r="A17" s="46" t="s">
        <v>2890</v>
      </c>
      <c r="B17" s="56" t="s">
        <v>3476</v>
      </c>
      <c r="C17" s="22">
        <v>9</v>
      </c>
    </row>
    <row r="18" spans="1:3" x14ac:dyDescent="0.35">
      <c r="A18" s="46" t="s">
        <v>3485</v>
      </c>
      <c r="B18" s="56" t="s">
        <v>3489</v>
      </c>
      <c r="C18" s="22">
        <v>8</v>
      </c>
    </row>
    <row r="19" spans="1:3" x14ac:dyDescent="0.35">
      <c r="A19" s="46" t="s">
        <v>2886</v>
      </c>
      <c r="B19" s="56" t="s">
        <v>3482</v>
      </c>
      <c r="C19" s="22">
        <v>7</v>
      </c>
    </row>
    <row r="20" spans="1:3" x14ac:dyDescent="0.35">
      <c r="A20" s="46" t="s">
        <v>2886</v>
      </c>
      <c r="B20" s="56" t="s">
        <v>3484</v>
      </c>
      <c r="C20" s="22">
        <v>7</v>
      </c>
    </row>
    <row r="21" spans="1:3" x14ac:dyDescent="0.35">
      <c r="A21" s="46" t="s">
        <v>2886</v>
      </c>
      <c r="B21" s="56" t="s">
        <v>3079</v>
      </c>
      <c r="C21" s="22">
        <v>6</v>
      </c>
    </row>
    <row r="22" spans="1:3" x14ac:dyDescent="0.35">
      <c r="A22" s="46" t="s">
        <v>2886</v>
      </c>
      <c r="B22" s="56" t="s">
        <v>3056</v>
      </c>
      <c r="C22" s="22">
        <v>6</v>
      </c>
    </row>
    <row r="23" spans="1:3" x14ac:dyDescent="0.35">
      <c r="A23" s="46" t="s">
        <v>2886</v>
      </c>
      <c r="B23" s="56" t="s">
        <v>3481</v>
      </c>
      <c r="C23" s="22">
        <v>5</v>
      </c>
    </row>
    <row r="24" spans="1:3" x14ac:dyDescent="0.35">
      <c r="A24" s="46" t="s">
        <v>3485</v>
      </c>
      <c r="B24" s="80" t="s">
        <v>244</v>
      </c>
      <c r="C24" s="22">
        <v>4</v>
      </c>
    </row>
    <row r="25" spans="1:3" x14ac:dyDescent="0.35">
      <c r="A25" s="46" t="s">
        <v>3494</v>
      </c>
      <c r="B25" s="56" t="s">
        <v>3492</v>
      </c>
      <c r="C25" s="73">
        <v>4</v>
      </c>
    </row>
    <row r="26" spans="1:3" x14ac:dyDescent="0.35">
      <c r="A26" s="46" t="s">
        <v>3494</v>
      </c>
      <c r="B26" s="56" t="s">
        <v>3493</v>
      </c>
      <c r="C26" s="73">
        <v>4</v>
      </c>
    </row>
    <row r="27" spans="1:3" x14ac:dyDescent="0.35">
      <c r="A27" s="46" t="s">
        <v>2886</v>
      </c>
      <c r="B27" s="56" t="s">
        <v>36</v>
      </c>
      <c r="C27" s="22">
        <v>3</v>
      </c>
    </row>
    <row r="28" spans="1:3" x14ac:dyDescent="0.35">
      <c r="B28" s="79" t="s">
        <v>22</v>
      </c>
      <c r="C28">
        <f>8</f>
        <v>8</v>
      </c>
    </row>
  </sheetData>
  <autoFilter ref="A1:C28" xr:uid="{12B7C95A-71BC-4552-B75A-07DDEA7599B5}">
    <sortState xmlns:xlrd2="http://schemas.microsoft.com/office/spreadsheetml/2017/richdata2" ref="A2:C27">
      <sortCondition descending="1" ref="C1:C27"/>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0CE8A3A04EF654EBDFED3E4D54E8777" ma:contentTypeVersion="12" ma:contentTypeDescription="Crear nuevo documento." ma:contentTypeScope="" ma:versionID="e6b5b427dc2cc6cd663f00a00bc00af3">
  <xsd:schema xmlns:xsd="http://www.w3.org/2001/XMLSchema" xmlns:xs="http://www.w3.org/2001/XMLSchema" xmlns:p="http://schemas.microsoft.com/office/2006/metadata/properties" xmlns:ns3="9099b4f9-c5c0-44f5-8162-1be5bae6b1fc" targetNamespace="http://schemas.microsoft.com/office/2006/metadata/properties" ma:root="true" ma:fieldsID="520a9726f90877a8c18c9d8929fb0c3c" ns3:_="">
    <xsd:import namespace="9099b4f9-c5c0-44f5-8162-1be5bae6b1f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ServiceOCR"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99b4f9-c5c0-44f5-8162-1be5bae6b1f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9099b4f9-c5c0-44f5-8162-1be5bae6b1fc" xsi:nil="true"/>
  </documentManagement>
</p:properties>
</file>

<file path=customXml/itemProps1.xml><?xml version="1.0" encoding="utf-8"?>
<ds:datastoreItem xmlns:ds="http://schemas.openxmlformats.org/officeDocument/2006/customXml" ds:itemID="{7392BA5F-1702-43CA-9D86-80CD2FD2FFB2}">
  <ds:schemaRefs>
    <ds:schemaRef ds:uri="http://schemas.microsoft.com/sharepoint/v3/contenttype/forms"/>
  </ds:schemaRefs>
</ds:datastoreItem>
</file>

<file path=customXml/itemProps2.xml><?xml version="1.0" encoding="utf-8"?>
<ds:datastoreItem xmlns:ds="http://schemas.openxmlformats.org/officeDocument/2006/customXml" ds:itemID="{4EFFF895-26E4-4A1C-BA40-7DBBF04599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99b4f9-c5c0-44f5-8162-1be5bae6b1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AF8AEF-D4F6-4AE3-AD86-7F976EC793BD}">
  <ds:schemaRefs>
    <ds:schemaRef ds:uri="http://purl.org/dc/terms/"/>
    <ds:schemaRef ds:uri="http://purl.org/dc/elements/1.1/"/>
    <ds:schemaRef ds:uri="http://schemas.microsoft.com/office/2006/metadata/properties"/>
    <ds:schemaRef ds:uri="http://schemas.microsoft.com/office/infopath/2007/PartnerControls"/>
    <ds:schemaRef ds:uri="http://www.w3.org/XML/1998/namespace"/>
    <ds:schemaRef ds:uri="http://schemas.microsoft.com/office/2006/documentManagement/types"/>
    <ds:schemaRef ds:uri="http://schemas.openxmlformats.org/package/2006/metadata/core-properties"/>
    <ds:schemaRef ds:uri="9099b4f9-c5c0-44f5-8162-1be5bae6b1fc"/>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6</vt:i4>
      </vt:variant>
    </vt:vector>
  </HeadingPairs>
  <TitlesOfParts>
    <vt:vector size="6" baseType="lpstr">
      <vt:lpstr>V_class</vt:lpstr>
      <vt:lpstr>v_grupos</vt:lpstr>
      <vt:lpstr>S_class</vt:lpstr>
      <vt:lpstr>s_grupos</vt:lpstr>
      <vt:lpstr>M_classTotal</vt:lpstr>
      <vt:lpstr>ve_grupos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Carrión Megías Anna</cp:lastModifiedBy>
  <dcterms:created xsi:type="dcterms:W3CDTF">2026-06-05T14:21:13Z</dcterms:created>
  <dcterms:modified xsi:type="dcterms:W3CDTF">2026-07-01T10:35:00Z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0x01010040CE8A3A04EF654EBDFED3E4D54E8777</vt:lpwstr>
  </property>
</Properties>
</file>