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universidaddealcala-my.sharepoint.com/personal/anna_carrion_edu_uah_es/Documents/01 MURE i Doctorat/14. PEX y TFM/TFM/Tratamiento datos/"/>
    </mc:Choice>
  </mc:AlternateContent>
  <xr:revisionPtr revIDLastSave="670" documentId="8_{68F12CE8-6239-4E70-8CFB-60DD149948CC}" xr6:coauthVersionLast="47" xr6:coauthVersionMax="47" xr10:uidLastSave="{C15BE3FB-C641-4CC6-9187-A93A75225321}"/>
  <bookViews>
    <workbookView xWindow="28680" yWindow="-120" windowWidth="29040" windowHeight="15720" firstSheet="1" activeTab="2" xr2:uid="{00000000-000D-0000-FFFF-FFFF00000000}"/>
  </bookViews>
  <sheets>
    <sheet name="0_guide" sheetId="6" r:id="rId1"/>
    <sheet name="1_study" sheetId="1" r:id="rId2"/>
    <sheet name="1_study_resumen" sheetId="10" r:id="rId3"/>
    <sheet name="2_fire" sheetId="4" r:id="rId4"/>
    <sheet name="2_fire_resumen" sheetId="12" r:id="rId5"/>
    <sheet name="3_measures" sheetId="2" r:id="rId6"/>
    <sheet name="3_measures_resumen" sheetId="11" r:id="rId7"/>
    <sheet name="4_Exclusion" sheetId="9" r:id="rId8"/>
    <sheet name="Aux" sheetId="7" r:id="rId9"/>
  </sheets>
  <definedNames>
    <definedName name="_xlnm._FilterDatabase" localSheetId="1" hidden="1">'1_study'!$A$1:$H$296</definedName>
    <definedName name="_xlnm._FilterDatabase" localSheetId="3" hidden="1">'2_fire'!$A$1:$P$763</definedName>
    <definedName name="_xlnm._FilterDatabase" localSheetId="5" hidden="1">'3_measures'!$A$1:$J$1996</definedName>
    <definedName name="_xlnm._FilterDatabase" localSheetId="6" hidden="1">'3_measures_resumen'!$I$1:$K$379</definedName>
    <definedName name="_xlnm._FilterDatabase" localSheetId="7" hidden="1">'4_Exclusion'!$A$1:$C$81</definedName>
    <definedName name="DadesExternes_1" localSheetId="2" hidden="1">'1_study_resumen'!$J$18:$M$21</definedName>
    <definedName name="DadesExternes_2" localSheetId="2" hidden="1">'1_study_resumen'!$J$24:$M$27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9" l="1"/>
  <c r="F7" i="9"/>
  <c r="F6" i="9"/>
  <c r="E33" i="10"/>
  <c r="E32" i="10"/>
  <c r="B5" i="10"/>
  <c r="B4" i="10"/>
  <c r="B3" i="10"/>
  <c r="B2" i="10"/>
  <c r="F9" i="9"/>
  <c r="F8" i="9"/>
  <c r="F10" i="9" l="1"/>
  <c r="B6" i="10"/>
  <c r="B5" i="11"/>
  <c r="B4" i="11"/>
  <c r="B3" i="11"/>
  <c r="B2" i="11"/>
  <c r="C487" i="4"/>
  <c r="C486" i="4"/>
  <c r="C485" i="4"/>
  <c r="C484" i="4"/>
  <c r="C483" i="4"/>
  <c r="G761" i="2"/>
  <c r="I408" i="4"/>
  <c r="I406" i="4"/>
  <c r="I405" i="4"/>
  <c r="I404" i="4"/>
  <c r="I403" i="4"/>
  <c r="I398" i="4"/>
  <c r="I397" i="4"/>
  <c r="I388" i="4"/>
  <c r="I387" i="4"/>
  <c r="I386" i="4"/>
  <c r="I384" i="4"/>
  <c r="I372" i="4"/>
  <c r="I371" i="4"/>
  <c r="I370" i="4"/>
  <c r="G9" i="9" l="1"/>
  <c r="G6" i="9"/>
  <c r="G7" i="9"/>
  <c r="G8" i="9"/>
  <c r="G5" i="9"/>
  <c r="R11" i="10"/>
  <c r="B6" i="11"/>
  <c r="C2" i="11" s="1"/>
  <c r="I356" i="4"/>
  <c r="I357" i="4"/>
  <c r="I358" i="4"/>
  <c r="I359" i="4"/>
  <c r="I360" i="4"/>
  <c r="I361" i="4"/>
  <c r="I362" i="4"/>
  <c r="I355" i="4"/>
  <c r="I341" i="4"/>
  <c r="I339" i="4"/>
  <c r="C3" i="11" l="1"/>
  <c r="C4" i="11"/>
  <c r="C5" i="11"/>
  <c r="C6" i="11"/>
  <c r="I338" i="4"/>
  <c r="I336" i="4"/>
  <c r="I328" i="4" l="1"/>
  <c r="I327" i="4"/>
  <c r="I326" i="4"/>
  <c r="I320" i="4" l="1"/>
  <c r="I319" i="4" l="1"/>
  <c r="I318" i="4"/>
  <c r="I317" i="4"/>
  <c r="I314" i="4"/>
  <c r="I310" i="4"/>
  <c r="I303" i="4" l="1"/>
  <c r="I269" i="4" l="1"/>
  <c r="I257" i="4"/>
  <c r="I253" i="4" l="1"/>
  <c r="I252" i="4"/>
  <c r="I246" i="4" l="1"/>
  <c r="I185" i="4" l="1"/>
  <c r="I186" i="4"/>
  <c r="I184" i="4"/>
  <c r="I178" i="4" l="1"/>
  <c r="I177" i="4"/>
  <c r="I172" i="4" l="1"/>
  <c r="I16" i="4" l="1"/>
  <c r="I17" i="4"/>
  <c r="I20" i="4"/>
  <c r="I22" i="4"/>
  <c r="I13" i="4"/>
  <c r="I25" i="4"/>
  <c r="I19" i="4"/>
  <c r="I12" i="4"/>
  <c r="I26" i="4"/>
  <c r="I23" i="4"/>
  <c r="I18" i="4"/>
  <c r="I161" i="4"/>
  <c r="I160" i="4" l="1"/>
  <c r="I159" i="4"/>
  <c r="I157" i="4"/>
  <c r="I57" i="4"/>
  <c r="I48" i="4"/>
  <c r="I49" i="4"/>
  <c r="I47" i="4"/>
  <c r="I41" i="4"/>
  <c r="I40" i="4"/>
  <c r="I27" i="4"/>
  <c r="I6" i="4"/>
  <c r="I8" i="4"/>
  <c r="I9" i="4"/>
  <c r="I10" i="4"/>
  <c r="I7" i="4"/>
  <c r="I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tc={EA178136-5B07-4E78-B739-5FFA6740D138}</author>
    <author>tc={1E7CDE4C-A857-4915-ADD5-A7956E575E94}</author>
    <author>tc={087E332B-A760-433B-9AD1-8AE18539088B}</author>
  </authors>
  <commentList>
    <comment ref="C1" authorId="0" shapeId="0" xr:uid="{EA178136-5B07-4E78-B739-5FFA6740D138}">
      <text>
        <t>[Comentari en fils]
La vostra versió de l'Excel us permet llegir aquest comentari en fils. No obstant això, les edicions que s'hi apliquin se suprimiran si el fitxer s'obre en una versió més recent de l'Excel. Més informació: https://go.microsoft.com/fwlink/?linkid=870924.
Comentari:
    Corregir: Poner fecha que dicen los autores aunque no sea completa, no buscar incendio por internet!</t>
      </text>
    </comment>
    <comment ref="A363" authorId="1" shapeId="0" xr:uid="{1E7CDE4C-A857-4915-ADD5-A7956E575E94}">
      <text>
        <t>[Comentari en fils]
La vostra versió de l'Excel us permet llegir aquest comentari en fils. No obstant això, les edicions que s'hi apliquin se suprimiran si el fitxer s'obre en una versió més recent de l'Excel. Més informació: https://go.microsoft.com/fwlink/?linkid=870924.
Comentari:
    Ejemplo severidad no explícita</t>
      </text>
    </comment>
    <comment ref="A369" authorId="2" shapeId="0" xr:uid="{087E332B-A760-433B-9AD1-8AE18539088B}">
      <text>
        <t>[Comentari en fils]
La vostra versió de l'Excel us permet llegir aquest comentari en fils. No obstant això, les edicions que s'hi apliquin se suprimiran si el fitxer s'obre en una versió més recent de l'Excel. Més informació: https://go.microsoft.com/fwlink/?linkid=870924.
Comentari:
    Severidad no explícita ejemplo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tc={1300ECB3-88AC-456C-AF2E-C6D95EBB47EB}</author>
    <author>tc={09E03171-CF6A-4FD5-8C01-48AA08A9CDED}</author>
    <author>tc={1038AA54-721B-40AD-9286-A658566B82AD}</author>
  </authors>
  <commentList>
    <comment ref="G1" authorId="0" shapeId="0" xr:uid="{1300ECB3-88AC-456C-AF2E-C6D95EBB47EB}">
      <text>
        <t>[Comentari en fils]
La vostra versió de l'Excel us permet llegir aquest comentari en fils. No obstant això, les edicions que s'hi apliquin se suprimiran si el fitxer s'obre en una versió més recent de l'Excel. Més informació: https://go.microsoft.com/fwlink/?linkid=870924.
Comentari:
    Corregir: poner fecha aunque no completa la definida por los autores</t>
      </text>
    </comment>
    <comment ref="G415" authorId="1" shapeId="0" xr:uid="{09E03171-CF6A-4FD5-8C01-48AA08A9CDED}">
      <text>
        <t>[Comentari en fils]
La vostra versió de l'Excel us permet llegir aquest comentari en fils. No obstant això, les edicions que s'hi apliquin se suprimiran si el fitxer s'obre en una versió més recent de l'Excel. Més informació: https://go.microsoft.com/fwlink/?linkid=870924.
Comentari:
    Duda - postfire starting sampling date
Resposta:
    En results se ve como el inicio de medidas postincendio es en enero-febrero del 17. Está okay</t>
      </text>
    </comment>
    <comment ref="A491" authorId="2" shapeId="0" xr:uid="{1038AA54-721B-40AD-9286-A658566B82AD}">
      <text>
        <t>[Comentari en fils]
La vostra versió de l'Excel us permet llegir aquest comentari en fils. No obstant això, les edicions que s'hi apliquin se suprimiran si el fitxer s'obre en una versió més recent de l'Excel. Més informació: https://go.microsoft.com/fwlink/?linkid=870924.
Comentari:
    Duda - figura 3 no entiendo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tc={BFF85C91-CD64-4460-A1C5-002FD1E9B791}</author>
  </authors>
  <commentList>
    <comment ref="H21" authorId="0" shapeId="0" xr:uid="{BFF85C91-CD64-4460-A1C5-002FD1E9B791}">
      <text>
        <t>[Comentari en fils]
La vostra versió de l'Excel us permet llegir aquest comentari en fils. No obstant això, les edicions que s'hi apliquin se suprimiran si el fitxer s'obre en una versió més recent de l'Excel. Més informació: https://go.microsoft.com/fwlink/?linkid=870924.
Comentari:
    Tal vez convendría crear categoría "functional traits", muy importante acuerdate de PERE en restauración. Decía el profe que la restauración basada en rasgos funcionales era importante. Tal vez puede quedar guay tener en cuenta si la literatura habla de esto y citar su importancia en el TFM</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ACB7A7-1DC2-4C1B-BF78-5FE4C7F35630}" keepAlive="1" name="Consulta: OE1" description="Connexió a la consulta &quot;OE1&quot; del llibre." type="5" refreshedVersion="0" background="1" saveData="1">
    <dbPr connection="Provider=Microsoft.Mashup.OleDb.1;Data Source=$Workbook$;Location=OE1;Extended Properties=&quot;&quot;" command="SELECT * FROM [OE1]"/>
  </connection>
  <connection id="2" xr16:uid="{78A6D93D-9401-469A-850D-F81ACF936845}" keepAlive="1" name="Consulta: OE1 (2)" description="Connexió a la consulta &quot;OE1 (2)&quot; del llibre." type="5" refreshedVersion="8" background="1" saveData="1">
    <dbPr connection="Provider=Microsoft.Mashup.OleDb.1;Data Source=$Workbook$;Location=&quot;OE1 (2)&quot;;Extended Properties=&quot;&quot;" command="SELECT * FROM [OE1 (2)]"/>
  </connection>
  <connection id="3" xr16:uid="{819985AB-59FA-4D10-BE2C-1CC6440D815F}" keepAlive="1" name="Consulta: OE1 (3)" description="Connexió a la consulta &quot;OE1 (3)&quot; del llibre." type="5" refreshedVersion="0" background="1" saveData="1">
    <dbPr connection="Provider=Microsoft.Mashup.OleDb.1;Data Source=$Workbook$;Location=&quot;OE1 (3)&quot;;Extended Properties=&quot;&quot;" command="SELECT * FROM [OE1 (3)]"/>
  </connection>
  <connection id="4" xr16:uid="{BF9B1C92-5EF2-41D8-AB3C-711B4EF131B2}" keepAlive="1" name="Consulta: OE1 (4)" description="Connexió a la consulta &quot;OE1 (4)&quot; del llibre." type="5" refreshedVersion="8" background="1" saveData="1">
    <dbPr connection="Provider=Microsoft.Mashup.OleDb.1;Data Source=$Workbook$;Location=&quot;OE1 (4)&quot;;Extended Properties=&quot;&quot;" command="SELECT * FROM [OE1 (4)]"/>
  </connection>
  <connection id="5" xr16:uid="{990FDA46-9F3F-4ECA-8AE9-D209949745EF}" keepAlive="1" name="Consulta: OE2" description="Connexió a la consulta &quot;OE2&quot; del llibre." type="5" refreshedVersion="0" background="1" saveData="1">
    <dbPr connection="Provider=Microsoft.Mashup.OleDb.1;Data Source=$Workbook$;Location=OE2;Extended Properties=&quot;&quot;" command="SELECT * FROM [OE2]"/>
  </connection>
</connections>
</file>

<file path=xl/sharedStrings.xml><?xml version="1.0" encoding="utf-8"?>
<sst xmlns="http://schemas.openxmlformats.org/spreadsheetml/2006/main" count="23685" uniqueCount="4757">
  <si>
    <t>mucho cuidado al copiar datos numericos con comas o puntos</t>
  </si>
  <si>
    <t>our_id</t>
  </si>
  <si>
    <t>Identification number, the same as for the abstract screening</t>
  </si>
  <si>
    <t>study_type</t>
  </si>
  <si>
    <t>study_level</t>
  </si>
  <si>
    <t>n_fires</t>
  </si>
  <si>
    <t>Number of fires analysed in the study</t>
  </si>
  <si>
    <t>fire_id</t>
  </si>
  <si>
    <t>Identifier for each fire in the study, starting at 1 up to i</t>
  </si>
  <si>
    <t>fire_date</t>
  </si>
  <si>
    <t>country</t>
  </si>
  <si>
    <t>latitude</t>
  </si>
  <si>
    <t>longitude</t>
  </si>
  <si>
    <t>elevation</t>
  </si>
  <si>
    <t>fire_size</t>
  </si>
  <si>
    <t>severity</t>
  </si>
  <si>
    <t>fire_type</t>
  </si>
  <si>
    <t>single / combined (If the results are given aggregated for many fires)</t>
  </si>
  <si>
    <t>forest_type</t>
  </si>
  <si>
    <t>forest_details</t>
  </si>
  <si>
    <t>Details of the existing forest stand (planted, natural, mixed, dominant species, etc.)</t>
  </si>
  <si>
    <t>postfire_management</t>
  </si>
  <si>
    <t>measure_date</t>
  </si>
  <si>
    <t>sampling_type</t>
  </si>
  <si>
    <t>moderator_type</t>
  </si>
  <si>
    <t>response_variable</t>
  </si>
  <si>
    <t>reason</t>
  </si>
  <si>
    <t>Reason for rejection</t>
  </si>
  <si>
    <t>remote sensing</t>
  </si>
  <si>
    <t>field</t>
  </si>
  <si>
    <t>specie</t>
  </si>
  <si>
    <t>palaeoecology</t>
  </si>
  <si>
    <t>Australia</t>
  </si>
  <si>
    <t>high</t>
  </si>
  <si>
    <t>single</t>
  </si>
  <si>
    <t>eucalypt forest</t>
  </si>
  <si>
    <t>dry sclerophyll forest domi-nated by Eucalyptus marginata</t>
  </si>
  <si>
    <t>Portugal</t>
  </si>
  <si>
    <t>pine forest</t>
  </si>
  <si>
    <t>dominated by Pinus pinaster</t>
  </si>
  <si>
    <t>broadleaves forest</t>
  </si>
  <si>
    <t>EEUU</t>
  </si>
  <si>
    <t>dominated by Pinus ponderosa</t>
  </si>
  <si>
    <t>erosion control</t>
  </si>
  <si>
    <t>silvicultural</t>
  </si>
  <si>
    <t>Spain</t>
  </si>
  <si>
    <t>cork oak forest</t>
  </si>
  <si>
    <t>dominated by Quercus suber</t>
  </si>
  <si>
    <t>reforestation</t>
  </si>
  <si>
    <t>Greece</t>
  </si>
  <si>
    <t>dominated by Pinus halepensis</t>
  </si>
  <si>
    <t>combined</t>
  </si>
  <si>
    <t>1979</t>
  </si>
  <si>
    <t>1981</t>
  </si>
  <si>
    <t>1984</t>
  </si>
  <si>
    <t>1985</t>
  </si>
  <si>
    <t>1991</t>
  </si>
  <si>
    <t>1994</t>
  </si>
  <si>
    <t>1999</t>
  </si>
  <si>
    <t>2003</t>
  </si>
  <si>
    <t>2010</t>
  </si>
  <si>
    <t>2012</t>
  </si>
  <si>
    <t>2005-09</t>
  </si>
  <si>
    <t>P. pinaster, P. nigra, P. sylvestris in order of increasing elevation</t>
  </si>
  <si>
    <t>Turkey</t>
  </si>
  <si>
    <t>dominated by Pinus brutia</t>
  </si>
  <si>
    <t>1989</t>
  </si>
  <si>
    <t>1995</t>
  </si>
  <si>
    <t>1996</t>
  </si>
  <si>
    <t>1997</t>
  </si>
  <si>
    <t>2002</t>
  </si>
  <si>
    <t>dominated by Pinus sylvestris</t>
  </si>
  <si>
    <t>Algeria</t>
  </si>
  <si>
    <t>low</t>
  </si>
  <si>
    <t>Israel</t>
  </si>
  <si>
    <t>sclerophyll forest</t>
  </si>
  <si>
    <t>oak forest</t>
  </si>
  <si>
    <t>dominated by Holm Oaks</t>
  </si>
  <si>
    <t>2000</t>
  </si>
  <si>
    <t>dominated by Pinus nigra, Pinus pinaster, and Pinus halepensis</t>
  </si>
  <si>
    <t>2001</t>
  </si>
  <si>
    <t>Pinus halepensis–Pistacia palestina-Cistus sp. associations on south facing slopes and Quarcus calliprinos - Pistacia palastina association on north facing slopes</t>
  </si>
  <si>
    <t>Italy</t>
  </si>
  <si>
    <t>dominant species include Quercus faginea, Quercus suber, Quercus coccifera, Pinus pinaster and Pinus pinea</t>
  </si>
  <si>
    <t>1982</t>
  </si>
  <si>
    <t>1978</t>
  </si>
  <si>
    <t>France</t>
  </si>
  <si>
    <t>dominated by pine (P. pinaster) and oak (Q. suber, Q. ilex and Q.
pubescens)</t>
  </si>
  <si>
    <t>1970</t>
  </si>
  <si>
    <t>1990</t>
  </si>
  <si>
    <t>dominated by Pinus nigra</t>
  </si>
  <si>
    <t>Chile</t>
  </si>
  <si>
    <t>The woody dominant species are endemics, these are Cryptocarya alba (Lauraceae), Peumus boldus (Monimiaceae), Quillaja saponaria (rosaceae) and Schinus polygamus (Anacardiaceae), among others</t>
  </si>
  <si>
    <t>low;medium;high</t>
  </si>
  <si>
    <t>dominating species Pinus halepensis, Pinus nigra, Pinus pinaster and Quercus ilex</t>
  </si>
  <si>
    <t>medium;high</t>
  </si>
  <si>
    <t>dominated by the deciduous Nothofagus glauca, N. Alessandrii, and N. Obliqua and other evergreen species such as Azara petriolaris, Persea lingue, Cryptocarya alba, Lithraea caustica, and Escallonia pulverulenta</t>
  </si>
  <si>
    <t>dominated by Pinus brutia and Pinus nigra</t>
  </si>
  <si>
    <t>dominated by Pinus halepensis and Pinus pinaster</t>
  </si>
  <si>
    <t>dominated by Pinus pinaster, Pinus nigra, and Pinus sylvestris</t>
  </si>
  <si>
    <t>dominated by Quercus ilex, Phyllirea latifolia, Pistacia lentiscus, Pinus pinea</t>
  </si>
  <si>
    <t>silvicultural; reforestation</t>
  </si>
  <si>
    <t>all</t>
  </si>
  <si>
    <t>1975-2006</t>
  </si>
  <si>
    <t>dominated by Quercus suber, Quercus ilex, and Quercus pyrenaica</t>
  </si>
  <si>
    <t>&gt;5500</t>
  </si>
  <si>
    <t>dominated by Quercus ilex and Pinus halepensis</t>
  </si>
  <si>
    <t>2004</t>
  </si>
  <si>
    <t>2005</t>
  </si>
  <si>
    <t>dominated by Eucalyptus salubris</t>
  </si>
  <si>
    <t>dominated by Quercus ilex</t>
  </si>
  <si>
    <t>1983</t>
  </si>
  <si>
    <t>1974</t>
  </si>
  <si>
    <t>dominated by Pinus nigra, Pinus halepensis and Pinus sylvestris</t>
  </si>
  <si>
    <t>erosion control; reforestation</t>
  </si>
  <si>
    <t>37.3</t>
  </si>
  <si>
    <t>-8.5</t>
  </si>
  <si>
    <t>dominated by Eucalyptus globulus</t>
  </si>
  <si>
    <t>farm-land transformation</t>
  </si>
  <si>
    <t>medium: high</t>
  </si>
  <si>
    <t>dominated by Eucalyptus marginata</t>
  </si>
  <si>
    <t>variable_type</t>
  </si>
  <si>
    <t>plot</t>
  </si>
  <si>
    <t>fire severity;drought  probability</t>
  </si>
  <si>
    <t>vegetation</t>
  </si>
  <si>
    <t>QMD (quadratic mean diameter)</t>
  </si>
  <si>
    <t>Stem density</t>
  </si>
  <si>
    <t>Live canopy height</t>
  </si>
  <si>
    <t>Stem mortality</t>
  </si>
  <si>
    <t>Resprouting stems</t>
  </si>
  <si>
    <t>soil</t>
  </si>
  <si>
    <t>Fine woody debris</t>
  </si>
  <si>
    <t>Stem diameter (DBH)</t>
  </si>
  <si>
    <t>Stem survival</t>
  </si>
  <si>
    <t>NDVI</t>
  </si>
  <si>
    <t>plots</t>
  </si>
  <si>
    <t>sediment yield</t>
  </si>
  <si>
    <t>canopy closure</t>
  </si>
  <si>
    <t>bulk density</t>
  </si>
  <si>
    <t>Hydraulic conductivity (Kfs)</t>
  </si>
  <si>
    <t>soil water repellency</t>
  </si>
  <si>
    <t>transects</t>
  </si>
  <si>
    <t>species composition</t>
  </si>
  <si>
    <t>reproductive strategy</t>
  </si>
  <si>
    <t>fire intensity</t>
  </si>
  <si>
    <t>Height class</t>
  </si>
  <si>
    <t>recovery of soil cover</t>
  </si>
  <si>
    <t>diversity (Berger-Parker index)</t>
  </si>
  <si>
    <t>eveness(Camargo's index)</t>
  </si>
  <si>
    <t>relative abundance</t>
  </si>
  <si>
    <t>ecosystem services</t>
  </si>
  <si>
    <t>multifunctionality</t>
  </si>
  <si>
    <t>biodiversity conservation</t>
  </si>
  <si>
    <t>food production</t>
  </si>
  <si>
    <t>carbon sequestration</t>
  </si>
  <si>
    <t>disturbance regulation</t>
  </si>
  <si>
    <t>supporting services</t>
  </si>
  <si>
    <t>fire recurrence</t>
  </si>
  <si>
    <t>dead fuel bulk density</t>
  </si>
  <si>
    <t>snag basal diameter</t>
  </si>
  <si>
    <t>snag fall rate</t>
  </si>
  <si>
    <t>snag retention time</t>
  </si>
  <si>
    <t>waste decomposition</t>
  </si>
  <si>
    <t>water cycle</t>
  </si>
  <si>
    <t>nutrient cycling</t>
  </si>
  <si>
    <t>climate regulation</t>
  </si>
  <si>
    <t>biomass production</t>
  </si>
  <si>
    <t>diversity (Shannon index)</t>
  </si>
  <si>
    <t>total average cover</t>
  </si>
  <si>
    <t>shrub richness</t>
  </si>
  <si>
    <t>macrolichens (IAP index)</t>
  </si>
  <si>
    <t>ground cover index (GC)</t>
  </si>
  <si>
    <t>macrolichens (SEF index)</t>
  </si>
  <si>
    <t>vegetation cover</t>
  </si>
  <si>
    <t>species richness</t>
  </si>
  <si>
    <t>1956</t>
  </si>
  <si>
    <t>time: species: DBH</t>
  </si>
  <si>
    <t>Land cover change</t>
  </si>
  <si>
    <t>species: DBH</t>
  </si>
  <si>
    <t>Nº of trees</t>
  </si>
  <si>
    <t>time: species</t>
  </si>
  <si>
    <t>timber volume</t>
  </si>
  <si>
    <t>fire</t>
  </si>
  <si>
    <t>time:NBR</t>
  </si>
  <si>
    <t>year;s_management type</t>
  </si>
  <si>
    <t>richness</t>
  </si>
  <si>
    <t>pine seedling growth</t>
  </si>
  <si>
    <t>pine seedling mortality</t>
  </si>
  <si>
    <t>pine seedling production</t>
  </si>
  <si>
    <t>runoff</t>
  </si>
  <si>
    <t>time</t>
  </si>
  <si>
    <t>pine seedling height</t>
  </si>
  <si>
    <t>pine seedling density</t>
  </si>
  <si>
    <t>seedling emergence</t>
  </si>
  <si>
    <t>survival probability</t>
  </si>
  <si>
    <t>floristic similarity (Sorensen index)</t>
  </si>
  <si>
    <t>eveness</t>
  </si>
  <si>
    <t>se_management type</t>
  </si>
  <si>
    <t>fauna</t>
  </si>
  <si>
    <t>frugivorous bird richness</t>
  </si>
  <si>
    <t>frugivorous bird ocurrence</t>
  </si>
  <si>
    <t>seed dispersal</t>
  </si>
  <si>
    <t>survival</t>
  </si>
  <si>
    <t>EVI index single fires</t>
  </si>
  <si>
    <t>EVI index repeated fires</t>
  </si>
  <si>
    <t>tree ring measurements</t>
  </si>
  <si>
    <t>Basal area increment (BAI)</t>
  </si>
  <si>
    <t>Intra-annual density fluctuations (IASDF)</t>
  </si>
  <si>
    <t>13C</t>
  </si>
  <si>
    <t>18O</t>
  </si>
  <si>
    <t>Xilogenesis</t>
  </si>
  <si>
    <t>height</t>
  </si>
  <si>
    <t>diameter</t>
  </si>
  <si>
    <t>pine regeneration density</t>
  </si>
  <si>
    <t>pine density</t>
  </si>
  <si>
    <t>pine height</t>
  </si>
  <si>
    <t>pine diameter</t>
  </si>
  <si>
    <t>pine radial growth</t>
  </si>
  <si>
    <t>pine time of recruitment</t>
  </si>
  <si>
    <t>reproductive pines</t>
  </si>
  <si>
    <t>pine new cones produced</t>
  </si>
  <si>
    <t xml:space="preserve">pine new cones - open cones </t>
  </si>
  <si>
    <t>pine mature cones</t>
  </si>
  <si>
    <t>pine inmature cones</t>
  </si>
  <si>
    <t>oak recruitment</t>
  </si>
  <si>
    <t>mortality</t>
  </si>
  <si>
    <t>broadleaves mortality</t>
  </si>
  <si>
    <t>s_management type</t>
  </si>
  <si>
    <t>soil respiration</t>
  </si>
  <si>
    <t>soil water content</t>
  </si>
  <si>
    <t>historical land use trajectory</t>
  </si>
  <si>
    <t>species presence</t>
  </si>
  <si>
    <t>land use category</t>
  </si>
  <si>
    <t>species density</t>
  </si>
  <si>
    <t>seedling nutrient concentration (N, P, Ca, Mg, K, Na, Fe, Mn, Zn, and Cu)</t>
  </si>
  <si>
    <t>seedling carbon concentration</t>
  </si>
  <si>
    <t>leeader-shoot elongation</t>
  </si>
  <si>
    <t>shoot biomass</t>
  </si>
  <si>
    <t>cone production</t>
  </si>
  <si>
    <t>basal trunk diameter</t>
  </si>
  <si>
    <t>pine needles 13C</t>
  </si>
  <si>
    <t>pine needles 15N</t>
  </si>
  <si>
    <t>pine needles 18O</t>
  </si>
  <si>
    <t>species</t>
  </si>
  <si>
    <t>TSLF</t>
  </si>
  <si>
    <t>woody species richness</t>
  </si>
  <si>
    <t>woody species abundance</t>
  </si>
  <si>
    <t>regenerated species richness</t>
  </si>
  <si>
    <t>regenerated species abundance</t>
  </si>
  <si>
    <t>native herbaceous species richness</t>
  </si>
  <si>
    <t>exotic herbaceous species richness</t>
  </si>
  <si>
    <t>herbaceous cover of native species</t>
  </si>
  <si>
    <t>herbaceous cover of exotic species</t>
  </si>
  <si>
    <t>species similarity (Jaccard index)</t>
  </si>
  <si>
    <t>dense vegetation cover</t>
  </si>
  <si>
    <t>semidense vegetation cover</t>
  </si>
  <si>
    <t>open vegetation cover</t>
  </si>
  <si>
    <t>maximum tree height</t>
  </si>
  <si>
    <t>mean tree height</t>
  </si>
  <si>
    <t>fraction of cover</t>
  </si>
  <si>
    <t>above-ground biomass per tree</t>
  </si>
  <si>
    <t>FPAR (Fraction of Photosynthetically Active
Radiation)</t>
  </si>
  <si>
    <t>P. radiata density</t>
  </si>
  <si>
    <t>floristic diversity</t>
  </si>
  <si>
    <t>P. brutia forest regeneration</t>
  </si>
  <si>
    <t>P. nigra forest regeneration</t>
  </si>
  <si>
    <t>other vegetation recovery</t>
  </si>
  <si>
    <t>tree cover</t>
  </si>
  <si>
    <t>mean height</t>
  </si>
  <si>
    <t>CVH coefficient variation in height</t>
  </si>
  <si>
    <t>recovery indicator (RI)</t>
  </si>
  <si>
    <t>species total cover</t>
  </si>
  <si>
    <t>perennials cover</t>
  </si>
  <si>
    <t>annuals cover</t>
  </si>
  <si>
    <t>phanerophytes cover</t>
  </si>
  <si>
    <t>seeders cover</t>
  </si>
  <si>
    <t>resprouters cover</t>
  </si>
  <si>
    <t>species abundance</t>
  </si>
  <si>
    <t>soil loss</t>
  </si>
  <si>
    <t>ground cover types</t>
  </si>
  <si>
    <t>biovolume</t>
  </si>
  <si>
    <t>soil hydraulic conductivity</t>
  </si>
  <si>
    <t>plant diversity (Shannon index)</t>
  </si>
  <si>
    <t>TESC90-06 (transitions to early-successional communities)</t>
  </si>
  <si>
    <t>diversity (Simpson index</t>
  </si>
  <si>
    <t>vegetation type</t>
  </si>
  <si>
    <t>pH</t>
  </si>
  <si>
    <t>Electrical conductivity</t>
  </si>
  <si>
    <t>cation exchange capacity</t>
  </si>
  <si>
    <t>N</t>
  </si>
  <si>
    <t>P</t>
  </si>
  <si>
    <t>Na</t>
  </si>
  <si>
    <t>Mg</t>
  </si>
  <si>
    <t>C org.</t>
  </si>
  <si>
    <t>microbial quotient</t>
  </si>
  <si>
    <t>basal soil respiration</t>
  </si>
  <si>
    <t>average bare soil cover</t>
  </si>
  <si>
    <t>diversity (Shannon-Weaver index)</t>
  </si>
  <si>
    <t>life-form cover</t>
  </si>
  <si>
    <t>P. halep. seedling density</t>
  </si>
  <si>
    <t>P. halep. seedling height</t>
  </si>
  <si>
    <t>fleshy fruited species richness</t>
  </si>
  <si>
    <t>2009</t>
  </si>
  <si>
    <t>fleshy fruited species cover</t>
  </si>
  <si>
    <t>tree biomass</t>
  </si>
  <si>
    <t>shrub biomass</t>
  </si>
  <si>
    <t>tree density</t>
  </si>
  <si>
    <t>shrub density</t>
  </si>
  <si>
    <t>coarse woody debris (CWD)</t>
  </si>
  <si>
    <t>litter biomass</t>
  </si>
  <si>
    <t>total biomass</t>
  </si>
  <si>
    <t>carbon content</t>
  </si>
  <si>
    <t>bryophyte species cover</t>
  </si>
  <si>
    <t>bryophyte total cover</t>
  </si>
  <si>
    <t>bryophyte floristic richness</t>
  </si>
  <si>
    <t>species fugacity (Trabaud-Lepart index)</t>
  </si>
  <si>
    <t>bare soil cover</t>
  </si>
  <si>
    <t>species similarity (Montfort index)</t>
  </si>
  <si>
    <t>species vegetation cover</t>
  </si>
  <si>
    <t>average age</t>
  </si>
  <si>
    <t>average height</t>
  </si>
  <si>
    <t>average trunk circumference (DBH)</t>
  </si>
  <si>
    <t>average canopy radius</t>
  </si>
  <si>
    <t>average canopy projection</t>
  </si>
  <si>
    <t>mean nº alleles locus</t>
  </si>
  <si>
    <t>mean nº alleles polymorphic locus</t>
  </si>
  <si>
    <t>heterozigosity</t>
  </si>
  <si>
    <t>unique alleles</t>
  </si>
  <si>
    <t>average private alleles</t>
  </si>
  <si>
    <t>life form vegetation cover</t>
  </si>
  <si>
    <t>stand age</t>
  </si>
  <si>
    <t>dominant specie cover</t>
  </si>
  <si>
    <t>number of new individuals</t>
  </si>
  <si>
    <t>resprouting Quercus</t>
  </si>
  <si>
    <t>er_management type</t>
  </si>
  <si>
    <t>soil erosion rate</t>
  </si>
  <si>
    <t>water infiltration rate</t>
  </si>
  <si>
    <t>core sampling</t>
  </si>
  <si>
    <t>stands</t>
  </si>
  <si>
    <t>Predawn leaf water potential</t>
  </si>
  <si>
    <t>stomatal conductance</t>
  </si>
  <si>
    <t>leaf temperature</t>
  </si>
  <si>
    <t>chlorophyll fluorescence</t>
  </si>
  <si>
    <t>specific leaf area</t>
  </si>
  <si>
    <t>live foliar moisture content</t>
  </si>
  <si>
    <t>total plant cover</t>
  </si>
  <si>
    <t>understorey plant cover</t>
  </si>
  <si>
    <t>pine cover</t>
  </si>
  <si>
    <t>life form composition</t>
  </si>
  <si>
    <t>similarity (Jaccard index)</t>
  </si>
  <si>
    <t>centered in remote sensing prediction models efficiency</t>
  </si>
  <si>
    <t>book chapter</t>
  </si>
  <si>
    <t>conference paper</t>
  </si>
  <si>
    <t>predictive models</t>
  </si>
  <si>
    <t>experiment in controlled conditions</t>
  </si>
  <si>
    <t>it does not present postfire responses, about diverse degradation factors</t>
  </si>
  <si>
    <t>it is in non mediterranean environment</t>
  </si>
  <si>
    <t>not a recovery context, measures in an stablished forest about sivicultural treatments</t>
  </si>
  <si>
    <t>centered in thinning effects, not postfire effects</t>
  </si>
  <si>
    <t>prescribed burning and response of a a grass</t>
  </si>
  <si>
    <t>effects of waste compost treatment to burn soils</t>
  </si>
  <si>
    <t>shrubby and herbaceus context, not forest</t>
  </si>
  <si>
    <t>centered in quarry rehabilitations and no forest context</t>
  </si>
  <si>
    <t>proceedings paper</t>
  </si>
  <si>
    <t>book; meeting</t>
  </si>
  <si>
    <t>it doesn't mention specific fires</t>
  </si>
  <si>
    <r>
      <rPr>
        <b/>
        <sz val="11"/>
        <color theme="1"/>
        <rFont val="Calibri"/>
        <family val="2"/>
        <scheme val="minor"/>
      </rPr>
      <t>Duda</t>
    </r>
    <r>
      <rPr>
        <sz val="11"/>
        <color theme="1"/>
        <rFont val="Calibri"/>
        <family val="2"/>
        <scheme val="minor"/>
      </rPr>
      <t xml:space="preserve"> - incluye incendios experimentales aunque es minoria</t>
    </r>
  </si>
  <si>
    <t>Study conducted in an established Arbutus unedo forest, not in a recovery context</t>
  </si>
  <si>
    <t>Predictive models and centered in evaluating remote sensing efficiency</t>
  </si>
  <si>
    <t>centered in acorn productivity, not in postfire response. In an established recovered postfire forest</t>
  </si>
  <si>
    <t>the 90% of the study area is scrubland</t>
  </si>
  <si>
    <t>lacks specific fire past events and precise dates, more regional and broad scale</t>
  </si>
  <si>
    <t>main vegetation is shrubland and agricultural, forest type is not distinguished in results</t>
  </si>
  <si>
    <t>centered in management implications and not field work</t>
  </si>
  <si>
    <t>it applies predictive models and machine learning algorithm to study postfire recovery</t>
  </si>
  <si>
    <t>moderate</t>
  </si>
  <si>
    <t xml:space="preserve">erosion control </t>
  </si>
  <si>
    <t>Mediterranean basis</t>
  </si>
  <si>
    <t>needleleaf forest</t>
  </si>
  <si>
    <t>California</t>
  </si>
  <si>
    <t>SouthAfrica</t>
  </si>
  <si>
    <t>pine pollen abundance</t>
  </si>
  <si>
    <t>recovery rate</t>
  </si>
  <si>
    <t>dominated by pinus pinaster, pinus nigra, and pinus halepensis</t>
  </si>
  <si>
    <t>r_management type</t>
  </si>
  <si>
    <t>seedling survival</t>
  </si>
  <si>
    <t>seedling height</t>
  </si>
  <si>
    <t>mostly planted (predominantly Pinus halepensis)</t>
  </si>
  <si>
    <t xml:space="preserve">run‐off </t>
  </si>
  <si>
    <t>time since fire</t>
  </si>
  <si>
    <t>land-cover change</t>
  </si>
  <si>
    <t>conifers</t>
  </si>
  <si>
    <t>conifer species, includes ponderosa pine and Jeffrey pine, sugar pine (P. lambertiana), western incense cedar (Calocedrus decurrens, Dou-glas-fir (Pseudotsuga menziesii), white fir (Abies concolor), and red fir (A. magnifica)</t>
  </si>
  <si>
    <t>cover</t>
  </si>
  <si>
    <t>2011</t>
  </si>
  <si>
    <t>regeneration density</t>
  </si>
  <si>
    <t>pine</t>
  </si>
  <si>
    <t>both natural and planted P. halepensis</t>
  </si>
  <si>
    <t>Relative vegetation cover</t>
  </si>
  <si>
    <t>Plant species richness</t>
  </si>
  <si>
    <t>Quercus suber</t>
  </si>
  <si>
    <t>trees viability</t>
  </si>
  <si>
    <t>cork oak stand</t>
  </si>
  <si>
    <t>spring</t>
  </si>
  <si>
    <t>summer</t>
  </si>
  <si>
    <t>autumn</t>
  </si>
  <si>
    <t>winter</t>
  </si>
  <si>
    <t>growth (height and diameter)</t>
  </si>
  <si>
    <t>Quercus ilex</t>
  </si>
  <si>
    <t>forest floor standing weight</t>
  </si>
  <si>
    <t>litterfall</t>
  </si>
  <si>
    <r>
      <rPr>
        <b/>
        <sz val="11"/>
        <color theme="1"/>
        <rFont val="Calibri"/>
        <family val="2"/>
        <scheme val="minor"/>
      </rPr>
      <t>Duda</t>
    </r>
    <r>
      <rPr>
        <sz val="11"/>
        <color theme="1"/>
        <rFont val="Calibri"/>
        <family val="2"/>
        <scheme val="minor"/>
      </rPr>
      <t xml:space="preserve"> - son parcelas quemadas, pero lo he registrado igual</t>
    </r>
  </si>
  <si>
    <t>holm oak forest</t>
  </si>
  <si>
    <t>transect</t>
  </si>
  <si>
    <t>organic carbon</t>
  </si>
  <si>
    <t>total nitrogen</t>
  </si>
  <si>
    <t>C/N ratio</t>
  </si>
  <si>
    <t>litter decay rate</t>
  </si>
  <si>
    <t>grassland and shrubs</t>
  </si>
  <si>
    <t>as well as scattered deciduous trees such as Quercus pubescens, Carpinus orientalis and Fraxinus excelsior </t>
  </si>
  <si>
    <t>Pollen percentages</t>
  </si>
  <si>
    <t>Pollen concentration</t>
  </si>
  <si>
    <t>Pollen influx</t>
  </si>
  <si>
    <t>soil erosion</t>
  </si>
  <si>
    <t>Titanium (Ti) and Zirconium (Zr)</t>
  </si>
  <si>
    <t>low;medium</t>
  </si>
  <si>
    <t xml:space="preserve">Pinus halepensis. Aleppo pine mixed with Pinus pinaster Ait. and Quercus ilex </t>
  </si>
  <si>
    <t>variable_subtype</t>
  </si>
  <si>
    <t>others</t>
  </si>
  <si>
    <t>Categories: (1) remote sensing, (2) palaeoecology, (3) field study, (4) remote sensing and field study and (5) others</t>
  </si>
  <si>
    <t>low;moderate</t>
  </si>
  <si>
    <t>field;remote sensing</t>
  </si>
  <si>
    <t>moderate;high</t>
  </si>
  <si>
    <t>none</t>
  </si>
  <si>
    <t>points;remote sensing</t>
  </si>
  <si>
    <t>comments</t>
  </si>
  <si>
    <t>community</t>
  </si>
  <si>
    <t>Pinus halepensis forest</t>
  </si>
  <si>
    <t>multi-aged pine trees; ca 200 ha^-1; dense evergreen understory; Quercus calliprinos; Pistacia lentiscus; Cistus salviifolius</t>
  </si>
  <si>
    <t>mature P. halepensis forests in lower sunny areas; P. pinaster in higher shady areas</t>
  </si>
  <si>
    <t xml:space="preserve">dominated by Pinus spp. Quercus spp. </t>
  </si>
  <si>
    <t>sapling size</t>
  </si>
  <si>
    <t>pine sapling density</t>
  </si>
  <si>
    <t>floristic composition</t>
  </si>
  <si>
    <t>herbaceous species frequency</t>
  </si>
  <si>
    <t>live herbaceous cover</t>
  </si>
  <si>
    <t>herbaceous height</t>
  </si>
  <si>
    <t>woody species cover</t>
  </si>
  <si>
    <t>woody species height</t>
  </si>
  <si>
    <t>Shannon-Wiener index</t>
  </si>
  <si>
    <t>inverse of Simpson</t>
  </si>
  <si>
    <t>phytovolume</t>
  </si>
  <si>
    <t>palaeoecology but not centered in fires, it does not identify fire episodes</t>
  </si>
  <si>
    <t>it applies random forest model to predict factor effects on vegetation recovery</t>
  </si>
  <si>
    <t>Point-centered quarter method</t>
  </si>
  <si>
    <t>Any additional relevant notes or observations</t>
  </si>
  <si>
    <t>Country or specific study site name</t>
  </si>
  <si>
    <t>Present prefire forest: Mixed, pine forest, oak forest, etc.</t>
  </si>
  <si>
    <t>community;species</t>
  </si>
  <si>
    <t>broadleaves forest;coniferous forests</t>
  </si>
  <si>
    <t>pine forest;oak forest</t>
  </si>
  <si>
    <t>pine forest;holm oak forest</t>
  </si>
  <si>
    <t>cork oak forest;holm oak forest;pyrenean oak forest</t>
  </si>
  <si>
    <t>oak forest;pine forest</t>
  </si>
  <si>
    <t>medium;high;low</t>
  </si>
  <si>
    <t>single;combined</t>
  </si>
  <si>
    <t>transitional woodlands;needleleaf forest</t>
  </si>
  <si>
    <t>low;moderate;high</t>
  </si>
  <si>
    <t>fire severity;drought  probability;tree species;tree cross-sectional area;stem size</t>
  </si>
  <si>
    <t>gully morphology (width, plan area);topography (ruggeness index, altitude, slope, curvature, flow accumulation);fire severity;time</t>
  </si>
  <si>
    <t>se_management type;ground cover;precipitation (depth, intensity);canopy closure;time</t>
  </si>
  <si>
    <t>se_management type;time</t>
  </si>
  <si>
    <t>soil depth;se_management type;time</t>
  </si>
  <si>
    <t>soil type;time</t>
  </si>
  <si>
    <t>soil type;time;species rank</t>
  </si>
  <si>
    <t>fire recurrence;TSLF (time since long fire)</t>
  </si>
  <si>
    <t>s_management type;elevation;</t>
  </si>
  <si>
    <t>s_management type;time</t>
  </si>
  <si>
    <t>silvicultural treatment;elevation;snag basal diameter</t>
  </si>
  <si>
    <t>e_management type;soil properties;species richness;ground cover;time</t>
  </si>
  <si>
    <t>site;s_management type</t>
  </si>
  <si>
    <t>site;s_management type;fire recurrence</t>
  </si>
  <si>
    <t>regeneration mode;time;Raunkiaer's life form</t>
  </si>
  <si>
    <t>rainfall intensity;vegetation cover;slope;soil exposure;fire intensity</t>
  </si>
  <si>
    <t>time;s_management type</t>
  </si>
  <si>
    <t>time;s_management type;height class</t>
  </si>
  <si>
    <t>site;exposure</t>
  </si>
  <si>
    <t>se_management ype;distancefromseedsource;plantspecie</t>
  </si>
  <si>
    <t>site;r_management type;specie;time</t>
  </si>
  <si>
    <t>aspect;year;site</t>
  </si>
  <si>
    <t>aspect;nº times burnt;site</t>
  </si>
  <si>
    <t>plant status (resprout or planted);specie</t>
  </si>
  <si>
    <t>soil branches;previous land use;topographic position;distance to unburned woodlands;bedrock type</t>
  </si>
  <si>
    <t>regeneration age;s_management type</t>
  </si>
  <si>
    <t>vegetation type;fire recurrence</t>
  </si>
  <si>
    <t>TSLF;fire severity;slope;altitude;prefire vegetation type;</t>
  </si>
  <si>
    <t>postfiretime;severity;fragment</t>
  </si>
  <si>
    <t>topography;position</t>
  </si>
  <si>
    <t>year;vegetation cover;tree cover;CVH;mean height</t>
  </si>
  <si>
    <t>se_management_type;plot</t>
  </si>
  <si>
    <t>s_management type;slope</t>
  </si>
  <si>
    <t>fire patterns;spatial factors;montado prefire patterns;mean contiguity index;mean patch ratius of gyration;normalized landscape shape index;splitting density;transitions to natural vegetation (1960-90);burned area distribution index;burned area aggregation index;effective mesh size;autocovariate term;Y coordinates centred</t>
  </si>
  <si>
    <t>year;severity</t>
  </si>
  <si>
    <t>year;burn severity;plant recovery</t>
  </si>
  <si>
    <t>pine climatic niches;fire severity</t>
  </si>
  <si>
    <t>elevation;aspect;slope;position in slope;total density;pine density;oak density;pine/oak density ratio;total basal area</t>
  </si>
  <si>
    <t>fire severity;elevation;aspect;slope;position in slope;total density;pine density;oak density;total basal area;understorey height</t>
  </si>
  <si>
    <t>pilepresence;pileheight;site;slope</t>
  </si>
  <si>
    <t>time since fire;site;prior fire interval</t>
  </si>
  <si>
    <t>months after fire;site</t>
  </si>
  <si>
    <t>altitude;bedrock and soil formation;aspect;slope;years since last fire</t>
  </si>
  <si>
    <t>height;trunk circumference;canopy radius;</t>
  </si>
  <si>
    <t>age;trunk circumference;canopy radius</t>
  </si>
  <si>
    <t>age;height;canopy radius</t>
  </si>
  <si>
    <t>age;height;trunk circumference</t>
  </si>
  <si>
    <t>fire episodes;age</t>
  </si>
  <si>
    <t>drought vulnerability;fire severity;season;site</t>
  </si>
  <si>
    <t>age;site;s_management type</t>
  </si>
  <si>
    <t>prefire vegetation state;postfire climate variability;time;fire severity</t>
  </si>
  <si>
    <t>land‐cover change;rainfall events;forest type</t>
  </si>
  <si>
    <t>time since fire;forest type</t>
  </si>
  <si>
    <t>fire severity;forest type;distance to seed tree;shrub cover;litter cover;live basal area;slope;aspect;precipitation</t>
  </si>
  <si>
    <t xml:space="preserve">n of previous fires;time elapsed since the last fire </t>
  </si>
  <si>
    <t>forest management (traditional trunk coppicing, branch pruning, and no sylvicultural practice);n of thinnings;trees age;thinning intensity</t>
  </si>
  <si>
    <t>time since fire;vegetation strata</t>
  </si>
  <si>
    <t>time since fire;species</t>
  </si>
  <si>
    <t>climate;human impacts</t>
  </si>
  <si>
    <t>climate;human impacts;vegetation cover</t>
  </si>
  <si>
    <t>fire severity;water abailability;tree dbh;tree age;climate</t>
  </si>
  <si>
    <t>fire severity;water abailability</t>
  </si>
  <si>
    <t>distance from burned trunk;years since fire;site</t>
  </si>
  <si>
    <t>fire recurrence;soil type;land use;elevation;aspect;slope;climate;topography</t>
  </si>
  <si>
    <t>deer presence;time since fire</t>
  </si>
  <si>
    <t>pre-fire vegetation in the landscape included downy oak (Quercus pubescens) and shrubs at lower elevations, and European beech (Fagus sylvatica) and European larch (Larix decidua) at higher elevations alongside the Scots pine</t>
  </si>
  <si>
    <t>fire severity</t>
  </si>
  <si>
    <t>ground cover (Gramineae, forbs, bare soil, shrubs, coarse woody debris, rocks)</t>
  </si>
  <si>
    <t>regeneration</t>
  </si>
  <si>
    <t>seedling density</t>
  </si>
  <si>
    <t>composition</t>
  </si>
  <si>
    <t>diversity</t>
  </si>
  <si>
    <t>Brillouin index</t>
  </si>
  <si>
    <t>plots;transects</t>
  </si>
  <si>
    <t>plots;subplots</t>
  </si>
  <si>
    <t>plots;transects;grid squares</t>
  </si>
  <si>
    <t>grid;transects</t>
  </si>
  <si>
    <t>plots;quadrants</t>
  </si>
  <si>
    <t>transects;tree ring measurements</t>
  </si>
  <si>
    <t>remote sensing;plots</t>
  </si>
  <si>
    <t>grid;plots</t>
  </si>
  <si>
    <t>plots;squares;point intercept method</t>
  </si>
  <si>
    <t>plots;transects;points</t>
  </si>
  <si>
    <t>remote sensing;hydrological models</t>
  </si>
  <si>
    <t>plots;points</t>
  </si>
  <si>
    <t>plot;transect</t>
  </si>
  <si>
    <t>fire severity;slope;distance to seed trees;elevation;HLI;roughness;Gramineae;forbs;bare soil;shrubs;coarse woody debris;rock</t>
  </si>
  <si>
    <t>mixed oaks forest with Quercus ilex;stone pine forests</t>
  </si>
  <si>
    <t>mixed oaks forest with Quercus ilex</t>
  </si>
  <si>
    <t>Slopes of Monte Petroso were reforested with native oak species (Quercus ilex, Q. pubescens and Q. suber) and manna ash (Fraxinus ornus L.), while locally non-native conifers (Pinus pinea, P. halepensis and Cupressus sempervirens L.) were mainly planted at low-altitude slopes.</t>
  </si>
  <si>
    <t>dominant tree species;time since last wildfire;post-fire management</t>
  </si>
  <si>
    <t>structure</t>
  </si>
  <si>
    <t>density</t>
  </si>
  <si>
    <t>diameter at breast height (DBH)</t>
  </si>
  <si>
    <t>total height</t>
  </si>
  <si>
    <t>crown height</t>
  </si>
  <si>
    <t>crown projection</t>
  </si>
  <si>
    <t>basal area</t>
  </si>
  <si>
    <t>basal diameter</t>
  </si>
  <si>
    <t>tussock basal diameter</t>
  </si>
  <si>
    <t>plant species richness</t>
  </si>
  <si>
    <t>2000-2013</t>
  </si>
  <si>
    <t>foliage cover (0–25 cm height layer)</t>
  </si>
  <si>
    <t>foliage cover (25–100 cm height layer)</t>
  </si>
  <si>
    <t>foliage cover (&gt;100 cm height layer)</t>
  </si>
  <si>
    <t>bird species richness</t>
  </si>
  <si>
    <t>relative abundance of Hippolais polyglotta</t>
  </si>
  <si>
    <t>relative abundance of Sylvia cantillans</t>
  </si>
  <si>
    <t>relative abundance of Sylvia melanocephala</t>
  </si>
  <si>
    <t>relative abundance of Sylvia undata</t>
  </si>
  <si>
    <t>time since fire;water deficit;salvage logging;plant debris;unburnt remnant patches;pre-fire habitat;burnt area</t>
  </si>
  <si>
    <t>conifer forests, sclerophyllous and deciduous tree forests, and evergreen shrublands</t>
  </si>
  <si>
    <t xml:space="preserve">pinus halepensis forests and quercus ilex, quercus suber and  fagus sylvatica. Also Pinus nigra </t>
  </si>
  <si>
    <t>only in pine forests there was silviculturalmanagement</t>
  </si>
  <si>
    <t>transect;quadrat</t>
  </si>
  <si>
    <t>total plant abundance</t>
  </si>
  <si>
    <t>Shannon diversity index</t>
  </si>
  <si>
    <t>index of numerical dominance</t>
  </si>
  <si>
    <t>relative presence of resprouters</t>
  </si>
  <si>
    <t>relative presence of obligate seeders</t>
  </si>
  <si>
    <t>relative presence of facultative species</t>
  </si>
  <si>
    <t>relative presence of species without persistence mechanism</t>
  </si>
  <si>
    <t>relative richness of resprouters</t>
  </si>
  <si>
    <t>relative richness of obligate seeders</t>
  </si>
  <si>
    <t>relative richness of facultative species</t>
  </si>
  <si>
    <t>relative richness of species without persistence mechanism</t>
  </si>
  <si>
    <t>abundance of the main tree species</t>
  </si>
  <si>
    <t>vegetation type;site;summer water deficit</t>
  </si>
  <si>
    <t>1975-1993</t>
  </si>
  <si>
    <t>forests dominated by the evergreen
oaks Quercus suber and Q. ilex, the pines Pinus
halepensis, P. sylvestris, and P. nigra, mixed forests
of pines and oaks, shrublands, and Eucalyptus plantations.</t>
  </si>
  <si>
    <t>oak forest;pine forest;mixed forest;eucalypt forest</t>
  </si>
  <si>
    <t>postfire resilience (qNDVI)</t>
  </si>
  <si>
    <t>geological substrate;vegetation type;climate;altitude;fire magnitude</t>
  </si>
  <si>
    <t>same article as 724</t>
  </si>
  <si>
    <t>floristic richness</t>
  </si>
  <si>
    <t>time since fire;site</t>
  </si>
  <si>
    <t>species occurrence</t>
  </si>
  <si>
    <t>time since fire;season</t>
  </si>
  <si>
    <t>pine sapling mortality</t>
  </si>
  <si>
    <t>time since fire;sapling height</t>
  </si>
  <si>
    <t>pine sapling survival</t>
  </si>
  <si>
    <t>pine sapling height</t>
  </si>
  <si>
    <t>height increment</t>
  </si>
  <si>
    <t>time since fire;sapling state</t>
  </si>
  <si>
    <t>height frequency distribution</t>
  </si>
  <si>
    <t>DBH;bark thickness;plot</t>
  </si>
  <si>
    <t>probability of stem death</t>
  </si>
  <si>
    <t>proportion height recovery</t>
  </si>
  <si>
    <t>number of understorey species</t>
  </si>
  <si>
    <t>understorey species cover</t>
  </si>
  <si>
    <r>
      <rPr>
        <b/>
        <sz val="11"/>
        <color theme="1"/>
        <rFont val="Calibri"/>
        <family val="2"/>
        <scheme val="minor"/>
      </rPr>
      <t>Duda</t>
    </r>
    <r>
      <rPr>
        <sz val="11"/>
        <color theme="1"/>
        <rFont val="Calibri"/>
        <family val="2"/>
        <scheme val="minor"/>
      </rPr>
      <t xml:space="preserve"> - articulo en italiano</t>
    </r>
  </si>
  <si>
    <t>origin_coords</t>
  </si>
  <si>
    <t>exact</t>
  </si>
  <si>
    <t>mean point</t>
  </si>
  <si>
    <t>estimated</t>
  </si>
  <si>
    <t>Latitude in decimal degrees (World Geodetic System 1984, EPSG: 4326). If there are several coordinates, enter the center point.</t>
  </si>
  <si>
    <t>Longitude in decimal degrees (World Geodetic System 1984, EPSG: 4326). If there are several coordinates, enter the centre point.</t>
  </si>
  <si>
    <t>response_units</t>
  </si>
  <si>
    <t>cm</t>
  </si>
  <si>
    <t>stems / ha</t>
  </si>
  <si>
    <t>m</t>
  </si>
  <si>
    <t>p. (0-1)</t>
  </si>
  <si>
    <t>t / ha</t>
  </si>
  <si>
    <t xml:space="preserve"> -1 to +1</t>
  </si>
  <si>
    <t>Mg / ha · year</t>
  </si>
  <si>
    <t>%</t>
  </si>
  <si>
    <t>g / cm3</t>
  </si>
  <si>
    <t>mm / hr</t>
  </si>
  <si>
    <t>s</t>
  </si>
  <si>
    <t>nº species</t>
  </si>
  <si>
    <t>G, R</t>
  </si>
  <si>
    <t>0-5</t>
  </si>
  <si>
    <t>0-1</t>
  </si>
  <si>
    <t>nº individuals</t>
  </si>
  <si>
    <t>0-1,25</t>
  </si>
  <si>
    <t>0-1,3</t>
  </si>
  <si>
    <t>days</t>
  </si>
  <si>
    <t>0-3,5</t>
  </si>
  <si>
    <t>0-10</t>
  </si>
  <si>
    <t>mm; %</t>
  </si>
  <si>
    <t>g / m2</t>
  </si>
  <si>
    <t>individuals / m2</t>
  </si>
  <si>
    <t>1,4-2,7</t>
  </si>
  <si>
    <t>seed / m2</t>
  </si>
  <si>
    <t>mm2 / y</t>
  </si>
  <si>
    <t>0/00</t>
  </si>
  <si>
    <t>nº cells</t>
  </si>
  <si>
    <t>pines / ha</t>
  </si>
  <si>
    <t>mm</t>
  </si>
  <si>
    <t>year</t>
  </si>
  <si>
    <t>cones / pine</t>
  </si>
  <si>
    <t>individuals / 100 m2</t>
  </si>
  <si>
    <r>
      <t>CO2 flux (</t>
    </r>
    <r>
      <rPr>
        <sz val="11"/>
        <color theme="1"/>
        <rFont val="Arial"/>
        <family val="2"/>
      </rPr>
      <t>μ</t>
    </r>
    <r>
      <rPr>
        <sz val="11"/>
        <color theme="1"/>
        <rFont val="Calibri"/>
        <family val="2"/>
      </rPr>
      <t>mol / m · s)</t>
    </r>
  </si>
  <si>
    <t>% vol.</t>
  </si>
  <si>
    <t>%;ppm</t>
  </si>
  <si>
    <t>g</t>
  </si>
  <si>
    <t>nº cones / sapling</t>
  </si>
  <si>
    <t>m2 / m2</t>
  </si>
  <si>
    <t>nº individuals / ha</t>
  </si>
  <si>
    <t>nº individuals of a specie / nº total individuals</t>
  </si>
  <si>
    <t>nº classes</t>
  </si>
  <si>
    <t>postfire recovery / magnitude of fire</t>
  </si>
  <si>
    <t>dm3</t>
  </si>
  <si>
    <t>mm / h</t>
  </si>
  <si>
    <t>representative species (6 types)</t>
  </si>
  <si>
    <t>0-14</t>
  </si>
  <si>
    <t>dS / m</t>
  </si>
  <si>
    <t>meq / 100 g</t>
  </si>
  <si>
    <t>ppm</t>
  </si>
  <si>
    <t>g / kg</t>
  </si>
  <si>
    <t>mg CO2- / kg soil · h</t>
  </si>
  <si>
    <t>nº recruits / ha</t>
  </si>
  <si>
    <t>p. (2,9-3,81)</t>
  </si>
  <si>
    <t>seedlings / ha</t>
  </si>
  <si>
    <t>Mg / ha</t>
  </si>
  <si>
    <t>individuals / ha</t>
  </si>
  <si>
    <t>Mg C / ha</t>
  </si>
  <si>
    <t>p. (0,0140 - 0,023)</t>
  </si>
  <si>
    <t>years</t>
  </si>
  <si>
    <t>nº alleles / locus</t>
  </si>
  <si>
    <t>nº alleles / polymorphic locus</t>
  </si>
  <si>
    <t>nº unique alleles</t>
  </si>
  <si>
    <t>ml / mn</t>
  </si>
  <si>
    <t>CO2 flux (μmol / m · s)</t>
  </si>
  <si>
    <t>mean MPa</t>
  </si>
  <si>
    <t>mmol / m2 · s</t>
  </si>
  <si>
    <t>ºC</t>
  </si>
  <si>
    <t>mean FV / FM</t>
  </si>
  <si>
    <t>cm2 / g</t>
  </si>
  <si>
    <t>p. (0-3,5)</t>
  </si>
  <si>
    <t>m3 /s</t>
  </si>
  <si>
    <t>% compared to previous stage</t>
  </si>
  <si>
    <t>seedlings/ha</t>
  </si>
  <si>
    <t>n species/transect</t>
  </si>
  <si>
    <t>present/abstent (1-0)</t>
  </si>
  <si>
    <t>% alives</t>
  </si>
  <si>
    <t>m and cm</t>
  </si>
  <si>
    <t>m2</t>
  </si>
  <si>
    <t>g/m2</t>
  </si>
  <si>
    <t>%, g/m2</t>
  </si>
  <si>
    <t>g⋅m−2⋅yr−1</t>
  </si>
  <si>
    <t>coefficient</t>
  </si>
  <si>
    <t>grains/cm³</t>
  </si>
  <si>
    <t>grains/cm²/year</t>
  </si>
  <si>
    <t>counts/cts</t>
  </si>
  <si>
    <t>cm2/year</t>
  </si>
  <si>
    <t>‰</t>
  </si>
  <si>
    <t>Carbon isotope composition, δ13C</t>
  </si>
  <si>
    <t xml:space="preserve"> nitrogen isotope composition, δ15N</t>
  </si>
  <si>
    <t xml:space="preserve"> Wood Nitrogen concentration</t>
  </si>
  <si>
    <t>basal area increment</t>
  </si>
  <si>
    <t>season</t>
  </si>
  <si>
    <t>Record the season only if the date provides a year but no month, and explicitly includes a seasonal reference</t>
  </si>
  <si>
    <t>Categories: (1) comunity (focuses on community), (2) species (focuses on individual species) and (3) comunity and species (focuses on community level but also provides specific species measures, for example, pine density). Leave blank if the study does not focus on vegetation</t>
  </si>
  <si>
    <t>cork oak woodlans</t>
  </si>
  <si>
    <t>cork oak woodland and shrublands with erica arborea, arbutus unedo and cistus sp. This stands can be mixed</t>
  </si>
  <si>
    <t>cork oak woodland</t>
  </si>
  <si>
    <t>castanea sativa coppice stands</t>
  </si>
  <si>
    <t>unmanaged stands of castanea sativa invaded by Robinia pseudoacacia</t>
  </si>
  <si>
    <t>sclerophyllous Pinus halepensis forests with a diverse shrubby understory (Quercus coccifera, Rhamnus lycioides, Rosmarinus officionalis, etc), while south-facing slopes are dominated by Stipa and natural grasslands</t>
  </si>
  <si>
    <t>dominated by Pinus pinaster, crossed by riparian forests along small-sized streams. Also Eucalyptus globulus, Pinus pinea L., Quercus rubra L., Quercus robur L., Taxodium distichum (L.) Rich., Laurus nobilis L., and Acacia melanoxylon R.Br., amongst others. Riparian forests along the MNL small-sized streams are mainly composed of alders (Alnus glutinosa (L.) Gaertn.), poplars (Populus nigra L.), ash (Fraxinus angustifolia Vahl), willows (Salix sp.), and several shrubby species</t>
  </si>
  <si>
    <t>dominated by Pinus halepensis with a mean density of 500 to
650 trees/ha and a mean height between 7 and 14 m.</t>
  </si>
  <si>
    <t>silvicultural;erosion control</t>
  </si>
  <si>
    <t>dominated by Pinus nigra, also P. sylvestris, and Pinus pinaster</t>
  </si>
  <si>
    <t>2005-2015</t>
  </si>
  <si>
    <t>mixed sclerophyll forest</t>
  </si>
  <si>
    <t>dominated by holm oak and cork oak. with other shrubs commonly found in
maquis formations; other tree species include Maritime pine (Pinus pinaster Aiton), Italian
stone pine (Pinus pinea L.), and Aleppo pine (Pinus halepensis Mill.), present mainly as
artificial plantations.</t>
  </si>
  <si>
    <t>dominated by Quercus ilex subsp. rotundifolia Lam.,
but other species such as Retama sphaerocarpa (L.) Boiss., Stipa tenacissima L., Juniperus
oxycedrus L., Pistacia terebinthus L., Rhamnus lycioides</t>
  </si>
  <si>
    <t>dominated by holm oak</t>
  </si>
  <si>
    <t>coniferous forest</t>
  </si>
  <si>
    <t>sclerophyll native forest and forest plantations</t>
  </si>
  <si>
    <t>some little zones with sivicultural actions and illegal logging</t>
  </si>
  <si>
    <t>dominated by Quercus ilex and Quercus suber, with mixed forest with deciduous oaks</t>
  </si>
  <si>
    <t>dominated by Pinus pinaster. turning into successional shrublands dominated
by Pterospartum tridentatum (L.) Willk., Halimium lasianthum (Lam.) Spach and Erica australis</t>
  </si>
  <si>
    <t>1978 -2017</t>
  </si>
  <si>
    <t>conifer forest</t>
  </si>
  <si>
    <t>Stands of conifers occur
intermittently throughout the burn scar, especially at higher elevations. These stands include species
such as Pinus coulteri, Pinus jeffreyi, Pseudotsuga macrocarpa, Abies concolor, and Calocedrus decurrens.</t>
  </si>
  <si>
    <t>2006</t>
  </si>
  <si>
    <t>specific richness</t>
  </si>
  <si>
    <t>specific diversity</t>
  </si>
  <si>
    <t>equitatibility</t>
  </si>
  <si>
    <t>similarity (Sorensen index)</t>
  </si>
  <si>
    <t>functional diversity (Shannon index)</t>
  </si>
  <si>
    <t>vital Grime strategies</t>
  </si>
  <si>
    <t>TSLF, nº fires, orientation, altitude, slope, cryptogams cover, airy litter</t>
  </si>
  <si>
    <t>plant composition</t>
  </si>
  <si>
    <t>winter-spring</t>
  </si>
  <si>
    <t>species;plot</t>
  </si>
  <si>
    <t>stool density</t>
  </si>
  <si>
    <t>nº stools / ha</t>
  </si>
  <si>
    <t>stool = cepa o tocón</t>
  </si>
  <si>
    <t>number of living basal sprouts per stool</t>
  </si>
  <si>
    <t>nº living basal sprout / stool</t>
  </si>
  <si>
    <t>living basal sprouts density</t>
  </si>
  <si>
    <t>nº living basal sprout / ha</t>
  </si>
  <si>
    <t>living root suckers density</t>
  </si>
  <si>
    <t>nº living root suckers / ha</t>
  </si>
  <si>
    <t>living stem basal area</t>
  </si>
  <si>
    <t>m2 / ha</t>
  </si>
  <si>
    <t>dead stem density</t>
  </si>
  <si>
    <t>nº dead stems / ha</t>
  </si>
  <si>
    <t>dead stem basal area</t>
  </si>
  <si>
    <t>quadratic mean diameter of dominant living stem</t>
  </si>
  <si>
    <t>average height of dominant living stem</t>
  </si>
  <si>
    <t>fire-scorched stems</t>
  </si>
  <si>
    <t>species;inter-stem distance; plot</t>
  </si>
  <si>
    <t>nearest neighbor distance distribution</t>
  </si>
  <si>
    <t>freq. (0-1)</t>
  </si>
  <si>
    <t>stem size differentiation function</t>
  </si>
  <si>
    <t>function (t (r ) ) (0,85-1,10)</t>
  </si>
  <si>
    <t>species;forest layer; time</t>
  </si>
  <si>
    <t>stem sprouts growing</t>
  </si>
  <si>
    <t>plot; species</t>
  </si>
  <si>
    <t>start of growing season</t>
  </si>
  <si>
    <t>DOY</t>
  </si>
  <si>
    <t>plot;species</t>
  </si>
  <si>
    <t>spring increasing rate</t>
  </si>
  <si>
    <t>rate (0-20)</t>
  </si>
  <si>
    <t>management_type</t>
  </si>
  <si>
    <t>management_type; VARI index</t>
  </si>
  <si>
    <t>VARI index</t>
  </si>
  <si>
    <t>adimensional (1-5 range)</t>
  </si>
  <si>
    <t>plot; transects</t>
  </si>
  <si>
    <t>spatial river gradient; time; fire severity</t>
  </si>
  <si>
    <t>spatial river gradient; time</t>
  </si>
  <si>
    <t>species abundance cover</t>
  </si>
  <si>
    <t>species importance value (IV)</t>
  </si>
  <si>
    <t>adimensional (0-70)</t>
  </si>
  <si>
    <t>pine stand ages; fire severity</t>
  </si>
  <si>
    <t>pine seedlings</t>
  </si>
  <si>
    <t>nº seeds / sampling plot</t>
  </si>
  <si>
    <t>management_type;date</t>
  </si>
  <si>
    <t>pine seeds height</t>
  </si>
  <si>
    <t>pine seeds diameter</t>
  </si>
  <si>
    <t>length of aerial part</t>
  </si>
  <si>
    <t>pine seeds</t>
  </si>
  <si>
    <t>nº seedlings</t>
  </si>
  <si>
    <t>roots length</t>
  </si>
  <si>
    <t>aereal part dry weight</t>
  </si>
  <si>
    <t>roots dry weight</t>
  </si>
  <si>
    <t>needles dry weight</t>
  </si>
  <si>
    <t>physical properties</t>
  </si>
  <si>
    <t>temperature</t>
  </si>
  <si>
    <t>Celsius degrees</t>
  </si>
  <si>
    <t>water content</t>
  </si>
  <si>
    <t>chemical properties</t>
  </si>
  <si>
    <t>electrical conductivity</t>
  </si>
  <si>
    <t>(mmhos/cm))</t>
  </si>
  <si>
    <t>organic matter content</t>
  </si>
  <si>
    <t>total nitrogen content</t>
  </si>
  <si>
    <t>seed origin; seed protection</t>
  </si>
  <si>
    <t>seed emergence</t>
  </si>
  <si>
    <t>seed origin</t>
  </si>
  <si>
    <t>seedling diameter</t>
  </si>
  <si>
    <t>reflectance</t>
  </si>
  <si>
    <t>p. (0-0,4)</t>
  </si>
  <si>
    <t>band ratio</t>
  </si>
  <si>
    <t>p. (0-0,9)</t>
  </si>
  <si>
    <t>NBR regrowth; NBR disturbance; recovery index; years to recovery</t>
  </si>
  <si>
    <t>proportion of disturbed pixels</t>
  </si>
  <si>
    <t>p. (0-50)</t>
  </si>
  <si>
    <t>fire severity; time; season</t>
  </si>
  <si>
    <t>topsoil moisture</t>
  </si>
  <si>
    <t>predawn shoot water potential</t>
  </si>
  <si>
    <t>Mpa</t>
  </si>
  <si>
    <t>net carbon assimilation</t>
  </si>
  <si>
    <t>A (μmol CO2​ / m2 · s</t>
  </si>
  <si>
    <t>water use efficiency</t>
  </si>
  <si>
    <t>μmol CO2​ / mol H2​O)</t>
  </si>
  <si>
    <t>shoot growth</t>
  </si>
  <si>
    <t>mm / day</t>
  </si>
  <si>
    <t>year; vegetation recovery</t>
  </si>
  <si>
    <t xml:space="preserve">fire severity; year; vegetation type; </t>
  </si>
  <si>
    <t>types of vegetation are 1 - structural, 2 - others</t>
  </si>
  <si>
    <t>fire severity; year</t>
  </si>
  <si>
    <t>layer cover</t>
  </si>
  <si>
    <t>layers: herbaceus, shrub and trees</t>
  </si>
  <si>
    <t>layer heights</t>
  </si>
  <si>
    <t xml:space="preserve"> vegetation recovery; year</t>
  </si>
  <si>
    <t>temperature range</t>
  </si>
  <si>
    <t>EVI</t>
  </si>
  <si>
    <t>NBR</t>
  </si>
  <si>
    <t>land cover</t>
  </si>
  <si>
    <t>ha; %</t>
  </si>
  <si>
    <t>expert-based matrix</t>
  </si>
  <si>
    <t>ecosystems cover; time</t>
  </si>
  <si>
    <t>ESP</t>
  </si>
  <si>
    <t>range (0-5)</t>
  </si>
  <si>
    <t>ecosystem service provision</t>
  </si>
  <si>
    <t>structural plant species; fire severity; woodland type</t>
  </si>
  <si>
    <t>cover of living vegetation</t>
  </si>
  <si>
    <t>resprouts cover</t>
  </si>
  <si>
    <t>living vegetation mean height</t>
  </si>
  <si>
    <t>resprouts mean height</t>
  </si>
  <si>
    <t>living plants</t>
  </si>
  <si>
    <t>burnt live plants</t>
  </si>
  <si>
    <t>dead carbonized plants</t>
  </si>
  <si>
    <t>dead plants</t>
  </si>
  <si>
    <t>range (0-3)</t>
  </si>
  <si>
    <t>postrecovery time; fire recurrence; fire return interval; burn severity</t>
  </si>
  <si>
    <t>canopy cover class</t>
  </si>
  <si>
    <t>conifer stands</t>
  </si>
  <si>
    <t>nº stands</t>
  </si>
  <si>
    <t>remote sensing; transects</t>
  </si>
  <si>
    <t>canopy cover class; year</t>
  </si>
  <si>
    <t>RdNBR</t>
  </si>
  <si>
    <t>range (0 - 1250)</t>
  </si>
  <si>
    <t>green vegetation fraction (GV)</t>
  </si>
  <si>
    <t>The studied community consists of codominant shrublands and forests; results were not differentiated by vegetation type</t>
  </si>
  <si>
    <r>
      <rPr>
        <b/>
        <sz val="11"/>
        <color theme="1"/>
        <rFont val="Calibri"/>
        <family val="2"/>
        <scheme val="minor"/>
      </rPr>
      <t>Duda</t>
    </r>
    <r>
      <rPr>
        <sz val="11"/>
        <color theme="1"/>
        <rFont val="Calibri"/>
        <family val="2"/>
        <scheme val="minor"/>
      </rPr>
      <t xml:space="preserve"> - articulo en francés</t>
    </r>
  </si>
  <si>
    <t>it does not evaluate a wildfire</t>
  </si>
  <si>
    <r>
      <rPr>
        <b/>
        <sz val="11"/>
        <color theme="1"/>
        <rFont val="Calibri"/>
        <family val="2"/>
        <scheme val="minor"/>
      </rPr>
      <t>Duda</t>
    </r>
    <r>
      <rPr>
        <sz val="11"/>
        <color theme="1"/>
        <rFont val="Calibri"/>
        <family val="2"/>
        <scheme val="minor"/>
      </rPr>
      <t xml:space="preserve"> - no access available online, in french</t>
    </r>
  </si>
  <si>
    <t>conifer (Pseudotsuga menziesii and Sequoia sempervirens), evergreen broadleaf (Arbutus
menziesii, Notholithocarpus densiflorus, Quercus agrifolia, and Umbellularia californica), and
deciduous broadleaf (Acer macrophyllum, Aesculus california, Quercus douglasii, Quercus
garryana, Quercus kelloggii, and Quercus lobata)</t>
  </si>
  <si>
    <t>conifer forest; broadleaves forest; deciduous forest</t>
  </si>
  <si>
    <t>vegetation type; burn severity</t>
  </si>
  <si>
    <t>P95 (m)</t>
  </si>
  <si>
    <t>P75 (m)</t>
  </si>
  <si>
    <t>maximum canopy height</t>
  </si>
  <si>
    <t>mid-upper canopy height</t>
  </si>
  <si>
    <t>1984-2015</t>
  </si>
  <si>
    <t>RVI</t>
  </si>
  <si>
    <t>NDWI</t>
  </si>
  <si>
    <t>SIWSI</t>
  </si>
  <si>
    <t>0 - 0,6</t>
  </si>
  <si>
    <t>2 to 10</t>
  </si>
  <si>
    <t>-  0,2   -   0,4</t>
  </si>
  <si>
    <t>-  0,2   -   1</t>
  </si>
  <si>
    <t>black pine forests</t>
  </si>
  <si>
    <t>time; vegetation type</t>
  </si>
  <si>
    <t>pine forest; coppice holm oak forest</t>
  </si>
  <si>
    <t>maritime pine and holm oak in mixed forests. Also shrubland</t>
  </si>
  <si>
    <t>years since fire</t>
  </si>
  <si>
    <t>Tree density</t>
  </si>
  <si>
    <t>Basal area</t>
  </si>
  <si>
    <t>Crown coverage</t>
  </si>
  <si>
    <t>Albedo</t>
  </si>
  <si>
    <t>Fractional vegetation cover (Pv)</t>
  </si>
  <si>
    <t>Land surface temperature (TR)</t>
  </si>
  <si>
    <t>Aerodynamic resistance to heat transfer (ra h)</t>
  </si>
  <si>
    <t>Instantaneous net radiation flux (Rni)</t>
  </si>
  <si>
    <t>Instantaneous soil heat flux (Gi)</t>
  </si>
  <si>
    <t>Instantaneous sensible heat flux (Hi)</t>
  </si>
  <si>
    <t>Instantaneous latent heat flux (LEi)</t>
  </si>
  <si>
    <t>Daily net radiation flux (Rnd)</t>
  </si>
  <si>
    <t>Daily sensible heat flux (Hd)</t>
  </si>
  <si>
    <t>Daily latent heat flux (LEd)</t>
  </si>
  <si>
    <t>thesis book</t>
  </si>
  <si>
    <t>tree / ha</t>
  </si>
  <si>
    <t>°C</t>
  </si>
  <si>
    <t>W / m2</t>
  </si>
  <si>
    <t>s / m</t>
  </si>
  <si>
    <t xml:space="preserve">  - 0,4 to 0,1</t>
  </si>
  <si>
    <t>reviews postfire regeneration of pine studies, no metodology</t>
  </si>
  <si>
    <t>presence of reforested stands of Pinus halepensis and Eucalyptus sp. There are pure pine forest and mixed pine forest</t>
  </si>
  <si>
    <t>pine forest; mixed forest</t>
  </si>
  <si>
    <t>transects; quadrats</t>
  </si>
  <si>
    <t>regenerated seedling</t>
  </si>
  <si>
    <t>regenerated seedling height</t>
  </si>
  <si>
    <t>regenerated seedling species</t>
  </si>
  <si>
    <t>regenerated seedling collar diameter</t>
  </si>
  <si>
    <t>surviving trees DBH</t>
  </si>
  <si>
    <t>surviving trees height</t>
  </si>
  <si>
    <t>forest type</t>
  </si>
  <si>
    <t>nº seedlings / m2</t>
  </si>
  <si>
    <t>forest type; regeneration density</t>
  </si>
  <si>
    <t>mixed
stands, with both conifer (mainly P. pinaster)
and broadleaved species (including
mainly oaks - Quercus pubescens Willd.,
Quercus ilex L. -, as well as Castanea sativa
Miller, Fraxinus ornus L., and other woody
species like Erica arborea L., Arbutus unedo
L.) or with a predominance of broadleaves.</t>
  </si>
  <si>
    <t>mixed - broadleved forest;broadleaved - coniferous forest</t>
  </si>
  <si>
    <t>Tree height diversity (THD) of living stems</t>
  </si>
  <si>
    <t>brillouin diversity (HB)</t>
  </si>
  <si>
    <t>Brillouin eveness ( E )</t>
  </si>
  <si>
    <t>THD snags</t>
  </si>
  <si>
    <t>tree diameter diversity (TDD) of living stems</t>
  </si>
  <si>
    <t>TDD snags</t>
  </si>
  <si>
    <t>(VE) vertical eveness</t>
  </si>
  <si>
    <t>living stem density</t>
  </si>
  <si>
    <t>snag density</t>
  </si>
  <si>
    <t>snag basal area</t>
  </si>
  <si>
    <t>nº individuals /ha</t>
  </si>
  <si>
    <t>regeneration richness</t>
  </si>
  <si>
    <t>nº regenerated species</t>
  </si>
  <si>
    <t>top killed stools</t>
  </si>
  <si>
    <t>nº stools / specie</t>
  </si>
  <si>
    <t>range (1 - 1,7)</t>
  </si>
  <si>
    <t>range (0 - 2)</t>
  </si>
  <si>
    <t>dominated by Pinus brutia and maquis species like Olea europea, Quercus
coccifera, Styrax officinalis, Pistacia terebinthus, Arbutus
andrachne, Myrtus communis, Cistus creticus, and C.
salvifolius.</t>
  </si>
  <si>
    <t>pine seedling emergence</t>
  </si>
  <si>
    <t>fire severity; prefire stand age; aspect; year after fire</t>
  </si>
  <si>
    <t>life form richness</t>
  </si>
  <si>
    <t xml:space="preserve"> years after fire; fire severity; prefire stand age; aspect</t>
  </si>
  <si>
    <t>seeders and resprouters richness</t>
  </si>
  <si>
    <t>postfire regeneration strategy</t>
  </si>
  <si>
    <t>p. (0-5)</t>
  </si>
  <si>
    <t>dominated by pinus brutia</t>
  </si>
  <si>
    <t>taxon foliage cover</t>
  </si>
  <si>
    <t>time after fire</t>
  </si>
  <si>
    <t>42.08</t>
  </si>
  <si>
    <t>pinus nigra and pinus pinaster</t>
  </si>
  <si>
    <t>fire events</t>
  </si>
  <si>
    <r>
      <rPr>
        <b/>
        <sz val="11"/>
        <color theme="1"/>
        <rFont val="Calibri"/>
        <family val="2"/>
        <scheme val="minor"/>
      </rPr>
      <t>Duda</t>
    </r>
    <r>
      <rPr>
        <sz val="11"/>
        <color theme="1"/>
        <rFont val="Calibri"/>
        <family val="2"/>
        <scheme val="minor"/>
      </rPr>
      <t xml:space="preserve"> - no sé si la figura 3 es suficiente para considerar que se estudia regeneración</t>
    </r>
  </si>
  <si>
    <t>1975</t>
  </si>
  <si>
    <t>sclerophyll forests with palm groves (JubaeachilensisMoll.Baillon)</t>
  </si>
  <si>
    <t>provides combined results for mixed forest and shrubland areas without differentiating by vegetation type</t>
  </si>
  <si>
    <t>2020</t>
  </si>
  <si>
    <t>pinus brutia forests. oaks including common oak (Quercus robur L.), Turkish oak
(Q. cerris L.), the kermes oak (Q. coccifera L.), and gal oak (Q. infectoria
Oliv.); as well as stone pine (Pinus pinea L.), black locust (Robinia pseudoacacia
L.), oriental plane (Platanus orientalis L.), and wild pear (Pyrus pyraster)</t>
  </si>
  <si>
    <t>seedling / ha</t>
  </si>
  <si>
    <t>root-collar diameter</t>
  </si>
  <si>
    <t>vigor index (height / root-collar diameter)</t>
  </si>
  <si>
    <t>ratio</t>
  </si>
  <si>
    <t>crown width</t>
  </si>
  <si>
    <t>needle biomass</t>
  </si>
  <si>
    <t>stem biomass</t>
  </si>
  <si>
    <t>roots biomass</t>
  </si>
  <si>
    <t>aboveground biomass</t>
  </si>
  <si>
    <t>dominated by Quercus suber with an understory composed by fire-prone
shrubby and herbaceous species, such as Arbutus
unedo, Erica arborea, Phillyrea angustifolia,
Cistus salviifolius, Cytisus triflorus, Crataegus
monogyna, Rubus ulmifolius, Phillyrea latifolia,
Myrtus communis, Thymus vulgaris, Ampelodesmos
mauritanica and Asparagus acutifolius.</t>
  </si>
  <si>
    <t>plot; transect</t>
  </si>
  <si>
    <t>nº</t>
  </si>
  <si>
    <t>burned trees</t>
  </si>
  <si>
    <t>n</t>
  </si>
  <si>
    <t>recovered trees</t>
  </si>
  <si>
    <t>crown recovery</t>
  </si>
  <si>
    <t>Resprouting</t>
  </si>
  <si>
    <t>fire severity; tree status; tree diameter; soil humidity; soil color; understory height; aspects</t>
  </si>
  <si>
    <t>fire severity; tree diameter; bark thickness; tree status; understory height; shrub cover classes; aspects; soil humidity; soil color</t>
  </si>
  <si>
    <t>Dominant plant species included Pinus brutia, C.
salviifolius, C. creticus, Quercus infectoria Olivier,
Phillyrea latifolia L. and Smilax aspera</t>
  </si>
  <si>
    <t>cistus cover</t>
  </si>
  <si>
    <t>cistus density</t>
  </si>
  <si>
    <t>cistus new seedlings</t>
  </si>
  <si>
    <t>mean individuals / m2</t>
  </si>
  <si>
    <t>time after fire; pine cover</t>
  </si>
  <si>
    <t>Non available online. Original text in german</t>
  </si>
  <si>
    <t>pine saplings density</t>
  </si>
  <si>
    <t>pine survival</t>
  </si>
  <si>
    <t>woody plant composition</t>
  </si>
  <si>
    <t>woody plant cover</t>
  </si>
  <si>
    <t>site</t>
  </si>
  <si>
    <t>mean pine cover</t>
  </si>
  <si>
    <t>mean pine height</t>
  </si>
  <si>
    <t>saplings / m2</t>
  </si>
  <si>
    <t>origin of coordinates is in a supplementary table, out of the article</t>
  </si>
  <si>
    <t>ha estimated by a chart</t>
  </si>
  <si>
    <t>stem diameter</t>
  </si>
  <si>
    <t>dominant height</t>
  </si>
  <si>
    <t>aboveground pine biomass</t>
  </si>
  <si>
    <t>aboveground understory biomass</t>
  </si>
  <si>
    <t>total aboveground biomass</t>
  </si>
  <si>
    <t>management_type; postfire pine age; site</t>
  </si>
  <si>
    <t>site; management_type</t>
  </si>
  <si>
    <t>ratio aboveground understory biomas / aboveground pine biomass</t>
  </si>
  <si>
    <t>belowground biomass</t>
  </si>
  <si>
    <t>total carbon storage</t>
  </si>
  <si>
    <t>understory root:shoot ratio</t>
  </si>
  <si>
    <t>pine root:shoot ratio</t>
  </si>
  <si>
    <t>nº trees / ha</t>
  </si>
  <si>
    <t>erosion</t>
  </si>
  <si>
    <t>interactions</t>
  </si>
  <si>
    <t>The main tree species are the Aleppo pine, P. halepensis, the
holm oak Quercus ilex and, rarely, the deciduous oak Quercus
pubescens.</t>
  </si>
  <si>
    <t>time since last fire;size of fire;rehabilitation treatment;geographical location;stem density</t>
  </si>
  <si>
    <t>diversity (shannon index)</t>
  </si>
  <si>
    <t>equitability (shannon index)</t>
  </si>
  <si>
    <t>time since last fire;size of fire;rehabilitation treatment;geographical location;variation in stem density</t>
  </si>
  <si>
    <t>beta diversity</t>
  </si>
  <si>
    <t>time since last fire</t>
  </si>
  <si>
    <t>species density (trees and shrubs)</t>
  </si>
  <si>
    <t>species abundance (climbers, herbs and forbs)</t>
  </si>
  <si>
    <t>pine stems</t>
  </si>
  <si>
    <t>stems (x1000) / ha</t>
  </si>
  <si>
    <t>% individuals / ha</t>
  </si>
  <si>
    <t>pinus halepensis Basal area</t>
  </si>
  <si>
    <t>range (0-10)</t>
  </si>
  <si>
    <t>range (0-4)</t>
  </si>
  <si>
    <t>Height (H)</t>
  </si>
  <si>
    <t>Trunk diameter (D)</t>
  </si>
  <si>
    <t>Crown diameter (Dcrown)</t>
  </si>
  <si>
    <t>canopy seed bank</t>
  </si>
  <si>
    <t>soil seed bank</t>
  </si>
  <si>
    <t>Number of seeds contained in a cone</t>
  </si>
  <si>
    <t>Percentage of sound seeds</t>
  </si>
  <si>
    <t>Viability percentage</t>
  </si>
  <si>
    <t>Germination percentage</t>
  </si>
  <si>
    <t>site; management_type; cone type; cone age</t>
  </si>
  <si>
    <t>nº seeds / cone</t>
  </si>
  <si>
    <t>age; site</t>
  </si>
  <si>
    <t>nº cones / tree</t>
  </si>
  <si>
    <t>diameter; site</t>
  </si>
  <si>
    <t>seeds / ha</t>
  </si>
  <si>
    <t>reproductive and monoecious trees</t>
  </si>
  <si>
    <t>site; distance to closest reproductive tree</t>
  </si>
  <si>
    <t>number of different cone types</t>
  </si>
  <si>
    <t>1959</t>
  </si>
  <si>
    <t>1962</t>
  </si>
  <si>
    <t>1964</t>
  </si>
  <si>
    <t>later successional stage (i.e. with no fire for at
least 57 years), closed forests are dominated by a tree
stratum of Quercus suber L., Quercus ilex L. and Pinus
pinaster Aiton subsp. Pinaster</t>
  </si>
  <si>
    <t>composite sampling</t>
  </si>
  <si>
    <t>total organic carbon</t>
  </si>
  <si>
    <t>soil organic matter content</t>
  </si>
  <si>
    <t>microbial biomass</t>
  </si>
  <si>
    <t>microbial available C-substrate</t>
  </si>
  <si>
    <t>enzyme activity</t>
  </si>
  <si>
    <t>fire regimes</t>
  </si>
  <si>
    <t>mg / kg</t>
  </si>
  <si>
    <t>available phosporus (PO43 - P)</t>
  </si>
  <si>
    <t>net ammonification (NH4+ - N)</t>
  </si>
  <si>
    <t>net nitrification (NO3- - N)</t>
  </si>
  <si>
    <t>μg Cmic​ / g</t>
  </si>
  <si>
    <t>mU / g dry soil</t>
  </si>
  <si>
    <t>fire regimes; SOM; TOC; nutrients</t>
  </si>
  <si>
    <t>nutrients; SOM</t>
  </si>
  <si>
    <t>Pinus
halepensis (Aleppo pine) is the dominant tree species,
accompanied by Quercus coccifera (kermes oak) as the
main woody shrub, sharing space with a diverse shrub cover
(dominated by Rosmarinus officinalis, Ulex palviflorus,
Juniperus oxicedrus, Cistus albidus and Arbutus unedo).</t>
  </si>
  <si>
    <t>soil nitrogen (Nk)</t>
  </si>
  <si>
    <t>C / N ratio</t>
  </si>
  <si>
    <t>DOC (disolved organic carbon)</t>
  </si>
  <si>
    <t>available P</t>
  </si>
  <si>
    <t>g N / kg dry soil</t>
  </si>
  <si>
    <t>C organic</t>
  </si>
  <si>
    <t>g C / kg dry soil</t>
  </si>
  <si>
    <t>microbial biomass carbon</t>
  </si>
  <si>
    <t>microbial activity (respiration)</t>
  </si>
  <si>
    <t>CFU /g</t>
  </si>
  <si>
    <t>μg CO2 / h· g</t>
  </si>
  <si>
    <t>g P / kg dry soil</t>
  </si>
  <si>
    <t>μg C / g dry soil</t>
  </si>
  <si>
    <t>mixed forest</t>
  </si>
  <si>
    <t>Pinus halepensis and Holm Oak Quercus ilex
forests covered 90% of the area before the fire.</t>
  </si>
  <si>
    <t>point count method</t>
  </si>
  <si>
    <t>bird richness</t>
  </si>
  <si>
    <t>bird abundances</t>
  </si>
  <si>
    <t>nº individuals / station</t>
  </si>
  <si>
    <t>bird species composition</t>
  </si>
  <si>
    <t>common species abundance</t>
  </si>
  <si>
    <t>management;type; spread dead branches cover; piled dead branches cover; vegetation cover</t>
  </si>
  <si>
    <t>Mixed scrub-forest zone. It not distinguish results by vegetation type</t>
  </si>
  <si>
    <t>2017</t>
  </si>
  <si>
    <t>Pinus pinaster and Pinus halepensis. Accompanied with a shrub layer
dominated by Pistacia lentiscus L., Quercus coccifera
L., Phyllirea angustifolia L. and Juniperus oxycedrus
L. Also, herbaceous companion species found
were Salvia Rosmarinus, Rhamnus lycioides, Thymus
vulgaris and Cistus clusii.</t>
  </si>
  <si>
    <t>low;high</t>
  </si>
  <si>
    <t>plots; composite sampling</t>
  </si>
  <si>
    <t>fungal species composition</t>
  </si>
  <si>
    <t>fungal species richness</t>
  </si>
  <si>
    <t>fungal species eveness (Camargo's Index)</t>
  </si>
  <si>
    <t>soil infiltration</t>
  </si>
  <si>
    <t>soil pH</t>
  </si>
  <si>
    <t>μS / cm</t>
  </si>
  <si>
    <t>SOM</t>
  </si>
  <si>
    <t>N content</t>
  </si>
  <si>
    <t>% dry soil</t>
  </si>
  <si>
    <t>P content</t>
  </si>
  <si>
    <t>Corg soluble</t>
  </si>
  <si>
    <t>mg C / kg soil</t>
  </si>
  <si>
    <t>mg C-CO2 / Kg soil · h</t>
  </si>
  <si>
    <t>enzymatic activity</t>
  </si>
  <si>
    <t>μmol p-NP / g soil · h</t>
  </si>
  <si>
    <t>biological properties</t>
  </si>
  <si>
    <t>burn severity; time after fire; season</t>
  </si>
  <si>
    <t>burn severity; fire recurrence; time after fire</t>
  </si>
  <si>
    <t>meq 100 / g</t>
  </si>
  <si>
    <t>soil water repellency (WDPT)</t>
  </si>
  <si>
    <t>CEC(cation exchange capacity)</t>
  </si>
  <si>
    <t>fungal species relative abundance</t>
  </si>
  <si>
    <t>exchangeable cations (Ca, K, Na, Mg)</t>
  </si>
  <si>
    <t>ecological processes</t>
  </si>
  <si>
    <t>Abundancia total</t>
  </si>
  <si>
    <t>Abundancia relativa</t>
  </si>
  <si>
    <t>microbial community abundance (aerobic bacteria, actinomycetes, and spore formers)</t>
  </si>
  <si>
    <r>
      <t xml:space="preserve">proporción de una especie o taxón respecto a todas las especies o taxones contenidos en un sitio. Indica que tan común o rara es la especie en la comunidad. Es una variable de </t>
    </r>
    <r>
      <rPr>
        <b/>
        <sz val="11"/>
        <color theme="1"/>
        <rFont val="Calibri"/>
        <family val="2"/>
        <scheme val="minor"/>
      </rPr>
      <t>composición</t>
    </r>
  </si>
  <si>
    <r>
      <t xml:space="preserve">Nº individuos totales de la especie. Indica </t>
    </r>
    <r>
      <rPr>
        <b/>
        <sz val="11"/>
        <color theme="1"/>
        <rFont val="Calibri"/>
        <family val="2"/>
        <scheme val="minor"/>
      </rPr>
      <t>estructura</t>
    </r>
    <r>
      <rPr>
        <sz val="11"/>
        <color theme="1"/>
        <rFont val="Calibri"/>
        <family val="2"/>
        <scheme val="minor"/>
      </rPr>
      <t xml:space="preserve"> de la comunidad.</t>
    </r>
  </si>
  <si>
    <t>A laboratory study under controlled conditions</t>
  </si>
  <si>
    <t>1986</t>
  </si>
  <si>
    <t>2015</t>
  </si>
  <si>
    <t>de este incendio no se evaluan resultados</t>
  </si>
  <si>
    <t>mainly composed by Pinus
halepensis Miller, Pinus nigra Arnold and Quercus ilex L.
with an understorey layer composed of Genista scorpius L.
and Pistacia lentiscus L.</t>
  </si>
  <si>
    <t>inorganic C</t>
  </si>
  <si>
    <t>single sampling</t>
  </si>
  <si>
    <t>organic C</t>
  </si>
  <si>
    <t>soil depth; slope; aspect</t>
  </si>
  <si>
    <t>mainly covered by native
sclerophyllous forest species, dominated by Quillaja
saponaria Molina, Lithraea caustica Hook. &amp; Arn., and
Peumus boldus Molina in the canopy, and Trevoa
trinervis Miers, Azara serrata Ruiz &amp; Pav., and
Colliguaja odorifera Molina in the understory</t>
  </si>
  <si>
    <t>severidad deducida</t>
  </si>
  <si>
    <t>amendments</t>
  </si>
  <si>
    <t>plot; composite sampling</t>
  </si>
  <si>
    <t>water soluble carbohydrates</t>
  </si>
  <si>
    <t>extractable trace elements (Fe, Zn, Cu, Mn)</t>
  </si>
  <si>
    <t>basal respiration</t>
  </si>
  <si>
    <t>management_type; organic carbon; total nitrogen; available phosphorus; electrical conductivity; micronutrients; potencial pollutants</t>
  </si>
  <si>
    <t>potential pollutants (Ni, Cr, Pb, Cd)</t>
  </si>
  <si>
    <t>mg CO2 / h · kg</t>
  </si>
  <si>
    <t>mg C / kg</t>
  </si>
  <si>
    <t>range (0-6)</t>
  </si>
  <si>
    <t>mineralizing C capacity (index)</t>
  </si>
  <si>
    <t>C descomposition efficiency (index)</t>
  </si>
  <si>
    <t>It does not evaluate postfire mammals recovery</t>
  </si>
  <si>
    <t>nectar volume</t>
  </si>
  <si>
    <t>nectar concentration</t>
  </si>
  <si>
    <t>nectar energy content</t>
  </si>
  <si>
    <t>nectar water content</t>
  </si>
  <si>
    <t>transect; quadrats</t>
  </si>
  <si>
    <t>nectar resource diversity (index)</t>
  </si>
  <si>
    <t>style sampling</t>
  </si>
  <si>
    <t>beees abundance</t>
  </si>
  <si>
    <t>bee species richness</t>
  </si>
  <si>
    <t>flower species richness</t>
  </si>
  <si>
    <t xml:space="preserve"> individuals / site</t>
  </si>
  <si>
    <t>species / site</t>
  </si>
  <si>
    <t>flower abundance</t>
  </si>
  <si>
    <t>cm2 / site</t>
  </si>
  <si>
    <t>ml / ha /day</t>
  </si>
  <si>
    <t>% sucrose</t>
  </si>
  <si>
    <t>kJ / ha / day</t>
  </si>
  <si>
    <t>g / ha / day</t>
  </si>
  <si>
    <t>nº / stigma</t>
  </si>
  <si>
    <t>pollen grain deposition (Asphodellus, Cistus and Lavandula)</t>
  </si>
  <si>
    <t>categories (%)</t>
  </si>
  <si>
    <t>native forests,
with oaks (Quercus suber, Q. ilex, Q. pubescens) and pines
(Pinus pinea, P. pinaster, P. halepensis) making up the dominant tree
species.</t>
  </si>
  <si>
    <t>vegetation cover (postfire habitat structure)</t>
  </si>
  <si>
    <t>dietary habits</t>
  </si>
  <si>
    <t>specie altitudinal range</t>
  </si>
  <si>
    <t>sexual females maturity</t>
  </si>
  <si>
    <t>months</t>
  </si>
  <si>
    <t>categories (herbivorous, insectivorous, vertebrates, amphibians)</t>
  </si>
  <si>
    <t>reptile mediterraneity</t>
  </si>
  <si>
    <t>reptile richness</t>
  </si>
  <si>
    <t>reptile species abundance</t>
  </si>
  <si>
    <t>% area</t>
  </si>
  <si>
    <t>nº reptiles seen</t>
  </si>
  <si>
    <t>reptile relative abundance</t>
  </si>
  <si>
    <t>% species</t>
  </si>
  <si>
    <t>reptile diversity (Chao 1 index)</t>
  </si>
  <si>
    <t>range (2 - 11)</t>
  </si>
  <si>
    <t>percentage of the species’ distribution within the range of the Mediterranean ecoregion</t>
  </si>
  <si>
    <r>
      <rPr>
        <b/>
        <sz val="11"/>
        <color theme="1"/>
        <rFont val="Calibri"/>
        <family val="2"/>
        <scheme val="minor"/>
      </rPr>
      <t>Duda</t>
    </r>
    <r>
      <rPr>
        <sz val="11"/>
        <color theme="1"/>
        <rFont val="Calibri"/>
        <family val="2"/>
        <scheme val="minor"/>
      </rPr>
      <t xml:space="preserve"> - it simulates rainfall in the field. That's a controlled rainfall</t>
    </r>
  </si>
  <si>
    <t>species typical of the Mediterranean maquis: holm oak, pines
(Pinus pinea L., Pinus nigra L.) and various herbs, such as Myrtus communis
L., Laurus nobilis L., Viburnum tinus L., Cistus sp., Ginesta sp.</t>
  </si>
  <si>
    <t>total C</t>
  </si>
  <si>
    <t>total N</t>
  </si>
  <si>
    <t>total P</t>
  </si>
  <si>
    <t>Corg</t>
  </si>
  <si>
    <t>nitrite (NO2-)</t>
  </si>
  <si>
    <t>amonium (NH4+)</t>
  </si>
  <si>
    <t>bacterial rDNA</t>
  </si>
  <si>
    <t>fungal rDNA</t>
  </si>
  <si>
    <t>nanograms of sequence per g of soil (ng /g)</t>
  </si>
  <si>
    <t>not measures nº individuals, is for community trend</t>
  </si>
  <si>
    <t>microarthropods richness</t>
  </si>
  <si>
    <t>mean nº taxons / site</t>
  </si>
  <si>
    <t>nº individuals / m2 soil</t>
  </si>
  <si>
    <t>microarthropods density</t>
  </si>
  <si>
    <t>microarthropods relative abundance</t>
  </si>
  <si>
    <t>soil biological quality index</t>
  </si>
  <si>
    <t>microarthropods eveness index</t>
  </si>
  <si>
    <t>microarthropods diversity index</t>
  </si>
  <si>
    <t>vegetation type;fire ocurrence</t>
  </si>
  <si>
    <t>% d.w.</t>
  </si>
  <si>
    <t>mg / kg d.w.</t>
  </si>
  <si>
    <t>microarthropod community vertical distribution</t>
  </si>
  <si>
    <t>p. (0-1,5)</t>
  </si>
  <si>
    <t>range 0-100</t>
  </si>
  <si>
    <t>reproduction</t>
  </si>
  <si>
    <t>2007</t>
  </si>
  <si>
    <t>forest stands are densely canopied and
dominated by Quercus ilex L., Quercus suber L. and Quercus pubescens Willd and
locally by Pinus pinaster Aiton subsp.pinaster</t>
  </si>
  <si>
    <t>mg / g DM</t>
  </si>
  <si>
    <t>plot;composite sampling</t>
  </si>
  <si>
    <t>fire regime;soil depth</t>
  </si>
  <si>
    <t>humic acids TOC</t>
  </si>
  <si>
    <t>fluvic fractions TOC</t>
  </si>
  <si>
    <t>total humic substances TOC</t>
  </si>
  <si>
    <t>humic acids / fluvic acids index</t>
  </si>
  <si>
    <t>fluvic acids / no humified fraction index</t>
  </si>
  <si>
    <t>humic substance index 1</t>
  </si>
  <si>
    <t>humic substance index 2</t>
  </si>
  <si>
    <t>band height (cm-1)</t>
  </si>
  <si>
    <t>humic acids spectral index</t>
  </si>
  <si>
    <t>fluvic fractions spectral index</t>
  </si>
  <si>
    <t>non humified fraction spectral index</t>
  </si>
  <si>
    <t>plot; single sampling</t>
  </si>
  <si>
    <t>nº taxons</t>
  </si>
  <si>
    <t>kg / ha</t>
  </si>
  <si>
    <t>succession postfire stage</t>
  </si>
  <si>
    <t>fresh weigth (fungal production)</t>
  </si>
  <si>
    <t>succession postfire stage;funcitonal groups;edibility</t>
  </si>
  <si>
    <t>fungal mycorrhizal richness</t>
  </si>
  <si>
    <t>fungal saprotrophic richness</t>
  </si>
  <si>
    <t>fungal edible species richness</t>
  </si>
  <si>
    <t>composed of a mixture
of Mediterrranean Maquia species, with Pinus halepensis M. and
Quercus ilex subsp. Rotundifolia L. Within the shrubs Pistacia lentiscus
L., Erica multifora L., Juniperus oxycedrus Sibth. &amp; Sm., Quercus
coccifera L. and Rosmarinus officinalis L. are the most abundant</t>
  </si>
  <si>
    <t>forest stand type;rainy event</t>
  </si>
  <si>
    <t>CaCO3</t>
  </si>
  <si>
    <t>grain size / texture</t>
  </si>
  <si>
    <t>runoff sediment concentration</t>
  </si>
  <si>
    <t>L</t>
  </si>
  <si>
    <t>g / l</t>
  </si>
  <si>
    <t>habitat type</t>
  </si>
  <si>
    <t>el predictor habitat type hace referencia a diferentes tipos de habitats segun el tiempo que ha pasado desde el incendio.</t>
  </si>
  <si>
    <t>main tree species were Q. suber, Pinus pinaster Ait. (maritime pine), and
Pinus pinea L. (stone pine), which often appeared in mixed stands. The
shrub layer was also common and dominated by Mediterranean species
such as Cistus salvifolius L. (sage-leaved rock-rose), Calluna vulgaris L.
(heather), Rosmarinus officinalis L. (rosemary), Arbutus unedo L.
(strawberry tree), and Quercus lusitanica Lam. (Lusitanian oak), among
others.</t>
  </si>
  <si>
    <t>traps</t>
  </si>
  <si>
    <t>Nº P. cylindrus catches</t>
  </si>
  <si>
    <t>nº individuals / trap</t>
  </si>
  <si>
    <t>P. cylindrus sex ratio</t>
  </si>
  <si>
    <t>nº females / nº males</t>
  </si>
  <si>
    <t>relative xylophagous abundance in interception traps</t>
  </si>
  <si>
    <t>relative xylophagous abundance in emergence traps</t>
  </si>
  <si>
    <t>nº catches / trap</t>
  </si>
  <si>
    <t xml:space="preserve">average number of Platypus </t>
  </si>
  <si>
    <t>average number of Scolytinae</t>
  </si>
  <si>
    <t>average number of Buprestidae</t>
  </si>
  <si>
    <t>Average number of Cerambycidae</t>
  </si>
  <si>
    <t>burning tree level</t>
  </si>
  <si>
    <t>average number of emergent Platypodinae</t>
  </si>
  <si>
    <t>average number of emergent Scolytinae</t>
  </si>
  <si>
    <t>average number of emergent Cerambidae</t>
  </si>
  <si>
    <t>distance to the unburned area; distance to the nearest trap; number of neighboring traps; burned area; forest area; unburned forest area; time after fire</t>
  </si>
  <si>
    <t>pine forests (Pinus nigra
and, to a lesser extent, Pinus halepensis). The forests had a relatively
dense understory composed of common Mediterranean shrubs,
including Rosmarinus officinalis, Thymus vulgaris, Rhamnus alaternus, and
Lavandula latifolia.</t>
  </si>
  <si>
    <t>plot;transect;trap</t>
  </si>
  <si>
    <t>ants ocurrence</t>
  </si>
  <si>
    <t>spider abundance</t>
  </si>
  <si>
    <t>nº traps with ants / nº traps</t>
  </si>
  <si>
    <t>ants richness</t>
  </si>
  <si>
    <t>ants diversity (Shannon index)</t>
  </si>
  <si>
    <t>ants eveness (Pielou's index)</t>
  </si>
  <si>
    <t>spiders richness</t>
  </si>
  <si>
    <t>spiders diversity (Shannon index)</t>
  </si>
  <si>
    <t>spiders eveness (Pielou's index)</t>
  </si>
  <si>
    <t>sampling year; fire plot type</t>
  </si>
  <si>
    <t>ants functional diversity</t>
  </si>
  <si>
    <t>spiders functional diversity</t>
  </si>
  <si>
    <t>relative to the similarity of functional traits as behaviour, colony size, diet,...</t>
  </si>
  <si>
    <t>range1,16 - 1,4</t>
  </si>
  <si>
    <t>Studies ectomycorrizal community under laboratory conditions</t>
  </si>
  <si>
    <t>mediterranean shrubland study zone</t>
  </si>
  <si>
    <t>Most of the
catchments’ surface was covered by a Pinus halepensis open forest,
escorted by rich layers of companion shrubs and herbs</t>
  </si>
  <si>
    <t>silvicultural;erosion control;reforestation</t>
  </si>
  <si>
    <t>Aggregated index of runoff and sediment connectivity (AIC)</t>
  </si>
  <si>
    <t>management ype;management time</t>
  </si>
  <si>
    <t>management time;managment_type;subcatchment area;slope;rougness;stream density;C factor;severity;permeability</t>
  </si>
  <si>
    <t>specific sediment yield (SSY)</t>
  </si>
  <si>
    <t>AIC-SSY relationship</t>
  </si>
  <si>
    <t>adimensional</t>
  </si>
  <si>
    <t>r coefficient</t>
  </si>
  <si>
    <t>management time</t>
  </si>
  <si>
    <t>Vegetation at the site is characterized by native sclerophyll forest species, dominated by Quillaja saponaria Molina, Lithraea caustica Hook. &amp; Arn., and Peumus boldus Molina in the canopy, and Trevoa trinervis Miers, Azara serrata Ruiz &amp; Pav., and Col
liguaja odorifera Molina in the understory.</t>
  </si>
  <si>
    <t>management_type; microbial community structure</t>
  </si>
  <si>
    <t>microbial community composition</t>
  </si>
  <si>
    <t>plot;single samping</t>
  </si>
  <si>
    <t>total microbial biomass</t>
  </si>
  <si>
    <t>PLFAs (nmol / g)</t>
  </si>
  <si>
    <t>fungii biomass</t>
  </si>
  <si>
    <t>bacteria biomass</t>
  </si>
  <si>
    <t>fungi/bacterial ratio</t>
  </si>
  <si>
    <t>ratio (0,29 - 0,40)</t>
  </si>
  <si>
    <t>prokaryotic richness</t>
  </si>
  <si>
    <t>prokaryotic diversity (Shannon index)</t>
  </si>
  <si>
    <t>prokaryotic diversity (Simpson index) richness</t>
  </si>
  <si>
    <t>prokaryotic eveness (Pielou's index)</t>
  </si>
  <si>
    <t>eukaryotes richness</t>
  </si>
  <si>
    <t>eukaryotes diversity (Shannon index)</t>
  </si>
  <si>
    <t>eukaryotes diversity (Simpson index) richness</t>
  </si>
  <si>
    <t>eukaryotes eveness (Pielou's index)</t>
  </si>
  <si>
    <t>nº taxa</t>
  </si>
  <si>
    <t>range (6-8)</t>
  </si>
  <si>
    <t>range (200-900)</t>
  </si>
  <si>
    <t>range (0-1)</t>
  </si>
  <si>
    <t>range (0-11)</t>
  </si>
  <si>
    <t>management_type;soil physicochemical properties</t>
  </si>
  <si>
    <t>μg / INTF</t>
  </si>
  <si>
    <t>μmol / g · h</t>
  </si>
  <si>
    <t>dehydrogenase soil enzyme activity</t>
  </si>
  <si>
    <t>urease enzyme activity</t>
  </si>
  <si>
    <t>spectral response</t>
  </si>
  <si>
    <t>NA</t>
  </si>
  <si>
    <r>
      <t>Categories: (1) vegetation, (2) soil (includin</t>
    </r>
    <r>
      <rPr>
        <sz val="11"/>
        <rFont val="Calibri"/>
        <family val="2"/>
        <scheme val="minor"/>
      </rPr>
      <t>g microorganisms and fungi</t>
    </r>
    <r>
      <rPr>
        <sz val="11"/>
        <color theme="1"/>
        <rFont val="Calibri"/>
        <family val="2"/>
        <scheme val="minor"/>
      </rPr>
      <t>i), (3) fauna and (4) others</t>
    </r>
  </si>
  <si>
    <r>
      <t>Categories: (1) low, (2) moderate, (3) high, (4) low;moderate, (5) moderate;high and, (6) all.</t>
    </r>
    <r>
      <rPr>
        <sz val="11"/>
        <color rgb="FFFF0000"/>
        <rFont val="Calibri"/>
        <family val="2"/>
        <scheme val="minor"/>
      </rPr>
      <t xml:space="preserve"> </t>
    </r>
    <r>
      <rPr>
        <sz val="11"/>
        <rFont val="Calibri"/>
        <family val="2"/>
        <scheme val="minor"/>
      </rPr>
      <t>Based on Keeley (2009). If fire severity is not explicitly stated but can be inferred from the description, classify it accordingly (e.g., active crown fire causing total tree mortality = high severity). If it cannot be determined, write NA.</t>
    </r>
  </si>
  <si>
    <t>Metres above sea level (m a.s.l.). If a range is given, enter the mean altitude. NA if not specified</t>
  </si>
  <si>
    <t>Affected area (ha). NA if not specified</t>
  </si>
  <si>
    <t>Post-fire management measures implemented. 
Categories: (1) silvicultural (firebreaks, fuel management, thinning, etc.), (2) reforestation (planting), (3) erosion control (prevention of erosion through mulching, brushwood barriers, stone walls, etc.), (4) none and (5) no specified (NA) (Jucker et al. 2016)</t>
  </si>
  <si>
    <t>Plot, transect, etc. For remote sensing, report whether the analysis is conducted at the pixel or plot level.</t>
  </si>
  <si>
    <t>Source of study coordinates. Categories: (1) exact (explicitly stated in the text), (2) mean point (mean point of a range explicitly stated in the text, and, (3) estimated (not explicit; georeferenced based on site descriptions or location).</t>
  </si>
  <si>
    <t>revision_date</t>
  </si>
  <si>
    <t>date the article was reviewed</t>
  </si>
  <si>
    <t>2016_01_06</t>
  </si>
  <si>
    <t>Fire date in YYYY_MM_DD format. If specific details are missing, use YYYY_MM or YYYY. If the sampling period includes fires with unknown exact dates, record the full range (e.g., 1975-2001)</t>
  </si>
  <si>
    <r>
      <t xml:space="preserve">First post-fire sampling date (YYYY_MM_DD). For remote sensing, use the earliest image acquisition date after the fire. </t>
    </r>
    <r>
      <rPr>
        <sz val="11"/>
        <rFont val="Calibri"/>
        <family val="2"/>
        <scheme val="minor"/>
      </rPr>
      <t>Do not use pre-fire dates, even if reported in the study.</t>
    </r>
  </si>
  <si>
    <t>1989_08</t>
  </si>
  <si>
    <t>2005_09</t>
  </si>
  <si>
    <t>2012_07</t>
  </si>
  <si>
    <t>2017_10_15</t>
  </si>
  <si>
    <t>2015_09_12</t>
  </si>
  <si>
    <t>1966_08</t>
  </si>
  <si>
    <t>1999_08</t>
  </si>
  <si>
    <t>1994_08</t>
  </si>
  <si>
    <t>2004_09</t>
  </si>
  <si>
    <t>2017_07</t>
  </si>
  <si>
    <t>1986_08_18</t>
  </si>
  <si>
    <t>1989_07_15</t>
  </si>
  <si>
    <t>1985_07_25</t>
  </si>
  <si>
    <t>1979_09_02</t>
  </si>
  <si>
    <t>1983_06_14</t>
  </si>
  <si>
    <t>1983_10_17</t>
  </si>
  <si>
    <t>1983_08_01</t>
  </si>
  <si>
    <t>1983_07_28</t>
  </si>
  <si>
    <t>1994_07_04</t>
  </si>
  <si>
    <t>1994_08_10</t>
  </si>
  <si>
    <t>1994_04_07</t>
  </si>
  <si>
    <t>1994_07_02</t>
  </si>
  <si>
    <t>1994_07_20</t>
  </si>
  <si>
    <t>1994_04_10</t>
  </si>
  <si>
    <t>1994_04_02</t>
  </si>
  <si>
    <t>2003_09</t>
  </si>
  <si>
    <t>1994_07</t>
  </si>
  <si>
    <t>2002_11</t>
  </si>
  <si>
    <t>2018_08</t>
  </si>
  <si>
    <t>2016_01</t>
  </si>
  <si>
    <t>2001_08</t>
  </si>
  <si>
    <t>2010_12</t>
  </si>
  <si>
    <t>1985_07</t>
  </si>
  <si>
    <t>1979_07</t>
  </si>
  <si>
    <t>2017_10</t>
  </si>
  <si>
    <t>2017_07_02</t>
  </si>
  <si>
    <t>2016_07</t>
  </si>
  <si>
    <t>2016_08</t>
  </si>
  <si>
    <t>1998_08</t>
  </si>
  <si>
    <t>2003_08</t>
  </si>
  <si>
    <t>2000_08_24</t>
  </si>
  <si>
    <t>2014_08_11</t>
  </si>
  <si>
    <t>1983_08_07</t>
  </si>
  <si>
    <t>2003_09_03</t>
  </si>
  <si>
    <t>1999_07_22</t>
  </si>
  <si>
    <t>1989_10_09</t>
  </si>
  <si>
    <t>1983_06_16</t>
  </si>
  <si>
    <t>1977_04_15</t>
  </si>
  <si>
    <t>2005_08</t>
  </si>
  <si>
    <t>2017_01</t>
  </si>
  <si>
    <t>2017_06</t>
  </si>
  <si>
    <t>2002_08</t>
  </si>
  <si>
    <t>2009_06</t>
  </si>
  <si>
    <t>1994_07_05</t>
  </si>
  <si>
    <t>1989_09</t>
  </si>
  <si>
    <t>1989_09_19</t>
  </si>
  <si>
    <t>1998_10_11</t>
  </si>
  <si>
    <t>1999_12_04</t>
  </si>
  <si>
    <t>2003_09_11</t>
  </si>
  <si>
    <t>1994_07_15</t>
  </si>
  <si>
    <t>1994_07_01</t>
  </si>
  <si>
    <t>1994_08_07</t>
  </si>
  <si>
    <t>2017_07_27</t>
  </si>
  <si>
    <t>2020_07_20</t>
  </si>
  <si>
    <t>2000_07_03</t>
  </si>
  <si>
    <t>1994_07_19</t>
  </si>
  <si>
    <t>2000_08_03</t>
  </si>
  <si>
    <t>2012_07_01</t>
  </si>
  <si>
    <t>1994_07_03</t>
  </si>
  <si>
    <t>1989_08_15</t>
  </si>
  <si>
    <t>1988_08_12</t>
  </si>
  <si>
    <t>1985_08_23</t>
  </si>
  <si>
    <t>1985_09_02</t>
  </si>
  <si>
    <t>1983_10_09</t>
  </si>
  <si>
    <t>1982_07_27</t>
  </si>
  <si>
    <t>1979_08_16</t>
  </si>
  <si>
    <t>1970_08_16</t>
  </si>
  <si>
    <t>2005_07_16</t>
  </si>
  <si>
    <t>2010_12_02</t>
  </si>
  <si>
    <t>1989_07_25</t>
  </si>
  <si>
    <t>2019_06_28</t>
  </si>
  <si>
    <t>2021_07_23</t>
  </si>
  <si>
    <t>2012_08_19</t>
  </si>
  <si>
    <t>2007_07_04</t>
  </si>
  <si>
    <t>2017_10_09</t>
  </si>
  <si>
    <t>2008_07_31</t>
  </si>
  <si>
    <t>1997_2011</t>
  </si>
  <si>
    <t>2003_08_10</t>
  </si>
  <si>
    <t>1958-2009</t>
  </si>
  <si>
    <t>1979_07_19</t>
  </si>
  <si>
    <t>2013_07_07</t>
  </si>
  <si>
    <t>2017_01_06</t>
  </si>
  <si>
    <t>2017_09_28</t>
  </si>
  <si>
    <t>2016_06</t>
  </si>
  <si>
    <t>1990_09</t>
  </si>
  <si>
    <t>2006_02</t>
  </si>
  <si>
    <t>2012_10</t>
  </si>
  <si>
    <t>1999_07</t>
  </si>
  <si>
    <t>2005_06</t>
  </si>
  <si>
    <t>1997_07_25</t>
  </si>
  <si>
    <t>1991_03</t>
  </si>
  <si>
    <t>1989_10_10</t>
  </si>
  <si>
    <t>1995_02</t>
  </si>
  <si>
    <t>2001_04</t>
  </si>
  <si>
    <t>2006_11</t>
  </si>
  <si>
    <t>2005_10</t>
  </si>
  <si>
    <t>1985_08_8</t>
  </si>
  <si>
    <t>2021_03</t>
  </si>
  <si>
    <t>2003_12</t>
  </si>
  <si>
    <t>2008_03</t>
  </si>
  <si>
    <t>2006_06</t>
  </si>
  <si>
    <t>2002_05_19</t>
  </si>
  <si>
    <t>2008_09</t>
  </si>
  <si>
    <t>2015_10</t>
  </si>
  <si>
    <t>2019_11</t>
  </si>
  <si>
    <t>2003_08_01</t>
  </si>
  <si>
    <t>2009_09</t>
  </si>
  <si>
    <t>2007_05</t>
  </si>
  <si>
    <t>2024_04</t>
  </si>
  <si>
    <t>2000_07_18</t>
  </si>
  <si>
    <t>2015_05</t>
  </si>
  <si>
    <t>2015_06</t>
  </si>
  <si>
    <t>2019_08</t>
  </si>
  <si>
    <t>2001_06</t>
  </si>
  <si>
    <t>1996_01</t>
  </si>
  <si>
    <t>1989_12</t>
  </si>
  <si>
    <t>1988_03</t>
  </si>
  <si>
    <t>1994_03</t>
  </si>
  <si>
    <t>2003_06</t>
  </si>
  <si>
    <t>2003_02</t>
  </si>
  <si>
    <t>2004_02</t>
  </si>
  <si>
    <t>2007_10</t>
  </si>
  <si>
    <t>2020_02</t>
  </si>
  <si>
    <t>2023_06_30</t>
  </si>
  <si>
    <t>2006_03</t>
  </si>
  <si>
    <t>2010_12_09</t>
  </si>
  <si>
    <t>1990_07_31</t>
  </si>
  <si>
    <t>1905_06_16</t>
  </si>
  <si>
    <t>2020_07</t>
  </si>
  <si>
    <t>2006_05_10</t>
  </si>
  <si>
    <t>2002_06</t>
  </si>
  <si>
    <t>1990_03</t>
  </si>
  <si>
    <t>1996_03</t>
  </si>
  <si>
    <t>2005_04_01</t>
  </si>
  <si>
    <t>2018_05</t>
  </si>
  <si>
    <t>2017_05</t>
  </si>
  <si>
    <t>2022_06</t>
  </si>
  <si>
    <t>2011_04</t>
  </si>
  <si>
    <t>2012_02</t>
  </si>
  <si>
    <t>1999_06_26</t>
  </si>
  <si>
    <t>2019_11_29</t>
  </si>
  <si>
    <t>2021_12</t>
  </si>
  <si>
    <t>2021_10_23</t>
  </si>
  <si>
    <t>2017_02</t>
  </si>
  <si>
    <t>2012_09_06</t>
  </si>
  <si>
    <t>2014_08_27</t>
  </si>
  <si>
    <t>2019_09_27</t>
  </si>
  <si>
    <t>2007_07_19</t>
  </si>
  <si>
    <t>2009_04</t>
  </si>
  <si>
    <t>2001_11</t>
  </si>
  <si>
    <t>2000_09</t>
  </si>
  <si>
    <t>2023_05</t>
  </si>
  <si>
    <t>2015_02</t>
  </si>
  <si>
    <t>2001_03</t>
  </si>
  <si>
    <t>1989_10</t>
  </si>
  <si>
    <t>2004_11</t>
  </si>
  <si>
    <t>2007_02</t>
  </si>
  <si>
    <t>08_2005</t>
  </si>
  <si>
    <t>2005_05</t>
  </si>
  <si>
    <t>2021_06_22</t>
  </si>
  <si>
    <t>2019_09</t>
  </si>
  <si>
    <t>2010_04</t>
  </si>
  <si>
    <t>2010_05</t>
  </si>
  <si>
    <t>2010_06</t>
  </si>
  <si>
    <t>2010_07</t>
  </si>
  <si>
    <t>2010_08</t>
  </si>
  <si>
    <t>2020_10</t>
  </si>
  <si>
    <t>2006_05</t>
  </si>
  <si>
    <t>2003_10</t>
  </si>
  <si>
    <t>2009_12</t>
  </si>
  <si>
    <t>2014_04_22</t>
  </si>
  <si>
    <t>2014_04_18</t>
  </si>
  <si>
    <t>2009_07</t>
  </si>
  <si>
    <t>2019_01</t>
  </si>
  <si>
    <t>aleppo pine present</t>
  </si>
  <si>
    <t>trunk diameter</t>
  </si>
  <si>
    <t>pine serotinity</t>
  </si>
  <si>
    <t>aridity gradient</t>
  </si>
  <si>
    <t>pine tree density</t>
  </si>
  <si>
    <t>aridity gradient;trunk diameter;reproductive trees</t>
  </si>
  <si>
    <t>reproductive trees</t>
  </si>
  <si>
    <t>nº trees / area</t>
  </si>
  <si>
    <t>aridity gradient;tree density;trunk diameter;cone production</t>
  </si>
  <si>
    <t>fire date is from the last fire</t>
  </si>
  <si>
    <t>vegetation type
is a post-fireMediterranean shrubland (Erico-Thymalaetum
tinctoreae) with young saplings of Aleppo pine (Pinus
halepensis) and small resprouts of the interior holm oak
(Quercus ilex subsp. ballota). This two tree species are the dominant</t>
  </si>
  <si>
    <t>silvicultural;amendments</t>
  </si>
  <si>
    <t>1992_07</t>
  </si>
  <si>
    <t>plots;partial individual sampling</t>
  </si>
  <si>
    <t>pine biomass increment</t>
  </si>
  <si>
    <t>mg</t>
  </si>
  <si>
    <t>pine P mineralomass increment</t>
  </si>
  <si>
    <t>pine K mineralomass increment</t>
  </si>
  <si>
    <t>1992_09</t>
  </si>
  <si>
    <t>1992_10</t>
  </si>
  <si>
    <t>1992_11</t>
  </si>
  <si>
    <t>the ecological process could refer to productivity</t>
  </si>
  <si>
    <t>Type of moderator variable tested as a potential source of variation in effect size (e.g., water stress, fire severity, years since fire, management, climate). Extract these when explicitly defined in methodology section and also reported in the results.
Include variables treated as explanatory factors or predictors.
Include predictors used in multivariate analyses (e.g., PCA, GLM).
Exclude correlations without explanatory testing.
Exclude random effects.
Exclude interaction terms.
When multiple moderators are reported, separate them with “;” (e.g., fire severity; management).</t>
  </si>
  <si>
    <t>Reported response variable in the study. Strictly post-fire only; exclude pre-fire measurements and results from unburned plots. Fire severity measurements are excluded because they characterize conditions during the fire event itself, not post-fire recovery responses.
If a single response variable combines multiple measurements of the same property in the same units, report each measurement separately rather than aggregating them (e.g., report Na, K, and Ca content individually instead of as exchangeable cations).
If a measure is expressed in different units for the same response variable, report both.
If the response is adimensional, indicate the range of numerical variation from the reported results.</t>
  </si>
  <si>
    <t>&gt;7000</t>
  </si>
  <si>
    <t>holm oak woodland</t>
  </si>
  <si>
    <t>Quercus ilex and Quercus suber</t>
  </si>
  <si>
    <t>species turnover</t>
  </si>
  <si>
    <t>species turnover is the change in species composition</t>
  </si>
  <si>
    <t>dominant plants height</t>
  </si>
  <si>
    <t>1977_05_02</t>
  </si>
  <si>
    <t>plots;count point</t>
  </si>
  <si>
    <t>birds successional patterns</t>
  </si>
  <si>
    <t>nº of records</t>
  </si>
  <si>
    <t>granivores average abundance</t>
  </si>
  <si>
    <t>insectivores average abundance</t>
  </si>
  <si>
    <t>granivores-insectivores average abundance</t>
  </si>
  <si>
    <t>frugivores-insectivores average abundance</t>
  </si>
  <si>
    <t>avifauna recovery time</t>
  </si>
  <si>
    <t>vegetation recovery time</t>
  </si>
  <si>
    <t>1994-2014</t>
  </si>
  <si>
    <t>20 years postfire Plant communities were generally consisted
of evergreen shrublands with Pinus halepensis and varying abundance of
Quercus coccifera, Rosmarinus officinalis, Ulex parviflorus and Cistus species.</t>
  </si>
  <si>
    <t>probably pine forest</t>
  </si>
  <si>
    <t>2014_05</t>
  </si>
  <si>
    <t>plots;composite sampling</t>
  </si>
  <si>
    <t>microbial respiration</t>
  </si>
  <si>
    <t>enzymatic activity C (β-glucosidase)</t>
  </si>
  <si>
    <t>enzymatic activity P (alkaline phosphatase)</t>
  </si>
  <si>
    <t>enzymatic activity N (urease)</t>
  </si>
  <si>
    <t>bacteria phylogeny</t>
  </si>
  <si>
    <t>fungal phylogeny</t>
  </si>
  <si>
    <t>time since fire;TOC;total N;humidity;pH;electrical conductivity;nitrate;ammonium;fungal diversity;bacteria diversity</t>
  </si>
  <si>
    <t>Max. CO2-C production mg CO2-C / kg</t>
  </si>
  <si>
    <t>µmol PNP / g·h</t>
  </si>
  <si>
    <t>mg N-NH4+ / g·h</t>
  </si>
  <si>
    <t>tree topology</t>
  </si>
  <si>
    <t>relative abundance OTU fractions / transect</t>
  </si>
  <si>
    <t>OTU = Operational Taxonomical Unit</t>
  </si>
  <si>
    <t>microbial community relative abundance</t>
  </si>
  <si>
    <t>fungal community relative abundance</t>
  </si>
  <si>
    <t>1998_07_24</t>
  </si>
  <si>
    <t>dominated by Pinus halepensis. Understory vegetation covered by maquis</t>
  </si>
  <si>
    <t>p. (-1 to +1)</t>
  </si>
  <si>
    <t>2004_01_17</t>
  </si>
  <si>
    <t>1995-2007</t>
  </si>
  <si>
    <t>cork oak woodlands, cork oak forest and eucalyptus plantations were present</t>
  </si>
  <si>
    <t>landscape composition change</t>
  </si>
  <si>
    <t>% of total area</t>
  </si>
  <si>
    <t>landscape</t>
  </si>
  <si>
    <t>soil type;slope</t>
  </si>
  <si>
    <t>dominated by Pinus pinaster, maritime pine. Pterospartum tridentatum as the predominant shrub species</t>
  </si>
  <si>
    <t>initial surface cover</t>
  </si>
  <si>
    <t>plots;gridded quadrats</t>
  </si>
  <si>
    <t>soil moisture</t>
  </si>
  <si>
    <t>plots;sensors</t>
  </si>
  <si>
    <t>2012_12</t>
  </si>
  <si>
    <t>ethanol drops</t>
  </si>
  <si>
    <t>plots;sampling bottles</t>
  </si>
  <si>
    <t>organic matter losses</t>
  </si>
  <si>
    <t>fire frequency;slope position;rainfall</t>
  </si>
  <si>
    <t>soil loss - erosion</t>
  </si>
  <si>
    <t>fire frequency;slope position;soil lmoisture;rain intensity;soil water repellency;soil cover;season</t>
  </si>
  <si>
    <t>fire frequency;slope position;season;rain intensity</t>
  </si>
  <si>
    <t>fire frequency;slope position;rainfall;time</t>
  </si>
  <si>
    <t>time;fire frequency;season</t>
  </si>
  <si>
    <t>moisture content;fire frequency;season</t>
  </si>
  <si>
    <t>1 hydrophilic - 7 extreme hydrophobic</t>
  </si>
  <si>
    <t>classes (1-7)</t>
  </si>
  <si>
    <t>2012_09</t>
  </si>
  <si>
    <t>2026_04_27</t>
  </si>
  <si>
    <t>2026_05_02</t>
  </si>
  <si>
    <t>2026_05_04</t>
  </si>
  <si>
    <t>2026_05_06</t>
  </si>
  <si>
    <t>Pre-fire vegetation at all study sites was composed of old and natural forest of P. halepensis mixed with Q. calliprinos, and a very dense understorey of shrubs, semi-shrubs (such as Cistus salviifolius L., sage-leaved rockrose, and Cistus creticus L., pink rockrose) and herbaceous plants</t>
  </si>
  <si>
    <t>water repellency</t>
  </si>
  <si>
    <t>sampling;wdpt test</t>
  </si>
  <si>
    <t>sampling</t>
  </si>
  <si>
    <t>fire frequency;time since fire</t>
  </si>
  <si>
    <t>fire frequency;time since fire;organic matter content</t>
  </si>
  <si>
    <t>average organic matter content</t>
  </si>
  <si>
    <t>pinus brutia forests</t>
  </si>
  <si>
    <t>transect;traps</t>
  </si>
  <si>
    <t>spiders abundance</t>
  </si>
  <si>
    <t>cockroaches abundance</t>
  </si>
  <si>
    <t>springtails abundance</t>
  </si>
  <si>
    <t>nº individuals / 4 traps·transect</t>
  </si>
  <si>
    <t>successional stage</t>
  </si>
  <si>
    <t>successional stage;plant cover;plant height;plant richness;plant stratification;trees;shrubs;surface cover</t>
  </si>
  <si>
    <t>successional stage;shrubs;subshrubs;leafs</t>
  </si>
  <si>
    <t>successional stage;branches</t>
  </si>
  <si>
    <t>successional stage can be interpreted as time since fire</t>
  </si>
  <si>
    <t>successional stage can be interpreted as time since fire. Arthropods depend on the presence of needles, soil, or stones as the surface cover predictor</t>
  </si>
  <si>
    <t>diptera abundance</t>
  </si>
  <si>
    <t>hemiptera abundance</t>
  </si>
  <si>
    <t>homoptera abundance</t>
  </si>
  <si>
    <t>non-formicine hymenoptera abundance</t>
  </si>
  <si>
    <t>The forest area was dominated by Spanish black pine (P. nigra) prior to the fire. Black pine forests were either pure stands or two-layered stands with pine dominating the overstory and resprouting hardwoods (mostly oaks) appearing frequently in the understory</t>
  </si>
  <si>
    <t>regeneration type</t>
  </si>
  <si>
    <t>% (5 categories)</t>
  </si>
  <si>
    <t>elevation;aspect;slope;curvature;tree canopy cover;RdNBR index;surrounding unburned areas</t>
  </si>
  <si>
    <t>2026_05_07</t>
  </si>
  <si>
    <t>The landscape is characterised by a cork oak forest ecosystem (Quercus suber L.), with varying tree densities and shrublands dominated by Cistaceae species (e.g. C. ladanifer L., C. salvifolius L.) and Ericaceae species.</t>
  </si>
  <si>
    <t>porosity</t>
  </si>
  <si>
    <t>humidity</t>
  </si>
  <si>
    <t>sampling;plots;square</t>
  </si>
  <si>
    <t>fire severity;time since last fire</t>
  </si>
  <si>
    <t>labile C</t>
  </si>
  <si>
    <t>NH4 - mineral N</t>
  </si>
  <si>
    <t>CEC - exchangeable capacity</t>
  </si>
  <si>
    <t>cmolc/ kg</t>
  </si>
  <si>
    <t>exchangeable Na</t>
  </si>
  <si>
    <t>exchangeable K</t>
  </si>
  <si>
    <t>exchangeable Mg</t>
  </si>
  <si>
    <t>exchangeable Ca</t>
  </si>
  <si>
    <t>glucosidase soil enzyme activity</t>
  </si>
  <si>
    <t>celulase soil enzyme activity</t>
  </si>
  <si>
    <t>urease soil enzyme activity</t>
  </si>
  <si>
    <t>phosphatase soil enzyme activity</t>
  </si>
  <si>
    <t>μg TPF / g · 16h</t>
  </si>
  <si>
    <t>μmol p-Nitrophenol / g · 16h</t>
  </si>
  <si>
    <t>μmol glucose / g · 16h</t>
  </si>
  <si>
    <t>μg N-NH4+/ g · 16h</t>
  </si>
  <si>
    <t>2004_10</t>
  </si>
  <si>
    <t>cork oak forest;pine forest</t>
  </si>
  <si>
    <t>cork oak forest site and pinus halepensis forest site.</t>
  </si>
  <si>
    <t>legume seedlings</t>
  </si>
  <si>
    <t>seedlings / m2</t>
  </si>
  <si>
    <t>months after fire</t>
  </si>
  <si>
    <t>legume species richness</t>
  </si>
  <si>
    <t>legumes biomass</t>
  </si>
  <si>
    <t>they also record as a complementary attribute the family, regeneration strategy, and life form</t>
  </si>
  <si>
    <t>2004_12</t>
  </si>
  <si>
    <t>transects;quadrats;sampling</t>
  </si>
  <si>
    <t>plots;quadrats</t>
  </si>
  <si>
    <t>2004 - 2016</t>
  </si>
  <si>
    <t>pine forest;holm oak forest;deciduous oak forest</t>
  </si>
  <si>
    <t>Deciduous oak forests (DOF), Holm oak forests (HOF), Mediterranean pine forests (MPF)</t>
  </si>
  <si>
    <t>RRI -Relative Recovery Indicator</t>
  </si>
  <si>
    <t>0 to 2</t>
  </si>
  <si>
    <t>forest class</t>
  </si>
  <si>
    <t>pine forests RRI</t>
  </si>
  <si>
    <t>patches selected dominated by Pinus halepensis and Pinus pinaster, altough zone mainly composed of species of the genus Pinus along with certain deciduous species of the genus Quercus, and, sclerophyll species such as Rosmarinus, Thymus or Juniperus species in the understory</t>
  </si>
  <si>
    <t>recovery ratio RR</t>
  </si>
  <si>
    <t>categories (1-4)</t>
  </si>
  <si>
    <t>categories: continuous recovery, continuous recovery with slope changes, continuous recovery stabilized, non-continuous recovery. Successional stage can be interpreted as time after fire</t>
  </si>
  <si>
    <t>fire severity;prefire vegetationcover;prefire vegetation moisture and structure;elevation;slope;aspect;dorught index;succesional stage</t>
  </si>
  <si>
    <t>centenary evergreen holm oaks (Quercus ilex subsp. ballota)</t>
  </si>
  <si>
    <t>microorganisms shannon diversity</t>
  </si>
  <si>
    <t>microorganisms inverse simpson's diversity</t>
  </si>
  <si>
    <t>microorganisms eveness</t>
  </si>
  <si>
    <t>p. (4 - 7)</t>
  </si>
  <si>
    <t>p. (0 - 300)</t>
  </si>
  <si>
    <t>p. (0 - 1)</t>
  </si>
  <si>
    <t>plots;transects;sampling</t>
  </si>
  <si>
    <t>time after fire;pH;available P</t>
  </si>
  <si>
    <t>actinobacterial biomass</t>
  </si>
  <si>
    <t>16s rRNA gene copies / g soil</t>
  </si>
  <si>
    <t>p. 0-1</t>
  </si>
  <si>
    <t>centered in the efficiency of remote sensing tecnhique, not ecological responses</t>
  </si>
  <si>
    <t>2011_07</t>
  </si>
  <si>
    <t>It is a mixed forest stand of Downy oak (Quercus pubescens) and Maritime pine (Pinus pinaster), with a thick and tangled understory of common fern (Pteridium aquilinum) and bramble (Rubus species)</t>
  </si>
  <si>
    <t>sampling;transect</t>
  </si>
  <si>
    <t>μg / g soil</t>
  </si>
  <si>
    <t>time after fire;soil depth</t>
  </si>
  <si>
    <t>living microorganisms - iDNA</t>
  </si>
  <si>
    <t>dead cells - exDNA</t>
  </si>
  <si>
    <t>groupings</t>
  </si>
  <si>
    <t>nº of bands</t>
  </si>
  <si>
    <t>Nanomoles of MUF or AMC / min · g dry soil</t>
  </si>
  <si>
    <t>dense and sparse forest with Aleppo pine</t>
  </si>
  <si>
    <t>&gt;500</t>
  </si>
  <si>
    <t>Pinus pinaster and Pinus nigra</t>
  </si>
  <si>
    <t>burnt area was 71% covered by dense forest. Aleppo pine forests mixed with
evergreen broad-leaved species, oak forests in Ilia, and black pine forests and Greek fir
forests in Messinia and Lakonia</t>
  </si>
  <si>
    <t>young Aleppo pine regeneration after fire</t>
  </si>
  <si>
    <t>The forest is
mainly composed of pine trees (43%) and broadleaf trees (13%). Pinus pinaster is cultivated. There is Eucalyptus globulus as exotic specie that is 1% of the area. On the other
hand, invasive forest species, like Acacia dealbata and Ailanthus
altissima, occupy 10% of the area</t>
  </si>
  <si>
    <t>Before the fire, the vegetation was dominated
mainly by forests (48%), including both broadleaved and coniferous
species, and by shrublands (46%).</t>
  </si>
  <si>
    <t>Heterogeneous. biome). Needleleaf trees (NL) are predominant
in California and the Mediterranean basin, especially in the
Iberian Peninsula, while broad-leaved
trees (BL) are present in
all regions except California, predominating in several areas of
western Australia and parts of northern Africa near the coast.
In turn, transitional woodland vegetation (TW) is mainly present
in the Mediterranean basin, while shrublands (Shb) cover all
regions, especially in South Africa or California.</t>
  </si>
  <si>
    <t>mature pine forest is dominated by Pinus brutia Ten.
with an understory of perennial shrubs including Cistus salvifolius
L., Cistus creticus L., Lavandula stoechas L., and Thymus
capitatus L.. Occasional small open patches also support a
range of other perennial and annual flowers. Freshly burnt
areas are initially characterised by a flush of flowering annuals
in the first 1–5 years, but thereafter perennials become
increasingly dominant. Typical flowering plants include Asphodelus
ramosus L., Anagallis arvensis L., Sinapis arvensis L. and
several species of Fabaceae and Asteraceae. As regeneration
continues, perennial species and pine seedlings become
more abundant. Oak woodlands have an
open canopy comprising Valonia oak (Quercus ithaburensis
subsp. Macrolepis (Kotschy) Hedge and Yalt.) with a diverse
understory of annuals and perennial shrubs.</t>
  </si>
  <si>
    <t>herbivore exclusion</t>
  </si>
  <si>
    <t>spectral response refered to regeneration</t>
  </si>
  <si>
    <t>Eveness index</t>
  </si>
  <si>
    <t>Species evenness describes the commonness or rarity of a species; it requires knowing the abundance of each species relative to those of the other species within the community.</t>
  </si>
  <si>
    <t>provisioning services</t>
  </si>
  <si>
    <t>regulating services</t>
  </si>
  <si>
    <t>cultural services</t>
  </si>
  <si>
    <t>dead wood cover (TDWC index)</t>
  </si>
  <si>
    <t>also could be soil subtype because groundcover classes are: bare soil, stone, organic matter, moss or lichen, ferns, herbaceous plants and shrubs</t>
  </si>
  <si>
    <t>species cover</t>
  </si>
  <si>
    <t>seeder species relative abundance</t>
  </si>
  <si>
    <t>nº species / plot</t>
  </si>
  <si>
    <t>plot is 4900 m2</t>
  </si>
  <si>
    <t>average frequency of height classes</t>
  </si>
  <si>
    <t>postfire time</t>
  </si>
  <si>
    <t xml:space="preserve">structure </t>
  </si>
  <si>
    <t>the specified measures for every nutrient is not in the article text, is in the appendix</t>
  </si>
  <si>
    <t>could be growth subsubtype</t>
  </si>
  <si>
    <t>The unit in which the measured variable is reported. If its adimensional, report the range in which is measured.</t>
  </si>
  <si>
    <t>Leaf Area Index (LAI)</t>
  </si>
  <si>
    <t>also could be soil subtype because groundcover classes are: vegetation, rock, litter, dead wood, and bare soil</t>
  </si>
  <si>
    <t>aggreggate stability in water</t>
  </si>
  <si>
    <t>also could be soil subtype because groundcover classes are: bare soil, wood, vegetation</t>
  </si>
  <si>
    <t>ground cover</t>
  </si>
  <si>
    <t>0 - 0,20 / month</t>
  </si>
  <si>
    <t>organic carbon content</t>
  </si>
  <si>
    <t>range (10 - 17,5)</t>
  </si>
  <si>
    <t>tipo estudio</t>
  </si>
  <si>
    <t>recuento</t>
  </si>
  <si>
    <t>me quedo con las 3</t>
  </si>
  <si>
    <t>ST</t>
  </si>
  <si>
    <t>SL</t>
  </si>
  <si>
    <t>comm</t>
  </si>
  <si>
    <t>comm;sp</t>
  </si>
  <si>
    <t>sp</t>
  </si>
  <si>
    <t>rs</t>
  </si>
  <si>
    <t>field;rs</t>
  </si>
  <si>
    <t>total estudios</t>
  </si>
  <si>
    <t>% global</t>
  </si>
  <si>
    <t>% portipoestudio</t>
  </si>
  <si>
    <t>Campo</t>
  </si>
  <si>
    <t>Teledetección</t>
  </si>
  <si>
    <t>Campo + Teledetección</t>
  </si>
  <si>
    <t>Comunidad</t>
  </si>
  <si>
    <t>Comunidad + Especies</t>
  </si>
  <si>
    <t>Especies</t>
  </si>
  <si>
    <t>Tipo de estudio</t>
  </si>
  <si>
    <t>Nivel de estudio</t>
  </si>
  <si>
    <t>Revisor</t>
  </si>
  <si>
    <t>Anna</t>
  </si>
  <si>
    <t>Patri</t>
  </si>
  <si>
    <t>28_04_2026</t>
  </si>
  <si>
    <t>29_04_2026</t>
  </si>
  <si>
    <t>30_04_2026</t>
  </si>
  <si>
    <t>11_05_2026</t>
  </si>
  <si>
    <t>12_05_2026</t>
  </si>
  <si>
    <t>13_05_2026</t>
  </si>
  <si>
    <t>14_05_2026</t>
  </si>
  <si>
    <t>90 fires from 2010 to 2020</t>
  </si>
  <si>
    <t>Sofia</t>
  </si>
  <si>
    <t>2017_08</t>
  </si>
  <si>
    <t xml:space="preserve">Spain </t>
  </si>
  <si>
    <t>shrublands; oak forests</t>
  </si>
  <si>
    <t>Dominated by Genista hystrix (woadwaxen), Erica australis (Spanish heath), and  Quercus pyrenaica</t>
  </si>
  <si>
    <t>consideran severidades bajas, altas y un control</t>
  </si>
  <si>
    <t>2020_09_13</t>
  </si>
  <si>
    <t>coordenadas muy aproximadas en un mapa a escala  Peninsular</t>
  </si>
  <si>
    <t>2020_07_25</t>
  </si>
  <si>
    <t>2021_08_16</t>
  </si>
  <si>
    <t xml:space="preserve">Open shrublands </t>
  </si>
  <si>
    <t>2021_08_14</t>
  </si>
  <si>
    <t>Closed forest</t>
  </si>
  <si>
    <t>2020_08_27</t>
  </si>
  <si>
    <t>2021_09_12</t>
  </si>
  <si>
    <t>2021_09_08</t>
  </si>
  <si>
    <t>pine forest (Pinus pinaster Aiton.) with the presence of spare cork oaks (Quercus suber L.). Tree understorey and open areas are occupied by spare shrubland formed by Pistacia lentiscus and accompanied by other Mediterranean shrubs (Erica arborea L., Chamaerops humilis L.) and annual plants (Phillyrea angustifolia L., Phlomis purpurea L., Rubia peregrina L. and Daphne gnidium L.).</t>
  </si>
  <si>
    <t xml:space="preserve">considered control plots </t>
  </si>
  <si>
    <t>2020_10_28</t>
  </si>
  <si>
    <t>sparse shrubland </t>
  </si>
  <si>
    <t>prescribed burning</t>
  </si>
  <si>
    <t>2019_11_05</t>
  </si>
  <si>
    <t>1994_09_21</t>
  </si>
  <si>
    <t>Pinus halepensis Mill.; Rosmarinus officinalis L.</t>
  </si>
  <si>
    <t xml:space="preserve">3 sites of the same fire </t>
  </si>
  <si>
    <t>oak forest; pine forests</t>
  </si>
  <si>
    <t>Quercus rotundifolia, Pinus halepensis</t>
  </si>
  <si>
    <t>Quercus rotundifolia, Pinus halepensis, Pinus nigra subsp. salzmannii.</t>
  </si>
  <si>
    <t>1985_09</t>
  </si>
  <si>
    <t>Quercus rotundifolia, Pinus halepensis,Pinus pinaster y Pinus nigra subsp. salzmannii.</t>
  </si>
  <si>
    <t>1983_09</t>
  </si>
  <si>
    <t>Quercus rotundifolia, Pinus halepensis, ,Pinus pinaster, Hamimium antriplicifolium</t>
  </si>
  <si>
    <t>1982_07</t>
  </si>
  <si>
    <t>1979_08</t>
  </si>
  <si>
    <t>Quercus rotundifolia, Pinus pinaster y Pinus nigra subsp. salzmannii.</t>
  </si>
  <si>
    <t>1970_08</t>
  </si>
  <si>
    <t xml:space="preserve">Quercus rotundifolia, Pinus halepensis,Pinus pinaster </t>
  </si>
  <si>
    <t>Pinus nigra, Quercus ilex y Q. faginea</t>
  </si>
  <si>
    <t xml:space="preserve">pine reforestation was largely unsuccessful </t>
  </si>
  <si>
    <t>pine forests</t>
  </si>
  <si>
    <t> (Pinus pinaster, P. nigra, P. sylvestris</t>
  </si>
  <si>
    <t>3 types of management: no intervential; partial cutting and clear cutting</t>
  </si>
  <si>
    <t xml:space="preserve">Pinus pinaster </t>
  </si>
  <si>
    <t>the fire was 1300 ha but the area affceting pinus pinaster, which is the sturydy group was 40 ha;3 types of management: no intervential; partial cutting and clear cutting</t>
  </si>
  <si>
    <t>Oak, pine and shurbland</t>
  </si>
  <si>
    <t>2012_05</t>
  </si>
  <si>
    <t>Pine and shrubland</t>
  </si>
  <si>
    <t>2012_08</t>
  </si>
  <si>
    <t>2012_03</t>
  </si>
  <si>
    <t>Quercus pyrenaica</t>
  </si>
  <si>
    <t>2982_07</t>
  </si>
  <si>
    <t>Pine forest</t>
  </si>
  <si>
    <t>dominated by evergreen, sclerophyllous shrublands 1.5 m high and open Pinus halepensis forests</t>
  </si>
  <si>
    <t>1994_04</t>
  </si>
  <si>
    <t xml:space="preserve">The study compares regeneration in the area of fire 1, and the area intersecting  fire 1 and fire 2 </t>
  </si>
  <si>
    <t>1986_08</t>
  </si>
  <si>
    <t>1991_08</t>
  </si>
  <si>
    <t xml:space="preserve">Pine forest </t>
  </si>
  <si>
    <t>Pinus sylvestris</t>
  </si>
  <si>
    <t xml:space="preserve">Algeria </t>
  </si>
  <si>
    <t>Pinus pinaster forest;The understory dominant species are Retama monosperma, Pistacea lentiscus, Erica arborea and Myrtus communities</t>
  </si>
  <si>
    <t>Pinus pinea</t>
  </si>
  <si>
    <t>Quercus ilex, Quercus suber, Pinus pinea, Pinus pinaster</t>
  </si>
  <si>
    <t>oak forest; pine forest</t>
  </si>
  <si>
    <t>Pinus halepensis, Quercus ilex, Pinus pinea</t>
  </si>
  <si>
    <t>Pinus pinea, Quercus suber</t>
  </si>
  <si>
    <t>Pinus pinea, Pinus halepensis</t>
  </si>
  <si>
    <t>Quercus ilex, Quercus cerrioides, Pinus pinea, Pinus sylvestris</t>
  </si>
  <si>
    <t>Quercus suber, Pinus pinea, Pinus pinaster</t>
  </si>
  <si>
    <t>2016_10_24</t>
  </si>
  <si>
    <t>dominated by Quercus suber and Q. ilex, and fome formations of : Q. faginea, Arbutus unedo, Pinus halepensis, Acer monspeliensis, Ca-lycotome spinosa, Rhamnus alatemus, Cistus mon-speliensis, C. salvifolius, Clematis flammula, Chamaerops humilis, Daphne gnidium, Erica ar-borea, E. scoparia, Helichrysum stoechas, Lavan-dula stoechas, Lonicera implexa, Osyris alba, Viburnum tinus, Phyllyrea angustifolia, Ruscus ac-uleatus, Sarothamnus scoparius, Smilax aspera.</t>
  </si>
  <si>
    <t>oak forests</t>
  </si>
  <si>
    <t>Quercus suber with  The dense shrub layer (undergrowth) is dominated by Phillyrea angustifolia, Pistacia lentiscus, Erica arborea, and Erica scoparia.</t>
  </si>
  <si>
    <t>el articulo no deja nada claro si se trata de dos areas de estudio del mismo incendio o de dos incendios distintos.</t>
  </si>
  <si>
    <t xml:space="preserve">beech forest </t>
  </si>
  <si>
    <t>old-growth beech forest left to natural evolution for over half a century</t>
  </si>
  <si>
    <t>Dudas en cuanto a la severidad: el artículo dice que "The wildfire that occurred in 2017 in the study area destroyed the tree canopy with a consequent greater penetration of light along the vertical profile of the vegetation. In fact, PPFD (µmol m−2 s−1) within the disturbed plots was significantly (t-test, p &lt; 0.05) higher than the control plots at different heights along the profile" -&gt; de lo cual he intuido que eso es high severity pero not sure</t>
  </si>
  <si>
    <t>Pinus halepensis Mill. forest accompanied by scrub species such as Quercus coccifera L. (kermes oak), Pistacia lentiscus L. (mastic tree), Rhamnus lycioides L. (black hawthorn), and Genista spartioides subsp. retamoides (Spach) Rivas G</t>
  </si>
  <si>
    <t>Planted Pinus nigra forest</t>
  </si>
  <si>
    <t>asumimos que no hay manejo post-perturbacion porque el objetivo del estudio es ver como implementarlo para mejorar la regeneracion</t>
  </si>
  <si>
    <t>composed of Mediterranean species ; the biological types encountered are dominated by therophytes</t>
  </si>
  <si>
    <t>the study aims to analise the effect of 90 forest affecting an specific region in Algeria over 10 years</t>
  </si>
  <si>
    <t>2010 - 2020</t>
  </si>
  <si>
    <t>Beta diversity (Weighted UniFrac distance)</t>
  </si>
  <si>
    <t xml:space="preserve">plot; composite sample </t>
  </si>
  <si>
    <t>fire severity;ecosystems;time after fire</t>
  </si>
  <si>
    <t>Abundance of Operational Taxonomic Units (OTUs)</t>
  </si>
  <si>
    <t>Abundance of main bacterial taxa (phyla, classes or orders)</t>
  </si>
  <si>
    <t>reads</t>
  </si>
  <si>
    <t>Alpha diversity (Shannon index)</t>
  </si>
  <si>
    <t>Aboveground biomass density (AGBD)</t>
  </si>
  <si>
    <t>Mg  ha-1</t>
  </si>
  <si>
    <t>GEDI footprints</t>
  </si>
  <si>
    <t>variable subtype == biomass; measure date for id fire 1,2,5</t>
  </si>
  <si>
    <t>losses of AGDB</t>
  </si>
  <si>
    <t>differences pre-post fire; fire severity</t>
  </si>
  <si>
    <t>forest canopy height</t>
  </si>
  <si>
    <t xml:space="preserve">ph </t>
  </si>
  <si>
    <t>type of fire( wiildfire or prescribed burning); time after fire; fire severity; Soil layer</t>
  </si>
  <si>
    <t>fire id 2</t>
  </si>
  <si>
    <t>Soil carbon</t>
  </si>
  <si>
    <t>Soil nitrogen</t>
  </si>
  <si>
    <t>Soil phosphorus</t>
  </si>
  <si>
    <t>mg kg−1</t>
  </si>
  <si>
    <t>Soil Organic Carbon (SOC)</t>
  </si>
  <si>
    <t>plot;composite sampling; transect; samples</t>
  </si>
  <si>
    <t>water-stable aggregate</t>
  </si>
  <si>
    <t>g/kg d.w.</t>
  </si>
  <si>
    <t xml:space="preserve">replicated soil samples </t>
  </si>
  <si>
    <t>soil depth; time since fire; fire type (crown vs surface)</t>
  </si>
  <si>
    <t>Soil organic matter content</t>
  </si>
  <si>
    <t>Microaggregate size distribution</t>
  </si>
  <si>
    <t>nitrogen content</t>
  </si>
  <si>
    <t>sampling; soil core</t>
  </si>
  <si>
    <t>Time since fire, soil layer, site location, presence of bryophyte turfs</t>
  </si>
  <si>
    <t>Organic matter content</t>
  </si>
  <si>
    <t>Time since fire, soil layer, site location</t>
  </si>
  <si>
    <t>frequency of recruitment</t>
  </si>
  <si>
    <t>Absolute / proportion</t>
  </si>
  <si>
    <t>transects;plots</t>
  </si>
  <si>
    <t>bird species abundance</t>
  </si>
  <si>
    <t>mean number of individuals</t>
  </si>
  <si>
    <t>replicated sampling plots</t>
  </si>
  <si>
    <t xml:space="preserve">Postfire management treatment; sampling period </t>
  </si>
  <si>
    <t>focuses on birds</t>
  </si>
  <si>
    <t>Alpha diversity</t>
  </si>
  <si>
    <t>number of species</t>
  </si>
  <si>
    <t xml:space="preserve">Bird species assemblage </t>
  </si>
  <si>
    <t xml:space="preserve">Eigenvalues </t>
  </si>
  <si>
    <t>Gamma diversity</t>
  </si>
  <si>
    <t>Seedling survival</t>
  </si>
  <si>
    <t xml:space="preserve">Postfire management treatment; time after fire </t>
  </si>
  <si>
    <t>Seedling growth (Height)</t>
  </si>
  <si>
    <t>Seedling growth (Trunk diameter)</t>
  </si>
  <si>
    <t>Number of shoots</t>
  </si>
  <si>
    <t>count</t>
  </si>
  <si>
    <t>Seedling density</t>
  </si>
  <si>
    <t>n ha⁻¹</t>
  </si>
  <si>
    <t>Capture likelihood (mouse species)</t>
  </si>
  <si>
    <t>Season, Time after fire, distance from burn perimeter, plant cover, vegetation height, shrub cover</t>
  </si>
  <si>
    <t>Sex; age ratios (mouse population)</t>
  </si>
  <si>
    <t>likelihood</t>
  </si>
  <si>
    <t>Breeding activity</t>
  </si>
  <si>
    <t>Body Mass Index (BMI)</t>
  </si>
  <si>
    <t>Movement (total and relative distances covered)</t>
  </si>
  <si>
    <t>sex, age and body mass indices</t>
  </si>
  <si>
    <t>Time since first capture (Survival proxy)</t>
  </si>
  <si>
    <t xml:space="preserve">transects; </t>
  </si>
  <si>
    <t>Soil Organic matter</t>
  </si>
  <si>
    <t>Soil Total N</t>
  </si>
  <si>
    <t>Soil C/N</t>
  </si>
  <si>
    <t>cmol/kg</t>
  </si>
  <si>
    <t>mg/kg</t>
  </si>
  <si>
    <t>Species richness (plant)</t>
  </si>
  <si>
    <t>transects:</t>
  </si>
  <si>
    <t>Carabid species richness</t>
  </si>
  <si>
    <t>Plant cover</t>
  </si>
  <si>
    <t xml:space="preserve">Carabid abundance </t>
  </si>
  <si>
    <t>number of individuals</t>
  </si>
  <si>
    <t>Staphylinid species richness</t>
  </si>
  <si>
    <t>Staphylinid abundance</t>
  </si>
  <si>
    <t>Relative plant cover</t>
  </si>
  <si>
    <t>Percentage (%)</t>
  </si>
  <si>
    <t>plots; transects</t>
  </si>
  <si>
    <t>fire frequency; land use; Regenerative functional traits</t>
  </si>
  <si>
    <t xml:space="preserve">Number of species </t>
  </si>
  <si>
    <t>Number of plant functional types</t>
  </si>
  <si>
    <t>Diversity of plant functional types</t>
  </si>
  <si>
    <t xml:space="preserve">Absolute deviation of the relative plant cover of PFTs from sample medians </t>
  </si>
  <si>
    <t>Shannon index of plant functional types</t>
  </si>
  <si>
    <t>Plant formation change</t>
  </si>
  <si>
    <t>proportion (post versus pre)</t>
  </si>
  <si>
    <t>pixel</t>
  </si>
  <si>
    <t xml:space="preserve">NDVI trend (15 yr post fire); landscape type; fire id; severity; </t>
  </si>
  <si>
    <t xml:space="preserve">fire id; plant formation ; regenerative trajectory </t>
  </si>
  <si>
    <t>NDVI regenerative trend</t>
  </si>
  <si>
    <t>proportion</t>
  </si>
  <si>
    <t>fire id; plant formations</t>
  </si>
  <si>
    <t>Total Carbon (C)</t>
  </si>
  <si>
    <t>plots; samples</t>
  </si>
  <si>
    <t>Total Nitrogen (N)</t>
  </si>
  <si>
    <t>grams/100gr (%)</t>
  </si>
  <si>
    <t>Soil pH</t>
  </si>
  <si>
    <t>pH units</t>
  </si>
  <si>
    <t>Cation Exchange Capacity (CEC)</t>
  </si>
  <si>
    <t>cmol(+)/kg</t>
  </si>
  <si>
    <t>Organic Matter</t>
  </si>
  <si>
    <t>Adult tree density</t>
  </si>
  <si>
    <t>trees·ha⁻¹</t>
  </si>
  <si>
    <t>burned/unburned</t>
  </si>
  <si>
    <t>Tree crown cover</t>
  </si>
  <si>
    <t>Elongation of twigs</t>
  </si>
  <si>
    <t>transects; plots</t>
  </si>
  <si>
    <t>species; time after fire</t>
  </si>
  <si>
    <t>Bird species richness</t>
  </si>
  <si>
    <t>point count</t>
  </si>
  <si>
    <t>abundance</t>
  </si>
  <si>
    <t xml:space="preserve">vegetation cover </t>
  </si>
  <si>
    <t>vegetation height</t>
  </si>
  <si>
    <t xml:space="preserve">Plant cover </t>
  </si>
  <si>
    <t>fire occurrence(fire/control); time after fire; vegetation type</t>
  </si>
  <si>
    <t xml:space="preserve">Species richness </t>
  </si>
  <si>
    <t>fire occurrence (fire/control)</t>
  </si>
  <si>
    <t xml:space="preserve">Family richness </t>
  </si>
  <si>
    <t>Ellenberg Indicator Values (EIVs)</t>
  </si>
  <si>
    <t>Life-forms</t>
  </si>
  <si>
    <t>chorotypes</t>
  </si>
  <si>
    <t>plant diversity (Shannon–Wiener diversity index)</t>
  </si>
  <si>
    <t>bacterial family abundance</t>
  </si>
  <si>
    <t>Number of OTUs / relative abundance (%)</t>
  </si>
  <si>
    <t>plot; random samples</t>
  </si>
  <si>
    <t>Total organic carbon (Corg)</t>
  </si>
  <si>
    <t>g kg−1 d.w.</t>
  </si>
  <si>
    <t>cmol kg−1 d.w</t>
  </si>
  <si>
    <t>Electrical conductivity (EC)</t>
  </si>
  <si>
    <t>ds m -1</t>
  </si>
  <si>
    <t>ph units</t>
  </si>
  <si>
    <t>Microbial biomass</t>
  </si>
  <si>
    <t>mg g−1 d.w.</t>
  </si>
  <si>
    <t xml:space="preserve">Fungal abundance </t>
  </si>
  <si>
    <t>Soil respiration</t>
  </si>
  <si>
    <t>mg CO2-C g−1 d.w. d−1</t>
  </si>
  <si>
    <t>fire severity; post-fire treatment</t>
  </si>
  <si>
    <t>Species abundance (Shannon Index)</t>
  </si>
  <si>
    <t>Species dominance (Simpson index)</t>
  </si>
  <si>
    <t xml:space="preserve">Plant coverage </t>
  </si>
  <si>
    <t xml:space="preserve">Total bare soil </t>
  </si>
  <si>
    <t>Pine sapling density</t>
  </si>
  <si>
    <t>saplings·ha⁻¹</t>
  </si>
  <si>
    <t>Average height of pine saplings</t>
  </si>
  <si>
    <t xml:space="preserve">Maximum height of pine saplings </t>
  </si>
  <si>
    <t>Delta NBR</t>
  </si>
  <si>
    <t>pre/post fire state</t>
  </si>
  <si>
    <t xml:space="preserve">defoliation </t>
  </si>
  <si>
    <t>DBH</t>
  </si>
  <si>
    <t>Crown defoliation</t>
  </si>
  <si>
    <t xml:space="preserve">Basal Area Increment </t>
  </si>
  <si>
    <t>cm2</t>
  </si>
  <si>
    <t>defoliation;time</t>
  </si>
  <si>
    <t xml:space="preserve">Intrinsic Water Use Efficiency </t>
  </si>
  <si>
    <t>μmol mol-1</t>
  </si>
  <si>
    <t>defoliation ; Basal Area Increment</t>
  </si>
  <si>
    <t>Carbon sequestration</t>
  </si>
  <si>
    <t>t CO2​/ha / EUR/ha</t>
  </si>
  <si>
    <t>defoliation; time</t>
  </si>
  <si>
    <t>Abundance-dominance index</t>
  </si>
  <si>
    <t>vegetation stratum</t>
  </si>
  <si>
    <t>Species richness</t>
  </si>
  <si>
    <t>year; plot</t>
  </si>
  <si>
    <t>Vegetation recovery level</t>
  </si>
  <si>
    <t>categorical</t>
  </si>
  <si>
    <t>PCA (precipitation; temperature; slope; elevation)</t>
  </si>
  <si>
    <t xml:space="preserve">Disturbance Index </t>
  </si>
  <si>
    <t>vegetation stratum; plot</t>
  </si>
  <si>
    <r>
      <rPr>
        <b/>
        <sz val="11"/>
        <color theme="1"/>
        <rFont val="Calibri"/>
        <family val="2"/>
        <scheme val="minor"/>
      </rPr>
      <t xml:space="preserve">Duda </t>
    </r>
    <r>
      <rPr>
        <sz val="11"/>
        <color theme="1"/>
        <rFont val="Calibri"/>
        <family val="2"/>
        <scheme val="minor"/>
      </rPr>
      <t>- included, but previous to the fire in 2021 there were prescribed fires</t>
    </r>
  </si>
  <si>
    <t>entra</t>
  </si>
  <si>
    <t>yo lo dejaria porque a pesar de la gestión preincendio cuando se dio el incendio seguía siendo un bosque</t>
  </si>
  <si>
    <t>revisado en parcelas con y sin antecedetes de quemas prescritas</t>
  </si>
  <si>
    <t>solo ven efectos en suelos, por lo que no sería ni especies, ni comunidad. Pongo comunidad a ser una variable de sitio, pero no es biologica, solo se centr en suelos</t>
  </si>
  <si>
    <t>se centra en la comunidad microbiana y no especies de arboles por lo que pongo community</t>
  </si>
  <si>
    <t>se centra en caracoles, por lo que opngo comunidad al no centrarse en especies de arboles</t>
  </si>
  <si>
    <t>Paloma</t>
  </si>
  <si>
    <t>1500 ha</t>
  </si>
  <si>
    <t>Pinus pinaster Ait.</t>
  </si>
  <si>
    <t>fire in 2001 previous prescribed burn in winter (1984, 1988, 1999, 2008 y 2017), Coordinates are exact as provided by the manuscript in the munitipality</t>
  </si>
  <si>
    <t>Pinus pinea and Quercus ilex</t>
  </si>
  <si>
    <t>en "fire_type" he puesto combinado porque en algunas parcelas hubo un incendio tambien en 1997</t>
  </si>
  <si>
    <t>We focused on four wildfires that occurred in 1986, 2001, 2005 and 2008. These wildfires were chosen to delimit areas that were burned once, twice or three times in the 32 years that elapsed between the first and the last fire (Table S.1; Supplementary material). In the case of areas burned twice, both short (2-S) and long (2-L) interval between fires were considered.</t>
  </si>
  <si>
    <t>Altitude ranges between 700 asnd 800</t>
  </si>
  <si>
    <t>the "combined" is because the information is aggregated by the frequency</t>
  </si>
  <si>
    <t>Pinus halepensis Mill. Plantation with Q. ilex and some mediterranean shurbs</t>
  </si>
  <si>
    <t>2023_08</t>
  </si>
  <si>
    <t>sclerrophylous and pine mixed forest</t>
  </si>
  <si>
    <t>Quercus ilex, Pinus halepensis and P. nigra</t>
  </si>
  <si>
    <t>no da coordenadas, estimadas con google</t>
  </si>
  <si>
    <t>soil water contect</t>
  </si>
  <si>
    <t>fire treatment (unburned, control+wildfire, prescribed fire + wildfire)</t>
  </si>
  <si>
    <t>μS cm-1</t>
  </si>
  <si>
    <t>Soil Water Repellency (SWR)</t>
  </si>
  <si>
    <t>WDPT classes (0-6)</t>
  </si>
  <si>
    <t>in the paper it is defined as "Soil function"</t>
  </si>
  <si>
    <t>Mean Weight Diameter (MWD)</t>
  </si>
  <si>
    <t>Water Stability of Aggregates (WSA)</t>
  </si>
  <si>
    <t>mg kg⁻¹</t>
  </si>
  <si>
    <t>Available Phosphorus (P)</t>
  </si>
  <si>
    <t>Dissolved Organic Carbon (DOC)</t>
  </si>
  <si>
    <t>Microbial Biomass Carbon (MBC)</t>
  </si>
  <si>
    <t>μmol g⁻¹ h⁻¹</t>
  </si>
  <si>
    <t>soil multifunctionality</t>
  </si>
  <si>
    <t xml:space="preserve">fire treatment (unburned, control+wildfire, prescribed fire + wildfire) + </t>
  </si>
  <si>
    <t>4 types of MF calculated depending on: four soil functions: water regu</t>
  </si>
  <si>
    <t>Taxa richness (S)</t>
  </si>
  <si>
    <t>Number of taxa</t>
  </si>
  <si>
    <t>Shannon-Wiener index (H')</t>
  </si>
  <si>
    <t>Index value</t>
  </si>
  <si>
    <t>QBS-ar index</t>
  </si>
  <si>
    <t>n-Fatty acid ratio</t>
  </si>
  <si>
    <t>fire ocurrence (burnt, unburnt)</t>
  </si>
  <si>
    <t>2003 only for the first two fires; 5-6 sub-samples in 20 m2, las propiedades son biogeoquímicas. Muestra otras variables pero solo parcialmente para algunas zonas por lo que no las incluyo</t>
  </si>
  <si>
    <t>n-alkane ratio</t>
  </si>
  <si>
    <t>2003 only for the first two fires; 5-6 sub-samples in 20 m2</t>
  </si>
  <si>
    <t>Soil Organic Matter (SOM)</t>
  </si>
  <si>
    <t>soil cores in each species</t>
  </si>
  <si>
    <t>fire history (unburned, 1 fire, 2 long fires, 1 short fires, 3 fires)</t>
  </si>
  <si>
    <t>meq/100 g</t>
  </si>
  <si>
    <t>Total Phosphorus (P)</t>
  </si>
  <si>
    <t>Total Potassium (K)</t>
  </si>
  <si>
    <t>Total Calcium (Ca)</t>
  </si>
  <si>
    <t>Total Magnesium (Mg)</t>
  </si>
  <si>
    <t>Ammonium (NH4+-N)</t>
  </si>
  <si>
    <t>µg g?¹</t>
  </si>
  <si>
    <t>Nitrate (NO3--N)</t>
  </si>
  <si>
    <t>Labile phosphate (PO4 3--P)</t>
  </si>
  <si>
    <t>µg pNP g?¹ h?¹</t>
  </si>
  <si>
    <t>Foliar nutrient concentration (C, N, P, K, Ca, Mg)</t>
  </si>
  <si>
    <t>leaves from each species</t>
  </si>
  <si>
    <t>Litter nutrient concentration (C, N, P, K, Ca, Mg)</t>
  </si>
  <si>
    <t>Soil basal respiration rate</t>
  </si>
  <si>
    <t>μg pNP g⁻¹ h⁻¹</t>
  </si>
  <si>
    <t xml:space="preserve">Acid phosphatase </t>
  </si>
  <si>
    <t>β-Glucosidase</t>
  </si>
  <si>
    <t>Arylsulfatase</t>
  </si>
  <si>
    <t>Foliar N:P ratio</t>
  </si>
  <si>
    <t>Ratio</t>
  </si>
  <si>
    <t>Unitless</t>
  </si>
  <si>
    <t>Fire ocurrence and moss presence (unburned, moss, bare)</t>
  </si>
  <si>
    <t>cores in plots</t>
  </si>
  <si>
    <t>μS/cm</t>
  </si>
  <si>
    <t>Organic carbon content</t>
  </si>
  <si>
    <t>Total nitrogen</t>
  </si>
  <si>
    <t>Available phosphorus</t>
  </si>
  <si>
    <t>Aggregate stability</t>
  </si>
  <si>
    <t>Soil moisture</t>
  </si>
  <si>
    <t>Basal soil respiration</t>
  </si>
  <si>
    <t>μg C−CO2​ h−1 g−1 soil</t>
  </si>
  <si>
    <t>Microbial biomass carbon</t>
  </si>
  <si>
    <t>mg C kg−1 soil</t>
  </si>
  <si>
    <t>μmol PNP g−1 h−1</t>
  </si>
  <si>
    <t>Urease activity</t>
  </si>
  <si>
    <t>μmol N−NH4+​ g−1 h−1</t>
  </si>
  <si>
    <t>Bacterial biomass (PLFAs)</t>
  </si>
  <si>
    <t>nmol g−1</t>
  </si>
  <si>
    <t>Fungal biomass (PLFAs)</t>
  </si>
  <si>
    <t>Arbuscular mycorrhiza biomass (NLFA)</t>
  </si>
  <si>
    <t>Total PLFA</t>
  </si>
  <si>
    <t>Bacterial community composition (Diversity &amp; OTUs)</t>
  </si>
  <si>
    <t>Relative abundance (%), Shannon/Chao1 indices</t>
  </si>
  <si>
    <t>Fungal community composition (Diversity, OTUs &amp; Ecology)</t>
  </si>
  <si>
    <t>Functional abundances</t>
  </si>
  <si>
    <t>Number of species per site and functional group</t>
  </si>
  <si>
    <t>Plot and soil subsamples</t>
  </si>
  <si>
    <t>Time since fire, plan sucession and leaf litter cover</t>
  </si>
  <si>
    <t>Functional richness (FRic)</t>
  </si>
  <si>
    <t>Multidimensional volume (indices)</t>
  </si>
  <si>
    <t>Time since fire, plan sucession and leaf litter cover and stone cover</t>
  </si>
  <si>
    <t>Functional evenness (FEve)</t>
  </si>
  <si>
    <t>Equality index (0 to 1)</t>
  </si>
  <si>
    <t>Functional divergence (FDiv)</t>
  </si>
  <si>
    <t>Overlap index (0 to 1)</t>
  </si>
  <si>
    <t>Functional dispersion (FDis)</t>
  </si>
  <si>
    <t>Specialization index</t>
  </si>
  <si>
    <t>04_05_2026</t>
  </si>
  <si>
    <t>10_05_2026</t>
  </si>
  <si>
    <t>new data + data from a previous study</t>
  </si>
  <si>
    <t>17_05_2026</t>
  </si>
  <si>
    <t>Vero</t>
  </si>
  <si>
    <t>pine forest, but the burnt control is a mixed forest of oaks and pines</t>
  </si>
  <si>
    <t>1975-2001</t>
  </si>
  <si>
    <t>sclerophyllous, evergreen shrublands and forests, deciduous forests and coniferous forests</t>
  </si>
  <si>
    <t>all forests in Catalonia</t>
  </si>
  <si>
    <t>2003_09_02</t>
  </si>
  <si>
    <t>The dominant tree species are P. halepensis in the youngest stands, and Quercus ilex or Q. pubescens. The most common tall shrubs are Arbutus unedo L., Quercus coccifera L., Phyllirea angustifolia L., P. latifolia L., Rosmarinus officinalis L. and Juniperus oxycedrus L.</t>
  </si>
  <si>
    <t>Fire date is calculated by stand age and the date of sampling of wood cores</t>
  </si>
  <si>
    <t>2023_08_23</t>
  </si>
  <si>
    <t>Morocco</t>
  </si>
  <si>
    <t>quercus suber forest</t>
  </si>
  <si>
    <t>Forest flora is cominated by highly flammable species (Quercus suber, Cistus salviifolius, Cistus albidus, Erica arborea, Arbutus unedo, Genista monspeliensis, Gratangus oycantha).</t>
  </si>
  <si>
    <t>1986_07</t>
  </si>
  <si>
    <t>Pinus halepensis forest with scrub (Rosmarino-Ericion) and hemicrytophytic and chamaephytic pastures of Aphylanthion, more developed in shady areas, and Garrigues (Quercetum cocciferae) mainly in stony and sunnier areas</t>
  </si>
  <si>
    <t>abundance of Mus macedicus</t>
  </si>
  <si>
    <t>no. of individuals</t>
  </si>
  <si>
    <t>1990_08</t>
  </si>
  <si>
    <t>postfire selvicultural treatment;date</t>
  </si>
  <si>
    <t>date corresponds to the beginning of the sampling</t>
  </si>
  <si>
    <t>abundance of Gerbillus dasyurus</t>
  </si>
  <si>
    <t>abundance of Meriones tristrami</t>
  </si>
  <si>
    <t>abundance of Apodemus flavicollis</t>
  </si>
  <si>
    <t>abundance of Apodemus mystacinus</t>
  </si>
  <si>
    <t>Simpson's diversity index</t>
  </si>
  <si>
    <t>unitless</t>
  </si>
  <si>
    <t>proportion of resprouters</t>
  </si>
  <si>
    <t>Euclidean distance; Thornthwaite index; fire occurrence</t>
  </si>
  <si>
    <t>date depends on the plot</t>
  </si>
  <si>
    <t>proportion of seeders</t>
  </si>
  <si>
    <t>proportion of fire-sensitive species</t>
  </si>
  <si>
    <t>seeder to resprouter ratio</t>
  </si>
  <si>
    <t>density of Pinus halepensis</t>
  </si>
  <si>
    <t>no. of individuals (including saplings and seedlings) / ha</t>
  </si>
  <si>
    <t>sampling date depending on the plot</t>
  </si>
  <si>
    <t>nº of vascular plants per stand</t>
  </si>
  <si>
    <t>spring and autumn</t>
  </si>
  <si>
    <t>nº of vascular plants per quadrat</t>
  </si>
  <si>
    <t>unitless per stand</t>
  </si>
  <si>
    <t>unitless per quadrat</t>
  </si>
  <si>
    <t>Sand</t>
  </si>
  <si>
    <t>plot;point</t>
  </si>
  <si>
    <t>2024_09</t>
  </si>
  <si>
    <t>Silt</t>
  </si>
  <si>
    <t>Clay</t>
  </si>
  <si>
    <t>Conductivity reported too but not in methods</t>
  </si>
  <si>
    <t>Organic carbon</t>
  </si>
  <si>
    <t>Bulk density</t>
  </si>
  <si>
    <t>g / cm2</t>
  </si>
  <si>
    <t>Porosity</t>
  </si>
  <si>
    <t>mean weight-diameter</t>
  </si>
  <si>
    <t>infiltration</t>
  </si>
  <si>
    <t>1987_08</t>
  </si>
  <si>
    <t>aspect</t>
  </si>
  <si>
    <t>measuement are taken until December 1988</t>
  </si>
  <si>
    <t>runoff coefficient</t>
  </si>
  <si>
    <t>national forest inventory. Studies several fires</t>
  </si>
  <si>
    <t>persistent shrubland area study zone</t>
  </si>
  <si>
    <t>1905_06_23</t>
  </si>
  <si>
    <t>1905_06_21</t>
  </si>
  <si>
    <t>1905_06_22</t>
  </si>
  <si>
    <t>1905_06_27</t>
  </si>
  <si>
    <t>1905_06_26</t>
  </si>
  <si>
    <t>1905_06_08</t>
  </si>
  <si>
    <t>1905_06_30</t>
  </si>
  <si>
    <t>Castanea sativa, Pinus pinea and Quercus suber</t>
  </si>
  <si>
    <t>silvicultural;none</t>
  </si>
  <si>
    <t>1988_02</t>
  </si>
  <si>
    <t>2006_08</t>
  </si>
  <si>
    <t>2006_09</t>
  </si>
  <si>
    <t>2013_07</t>
  </si>
  <si>
    <t>2014_07</t>
  </si>
  <si>
    <t>2015_07</t>
  </si>
  <si>
    <t>2007_09</t>
  </si>
  <si>
    <t>2010_09</t>
  </si>
  <si>
    <t>2011_09</t>
  </si>
  <si>
    <t>2013_09</t>
  </si>
  <si>
    <t>2014_09</t>
  </si>
  <si>
    <t>2006_07</t>
  </si>
  <si>
    <t>2007_06</t>
  </si>
  <si>
    <t>2008_06</t>
  </si>
  <si>
    <t>2017_04</t>
  </si>
  <si>
    <t>growth reductions</t>
  </si>
  <si>
    <t>A growth reduction was classified as “abrupt” if the tree-ring width was at least 40% reduced compared to the previous year.</t>
  </si>
  <si>
    <t>nº of growth reduction events</t>
  </si>
  <si>
    <t xml:space="preserve">                   study_type</t>
  </si>
  <si>
    <t>study_level              field remote sensing field;remote sensing</t>
  </si>
  <si>
    <t xml:space="preserve">  community         31.8518519     17.0370370           10.3703704</t>
  </si>
  <si>
    <t xml:space="preserve">  community;species 14.0740741      0.7407407            2.2222222</t>
  </si>
  <si>
    <t xml:space="preserve">  species           21.4814815      0.0000000            2.2222222</t>
  </si>
  <si>
    <t>vegetación</t>
  </si>
  <si>
    <t>suelo</t>
  </si>
  <si>
    <t>otras</t>
  </si>
  <si>
    <t>Tipo de variable respuesta</t>
  </si>
  <si>
    <t>Recuento</t>
  </si>
  <si>
    <t>functional traits</t>
  </si>
  <si>
    <t>spectral response refered ro regeneration</t>
  </si>
  <si>
    <t>spectral response refered to landscape</t>
  </si>
  <si>
    <t>spectral response refered to landscape;fire severity is measured for postfire years and it diminish</t>
  </si>
  <si>
    <t>spectral response refered to structure</t>
  </si>
  <si>
    <t>variable subtype refered to energy flux patterns</t>
  </si>
  <si>
    <t>variable subtype specifies as structural diversity</t>
  </si>
  <si>
    <t>variable subtype refered to demography</t>
  </si>
  <si>
    <t xml:space="preserve">Specific classification of the response variable. Categories: (1) diversity, (2) composition, (3) structure and (4) regeneration, (5) physical properties, (6) chemical properties, (7) erosion, (8) interactions and (9) ecosystem services (Gann et al. 2019) (Wortley et al. 2013). Add more categories if necessary but report it in "Changes" shared document via Teams. Also, when it's a spectral response, report in "comments" the interpretation (for structure, composition, greeness, etc.). If you are unsure how to classify a variable, choose it based on the final purpose of the study; in other words, ask yourself what you intend to discover with that measurement. </t>
  </si>
  <si>
    <t>Apuntes</t>
  </si>
  <si>
    <t>variable subtype refered to phenology</t>
  </si>
  <si>
    <t>ecosystem service of suport</t>
  </si>
  <si>
    <t>ecosystem service of provision</t>
  </si>
  <si>
    <t>ecosystem service of regulation</t>
  </si>
  <si>
    <t>*for ecosystem services, in comments</t>
  </si>
  <si>
    <t>n_papers</t>
  </si>
  <si>
    <t/>
  </si>
  <si>
    <t xml:space="preserve"> Basal Area Increment</t>
  </si>
  <si>
    <t xml:space="preserve"> Fire type (crown vs. understory)</t>
  </si>
  <si>
    <t xml:space="preserve"> Regenerative functional traits</t>
  </si>
  <si>
    <t xml:space="preserve"> SOM</t>
  </si>
  <si>
    <t xml:space="preserve"> Soil layer</t>
  </si>
  <si>
    <t xml:space="preserve"> TOC</t>
  </si>
  <si>
    <t xml:space="preserve"> Thornthwaite index</t>
  </si>
  <si>
    <t xml:space="preserve"> VARI index</t>
  </si>
  <si>
    <t xml:space="preserve"> annual herbs)</t>
  </si>
  <si>
    <t xml:space="preserve"> aspect</t>
  </si>
  <si>
    <t xml:space="preserve"> aspects</t>
  </si>
  <si>
    <t xml:space="preserve"> available phosphorus</t>
  </si>
  <si>
    <t xml:space="preserve"> bark thickness</t>
  </si>
  <si>
    <t xml:space="preserve"> basal area of Pinus halepensis</t>
  </si>
  <si>
    <t xml:space="preserve"> basal area of Quercus ilex</t>
  </si>
  <si>
    <t xml:space="preserve"> basal area of Quercus pubescens</t>
  </si>
  <si>
    <t xml:space="preserve"> burn severity</t>
  </si>
  <si>
    <t xml:space="preserve"> burned area</t>
  </si>
  <si>
    <t xml:space="preserve"> burned/unburned</t>
  </si>
  <si>
    <t xml:space="preserve"> cone age</t>
  </si>
  <si>
    <t xml:space="preserve"> cone type</t>
  </si>
  <si>
    <t xml:space="preserve"> distance from the unburned age</t>
  </si>
  <si>
    <t xml:space="preserve"> distance to closest reproductive tree</t>
  </si>
  <si>
    <t xml:space="preserve"> distance to the nearest trap</t>
  </si>
  <si>
    <t xml:space="preserve"> electrical conductivity</t>
  </si>
  <si>
    <t xml:space="preserve"> elevation)</t>
  </si>
  <si>
    <t xml:space="preserve"> fire id</t>
  </si>
  <si>
    <t xml:space="preserve"> fire occurrence</t>
  </si>
  <si>
    <t xml:space="preserve"> fire plot type</t>
  </si>
  <si>
    <t xml:space="preserve"> fire recurrence</t>
  </si>
  <si>
    <t xml:space="preserve"> fire return interval</t>
  </si>
  <si>
    <t xml:space="preserve"> fire severity</t>
  </si>
  <si>
    <t xml:space="preserve"> fire type (crown vs surface)</t>
  </si>
  <si>
    <t xml:space="preserve"> forest area</t>
  </si>
  <si>
    <t xml:space="preserve"> land slope</t>
  </si>
  <si>
    <t xml:space="preserve"> land use</t>
  </si>
  <si>
    <t xml:space="preserve"> landscape type</t>
  </si>
  <si>
    <t xml:space="preserve"> life form (woody, perennial herbs</t>
  </si>
  <si>
    <t xml:space="preserve"> management_type</t>
  </si>
  <si>
    <t xml:space="preserve"> microbial community structure</t>
  </si>
  <si>
    <t xml:space="preserve"> micronutrients</t>
  </si>
  <si>
    <t xml:space="preserve"> number of neighboring traps</t>
  </si>
  <si>
    <t xml:space="preserve"> nutrients</t>
  </si>
  <si>
    <t xml:space="preserve"> organic carbon</t>
  </si>
  <si>
    <t xml:space="preserve"> piled dead branches cover</t>
  </si>
  <si>
    <t xml:space="preserve"> pine cover</t>
  </si>
  <si>
    <t xml:space="preserve"> plant formation </t>
  </si>
  <si>
    <t xml:space="preserve"> plant formations</t>
  </si>
  <si>
    <t xml:space="preserve"> plot</t>
  </si>
  <si>
    <t xml:space="preserve"> post-fire treatment</t>
  </si>
  <si>
    <t xml:space="preserve"> postfire pine age</t>
  </si>
  <si>
    <t xml:space="preserve"> potencial pollutants</t>
  </si>
  <si>
    <t xml:space="preserve"> prefire stand age</t>
  </si>
  <si>
    <t xml:space="preserve"> recovery index</t>
  </si>
  <si>
    <t xml:space="preserve"> regeneration density</t>
  </si>
  <si>
    <t xml:space="preserve"> regenerative trajectory</t>
  </si>
  <si>
    <t xml:space="preserve"> sampling period</t>
  </si>
  <si>
    <t xml:space="preserve"> season</t>
  </si>
  <si>
    <t xml:space="preserve"> seed protection</t>
  </si>
  <si>
    <t xml:space="preserve"> severity</t>
  </si>
  <si>
    <t xml:space="preserve"> shrub cover classes</t>
  </si>
  <si>
    <t xml:space="preserve"> site</t>
  </si>
  <si>
    <t xml:space="preserve"> slope</t>
  </si>
  <si>
    <t xml:space="preserve"> soil color</t>
  </si>
  <si>
    <t xml:space="preserve"> soil humidity</t>
  </si>
  <si>
    <t xml:space="preserve"> species</t>
  </si>
  <si>
    <t xml:space="preserve"> spread dead branches cover</t>
  </si>
  <si>
    <t xml:space="preserve"> states of regeneration:</t>
  </si>
  <si>
    <t xml:space="preserve"> temperature</t>
  </si>
  <si>
    <t xml:space="preserve"> terrain roughness</t>
  </si>
  <si>
    <t xml:space="preserve"> time</t>
  </si>
  <si>
    <t xml:space="preserve"> time after fire</t>
  </si>
  <si>
    <t xml:space="preserve"> time since fire</t>
  </si>
  <si>
    <t xml:space="preserve"> total basal area</t>
  </si>
  <si>
    <t xml:space="preserve"> total nitrogen</t>
  </si>
  <si>
    <t xml:space="preserve"> tree diameter</t>
  </si>
  <si>
    <t xml:space="preserve"> tree status</t>
  </si>
  <si>
    <t xml:space="preserve"> unburned forest area</t>
  </si>
  <si>
    <t xml:space="preserve"> understory height</t>
  </si>
  <si>
    <t xml:space="preserve"> vegetation cover</t>
  </si>
  <si>
    <t xml:space="preserve"> vegetation recovery</t>
  </si>
  <si>
    <t xml:space="preserve"> vegetation type</t>
  </si>
  <si>
    <t xml:space="preserve"> woodland type</t>
  </si>
  <si>
    <t xml:space="preserve"> year</t>
  </si>
  <si>
    <t xml:space="preserve"> year after fire</t>
  </si>
  <si>
    <t xml:space="preserve"> years to recovery</t>
  </si>
  <si>
    <t>C factor</t>
  </si>
  <si>
    <t>CVH</t>
  </si>
  <si>
    <t>Euclidean distance</t>
  </si>
  <si>
    <t>Fire type</t>
  </si>
  <si>
    <t>Functional group</t>
  </si>
  <si>
    <t>Gramineae</t>
  </si>
  <si>
    <t>HLI</t>
  </si>
  <si>
    <t>NBR regrowth</t>
  </si>
  <si>
    <t>NDVI trend (15 yr post fire)</t>
  </si>
  <si>
    <t>PCA (precipitation</t>
  </si>
  <si>
    <t>Postfire management treatment</t>
  </si>
  <si>
    <t>Raunkiaer's life form</t>
  </si>
  <si>
    <t>RdNBR index</t>
  </si>
  <si>
    <t>TOC</t>
  </si>
  <si>
    <t>TSLF (time since long fire)</t>
  </si>
  <si>
    <t>Y coordinates centred</t>
  </si>
  <si>
    <t>age</t>
  </si>
  <si>
    <t>altitude</t>
  </si>
  <si>
    <t>ammonium</t>
  </si>
  <si>
    <t>autocovariate term</t>
  </si>
  <si>
    <t>bacteria diversity</t>
  </si>
  <si>
    <t>bare soil</t>
  </si>
  <si>
    <t>bark thickness</t>
  </si>
  <si>
    <t>bedrock and soil formation</t>
  </si>
  <si>
    <t>bedrock type</t>
  </si>
  <si>
    <t>branches</t>
  </si>
  <si>
    <t>burn severity</t>
  </si>
  <si>
    <t>burned area aggregation index</t>
  </si>
  <si>
    <t>burned area distribution index</t>
  </si>
  <si>
    <t>burnt area</t>
  </si>
  <si>
    <t>canopy radius</t>
  </si>
  <si>
    <t>climate</t>
  </si>
  <si>
    <t>coarse woody debris</t>
  </si>
  <si>
    <t>curvature</t>
  </si>
  <si>
    <t>date</t>
  </si>
  <si>
    <t>deer presence</t>
  </si>
  <si>
    <t>defoliation</t>
  </si>
  <si>
    <t>differences pre-post fire</t>
  </si>
  <si>
    <t>distance from burned trunk</t>
  </si>
  <si>
    <t>distance to seed tree</t>
  </si>
  <si>
    <t>distance to seed trees</t>
  </si>
  <si>
    <t>distance to the unburned area</t>
  </si>
  <si>
    <t>distance to unburned woodlands</t>
  </si>
  <si>
    <t>distancefromseedsource</t>
  </si>
  <si>
    <t>dominant tree species</t>
  </si>
  <si>
    <t>dorught index</t>
  </si>
  <si>
    <t>drought  probability</t>
  </si>
  <si>
    <t>drought vulnerability</t>
  </si>
  <si>
    <t>e_management type</t>
  </si>
  <si>
    <t>ecosystems</t>
  </si>
  <si>
    <t>ecosystems cover</t>
  </si>
  <si>
    <t>edibility</t>
  </si>
  <si>
    <t>effective mesh size</t>
  </si>
  <si>
    <t>exposure</t>
  </si>
  <si>
    <t>fire episodes</t>
  </si>
  <si>
    <t>fire frequency</t>
  </si>
  <si>
    <t>fire id</t>
  </si>
  <si>
    <t>fire magnitude</t>
  </si>
  <si>
    <t>fire occurrence(fire/control)</t>
  </si>
  <si>
    <t>fire ocurrence</t>
  </si>
  <si>
    <t>fire patterns</t>
  </si>
  <si>
    <t>fire regime</t>
  </si>
  <si>
    <t>fire treatment (unburned, control+wildfire, prescribed fire + wildfire) +</t>
  </si>
  <si>
    <t>forbs</t>
  </si>
  <si>
    <t>forest layer</t>
  </si>
  <si>
    <t>forest management (traditional trunk coppicing, branch pruning, and no sylvicultural practice)</t>
  </si>
  <si>
    <t>forest stand type</t>
  </si>
  <si>
    <t>fragment</t>
  </si>
  <si>
    <t>funcitonal groups</t>
  </si>
  <si>
    <t>fungal diversity</t>
  </si>
  <si>
    <t>geographical location</t>
  </si>
  <si>
    <t>geological substrate</t>
  </si>
  <si>
    <t>gully morphology (width, plan area)</t>
  </si>
  <si>
    <t>height class</t>
  </si>
  <si>
    <t>human impacts</t>
  </si>
  <si>
    <t>inter-stem distance</t>
  </si>
  <si>
    <t>land use</t>
  </si>
  <si>
    <t>land‐cover change</t>
  </si>
  <si>
    <t>leafs</t>
  </si>
  <si>
    <t>litter cover</t>
  </si>
  <si>
    <t>live basal area</t>
  </si>
  <si>
    <t>management</t>
  </si>
  <si>
    <t>management ype</t>
  </si>
  <si>
    <t>management:type</t>
  </si>
  <si>
    <t>managment_type</t>
  </si>
  <si>
    <t>mean contiguity index</t>
  </si>
  <si>
    <t>mean patch ratius of gyration</t>
  </si>
  <si>
    <t>moisture content</t>
  </si>
  <si>
    <t>montado prefire patterns</t>
  </si>
  <si>
    <t>n of previous fires</t>
  </si>
  <si>
    <t>n of thinnings</t>
  </si>
  <si>
    <t>nitrate</t>
  </si>
  <si>
    <t>normalized landscape shape index</t>
  </si>
  <si>
    <t>nutrients</t>
  </si>
  <si>
    <t>nº reproductive trees</t>
  </si>
  <si>
    <t>nº times burnt</t>
  </si>
  <si>
    <t>oak density</t>
  </si>
  <si>
    <t>permeability</t>
  </si>
  <si>
    <t>pileheight</t>
  </si>
  <si>
    <t>pilepresence</t>
  </si>
  <si>
    <t>pine climatic niches</t>
  </si>
  <si>
    <t>pine stand ages</t>
  </si>
  <si>
    <t>pine tree height</t>
  </si>
  <si>
    <t>pine/oak density ratio</t>
  </si>
  <si>
    <t>plant cover</t>
  </si>
  <si>
    <t>plant debris</t>
  </si>
  <si>
    <t>plant height</t>
  </si>
  <si>
    <t>plant recovery</t>
  </si>
  <si>
    <t>plant richness</t>
  </si>
  <si>
    <t>plant status (resprout or planted)</t>
  </si>
  <si>
    <t>plant stratification</t>
  </si>
  <si>
    <t>plantspecie</t>
  </si>
  <si>
    <t>position</t>
  </si>
  <si>
    <t>position in slope</t>
  </si>
  <si>
    <t>post-fire management</t>
  </si>
  <si>
    <t>postfire climate variability</t>
  </si>
  <si>
    <t>postfire selvicultural treatment</t>
  </si>
  <si>
    <t>postfiretime</t>
  </si>
  <si>
    <t>postrecovery time</t>
  </si>
  <si>
    <t>pre-fire habitat</t>
  </si>
  <si>
    <t>precipitation</t>
  </si>
  <si>
    <t>precipitation (depth, intensity)</t>
  </si>
  <si>
    <t>prefire vegetation condition</t>
  </si>
  <si>
    <t>prefire vegetation moisture and structure</t>
  </si>
  <si>
    <t>prefire vegetation state</t>
  </si>
  <si>
    <t>prefire vegetation type</t>
  </si>
  <si>
    <t>prefire vegetationcover</t>
  </si>
  <si>
    <t>previous land use</t>
  </si>
  <si>
    <t>prior fire interval</t>
  </si>
  <si>
    <t>rain intensity</t>
  </si>
  <si>
    <t>rainfall</t>
  </si>
  <si>
    <t>rainfall events</t>
  </si>
  <si>
    <t>rainfall intensity</t>
  </si>
  <si>
    <t>rainy event</t>
  </si>
  <si>
    <t>regeneration age</t>
  </si>
  <si>
    <t>regeneration mode</t>
  </si>
  <si>
    <t>rehabilitation treatment</t>
  </si>
  <si>
    <t>rock</t>
  </si>
  <si>
    <t>roughness</t>
  </si>
  <si>
    <t>rougness</t>
  </si>
  <si>
    <t>salvage logging</t>
  </si>
  <si>
    <t>sampling year</t>
  </si>
  <si>
    <t>sapling height</t>
  </si>
  <si>
    <t>sapling state</t>
  </si>
  <si>
    <t>se_management ype</t>
  </si>
  <si>
    <t>se_management_type</t>
  </si>
  <si>
    <t>seedling age</t>
  </si>
  <si>
    <t>shrub cover</t>
  </si>
  <si>
    <t>shrubs</t>
  </si>
  <si>
    <t>silvicultural treatment</t>
  </si>
  <si>
    <t>size of fire</t>
  </si>
  <si>
    <t>slope</t>
  </si>
  <si>
    <t>slope position</t>
  </si>
  <si>
    <t>soil branches</t>
  </si>
  <si>
    <t>soil cover</t>
  </si>
  <si>
    <t>soil depth</t>
  </si>
  <si>
    <t>soil exposure</t>
  </si>
  <si>
    <t>soil lmoisture</t>
  </si>
  <si>
    <t>soil physicochemical properties</t>
  </si>
  <si>
    <t>soil properties</t>
  </si>
  <si>
    <t>soil type</t>
  </si>
  <si>
    <t>spatial factors</t>
  </si>
  <si>
    <t>spatial river gradient</t>
  </si>
  <si>
    <t>species rank</t>
  </si>
  <si>
    <t>splitting density</t>
  </si>
  <si>
    <t>stem density</t>
  </si>
  <si>
    <t>stem size</t>
  </si>
  <si>
    <t>stream density</t>
  </si>
  <si>
    <t>structural plant species</t>
  </si>
  <si>
    <t>subcatchment area</t>
  </si>
  <si>
    <t>subshrubs</t>
  </si>
  <si>
    <t>succesional stage</t>
  </si>
  <si>
    <t>summer water deficit</t>
  </si>
  <si>
    <t>surface cover</t>
  </si>
  <si>
    <t>surrounding unburned areas</t>
  </si>
  <si>
    <t>thinning intensity</t>
  </si>
  <si>
    <t>time elapsed since the last fire</t>
  </si>
  <si>
    <t>time since fire, fire frequency,  vegetation characteristics</t>
  </si>
  <si>
    <t>time since last wildfire</t>
  </si>
  <si>
    <t>topographic position</t>
  </si>
  <si>
    <t>topography</t>
  </si>
  <si>
    <t>topography (ruggeness index, altitude, slope, curvature, flow accumulation)</t>
  </si>
  <si>
    <t>total basal area</t>
  </si>
  <si>
    <t>total density</t>
  </si>
  <si>
    <t>transitions to natural vegetation (1960-90)</t>
  </si>
  <si>
    <t>treatment (burnt/not burnt)</t>
  </si>
  <si>
    <t>tree age</t>
  </si>
  <si>
    <t>tree canopy cover</t>
  </si>
  <si>
    <t>tree cross-sectional area</t>
  </si>
  <si>
    <t>tree dbh</t>
  </si>
  <si>
    <t>tree species</t>
  </si>
  <si>
    <t>trees</t>
  </si>
  <si>
    <t>trees age</t>
  </si>
  <si>
    <t>trunk circumference</t>
  </si>
  <si>
    <t>type</t>
  </si>
  <si>
    <t>type of fire( wiildfire or prescribed burning)</t>
  </si>
  <si>
    <t>unburnt remnant patches</t>
  </si>
  <si>
    <t>understorey height</t>
  </si>
  <si>
    <t>variation in stem density</t>
  </si>
  <si>
    <t>vegetation recovery</t>
  </si>
  <si>
    <t>vegetation strata</t>
  </si>
  <si>
    <t>water abailability</t>
  </si>
  <si>
    <t>water deficit</t>
  </si>
  <si>
    <t>years after fire</t>
  </si>
  <si>
    <t>years since last fire</t>
  </si>
  <si>
    <t>Moderator group</t>
  </si>
  <si>
    <t>Big groups</t>
  </si>
  <si>
    <t>subtypes</t>
  </si>
  <si>
    <t>NBR disturbance</t>
  </si>
  <si>
    <t>time;NBR</t>
  </si>
  <si>
    <t>time; species; DBH</t>
  </si>
  <si>
    <t>species; DBH</t>
  </si>
  <si>
    <t>time; species</t>
  </si>
  <si>
    <t>management;type; terrain roughness; land slope</t>
  </si>
  <si>
    <t>Functional group; states of regeneration;</t>
  </si>
  <si>
    <t>Cation exchange capacity (CEC)</t>
  </si>
  <si>
    <t>pinus pollen</t>
  </si>
  <si>
    <t>urease activity</t>
  </si>
  <si>
    <t>μmol NH4 / g · h</t>
  </si>
  <si>
    <t>glucosidae activity</t>
  </si>
  <si>
    <t>μmol PNP / g · h</t>
  </si>
  <si>
    <t>protease enzyme activity</t>
  </si>
  <si>
    <t>β-glucosidase enzyme activity</t>
  </si>
  <si>
    <t>phosphatase enzyme activity</t>
  </si>
  <si>
    <t>actinobacteria relative abundance</t>
  </si>
  <si>
    <t>proteobacteria relative abundance</t>
  </si>
  <si>
    <t>acidobacteria relative abundance</t>
  </si>
  <si>
    <t>bacteroidetes relative abundance</t>
  </si>
  <si>
    <t>verrucomicrobia relative abundance</t>
  </si>
  <si>
    <t>gemmatimonadetes relative abundance</t>
  </si>
  <si>
    <t>firmicutes relative abundance</t>
  </si>
  <si>
    <t>planctomycetes relative abundance</t>
  </si>
  <si>
    <t>chloroflexi relative abundance</t>
  </si>
  <si>
    <t>minor phylums relative abundance</t>
  </si>
  <si>
    <t>prokaryotic biomass</t>
  </si>
  <si>
    <t>iDNA eubacterial community structure</t>
  </si>
  <si>
    <t>exDNA eubacterial community structure</t>
  </si>
  <si>
    <t>iDNA fungal community structure</t>
  </si>
  <si>
    <t>exDNA fungal community structure</t>
  </si>
  <si>
    <t>iDNA fungal community diversity</t>
  </si>
  <si>
    <t>exDNA fungal community diversity</t>
  </si>
  <si>
    <t>arylsulfatase enzyme activity</t>
  </si>
  <si>
    <t>leucine aminopeptidase enzyme activity</t>
  </si>
  <si>
    <t>acid phosphatase enxyme activity</t>
  </si>
  <si>
    <t>alkaline phospatase enxyme activity</t>
  </si>
  <si>
    <t xml:space="preserve">Exchangeable Calcium </t>
  </si>
  <si>
    <t xml:space="preserve">Exchangeable Magnesium </t>
  </si>
  <si>
    <t>Exchangeable Sodium (</t>
  </si>
  <si>
    <t>Exchangeable Potassium</t>
  </si>
  <si>
    <t>Extractable Calcium (Ca)</t>
  </si>
  <si>
    <t>Extractable Magnesium (Mg)</t>
  </si>
  <si>
    <t>Extractable Potassium (K)</t>
  </si>
  <si>
    <t>β-glucosidase activity</t>
  </si>
  <si>
    <t>Acid phosphatase activity</t>
  </si>
  <si>
    <t>β-Glucosidase activity</t>
  </si>
  <si>
    <t>Alkaline phosphatase activity</t>
  </si>
  <si>
    <t>Phosphorus</t>
  </si>
  <si>
    <t>mg P2O5 / kg</t>
  </si>
  <si>
    <t>Potasium</t>
  </si>
  <si>
    <t>mg K2O / kg</t>
  </si>
  <si>
    <t>Calcium</t>
  </si>
  <si>
    <t>mg Ca2+ / kg</t>
  </si>
  <si>
    <t>Magnesium</t>
  </si>
  <si>
    <t>mg Mg2+ / kg</t>
  </si>
  <si>
    <t>Sodium</t>
  </si>
  <si>
    <t>mg Na / kg</t>
  </si>
  <si>
    <t>Nitrogen</t>
  </si>
  <si>
    <t>mg NO3-N / kg</t>
  </si>
  <si>
    <t>Surface organic matter (litter)</t>
  </si>
  <si>
    <t>Tree height</t>
  </si>
  <si>
    <t>Tree mortality</t>
  </si>
  <si>
    <t>time since last fire;specie</t>
  </si>
  <si>
    <t>basal area is measured for species: pinus halepensis and quercus ilex</t>
  </si>
  <si>
    <t>the treatment effects are compared sepparately (amendments vs silvicultural). Biomass measured for species: pine and Holm oak</t>
  </si>
  <si>
    <t>management_type;species</t>
  </si>
  <si>
    <t>Avobeground biomass K content</t>
  </si>
  <si>
    <t>Avobeground biomass Ca content</t>
  </si>
  <si>
    <t>Avobeground biomass P content</t>
  </si>
  <si>
    <t>Avobeground biomass N content</t>
  </si>
  <si>
    <t>Avobeground biomass S content</t>
  </si>
  <si>
    <t>Avobeground biomass Mg content</t>
  </si>
  <si>
    <t>Avobeground biomass Fe content</t>
  </si>
  <si>
    <t>years since fire; species</t>
  </si>
  <si>
    <t>sampling date depending on the plot. Measured biomas for species: pinus halepensis, quercus ilex and quercus pubescens</t>
  </si>
  <si>
    <t>vegetation biomass</t>
  </si>
  <si>
    <t>height measured for pine and oak</t>
  </si>
  <si>
    <t>cover measured for pine and oak</t>
  </si>
  <si>
    <t>RRI measured for forest species: pine, deciduous oaks and holm oak</t>
  </si>
  <si>
    <t>fire severity;burnt area;prefire vegetation condition;time;forest species</t>
  </si>
  <si>
    <t>soil surface compaction rate</t>
  </si>
  <si>
    <t>categories: ash;bare soil;litter;stone;vegetation. Measured as a factor influencing erosion and runoff, not refered to vegetation.</t>
  </si>
  <si>
    <t>the weight is measured to know the regeneration of organic soil horizons</t>
  </si>
  <si>
    <t>measured as a proxy of sediment historical deliveries</t>
  </si>
  <si>
    <t>Ca*^2 soil content</t>
  </si>
  <si>
    <t>Mg soil content</t>
  </si>
  <si>
    <t>K soil content</t>
  </si>
  <si>
    <t>Na soil content</t>
  </si>
  <si>
    <t>P soil content</t>
  </si>
  <si>
    <t>Time since fire;soil layer;site location;presence of bryophyte turfs</t>
  </si>
  <si>
    <t>Time since fire;soil layer;site location</t>
  </si>
  <si>
    <t>sex;age;body mass indices</t>
  </si>
  <si>
    <t>Season;Time after fire;distance from burn perimeter;plant cover;vegetation height;shrub cover</t>
  </si>
  <si>
    <t>treatment (burnt/not burnt);time after fire</t>
  </si>
  <si>
    <t>treatment (burnt/not burnt);time after fire;life form (woody, perennial herbs;annual herbs)</t>
  </si>
  <si>
    <t>time since fire;fire frequency; vegetation characteristics;site</t>
  </si>
  <si>
    <t>time since fire;site;vegetation type</t>
  </si>
  <si>
    <t>Time since fire; plan sucession;leaf litter cover</t>
  </si>
  <si>
    <t>Time since fire; plan sucession;leaf litter cover;stone cover</t>
  </si>
  <si>
    <t>p. (2;8 - 3;5)</t>
  </si>
  <si>
    <t>p. (0;93-0;96)</t>
  </si>
  <si>
    <t>% Grime categories SC;CS</t>
  </si>
  <si>
    <t>TSLF;nº fires;orientation;altitude;slope;cryptogams cover;airy litter</t>
  </si>
  <si>
    <t>20_05_2026</t>
  </si>
  <si>
    <t>25_05_2026</t>
  </si>
  <si>
    <t>*solo incluido lo nuevo en pestaña study y exclusion falta fire y measures</t>
  </si>
  <si>
    <t>It test the use of UAVs for forest monitoring</t>
  </si>
  <si>
    <t>it does not assess the response to fire, but rather analyzes the size-density dynamics of the stands that have already regenerated after the fire, with a greater focus on future management</t>
  </si>
  <si>
    <t>*se lo pase cuando iba por aqui</t>
  </si>
  <si>
    <t>08_05_2026</t>
  </si>
  <si>
    <t>18_05_2026</t>
  </si>
  <si>
    <t>26_05_2026</t>
  </si>
  <si>
    <t>01_06_2026</t>
  </si>
  <si>
    <t>Asun</t>
  </si>
  <si>
    <t>Not available online</t>
  </si>
  <si>
    <t>study_level: species. El estudio se centra en Buprestidae (coleópteros)</t>
  </si>
  <si>
    <t>El estudio se centra en el gran incendio ocurrido en 2012, comparando áreas que habían sufrido 0, 1 o 4 incendios en las últimas tres décadas, por eso pongo solo un incendio aunque hay zonas que se han quemado hasta 4 veces.</t>
  </si>
  <si>
    <t>n_fire: todos los incendios de 2016 y 2017 con intervenciones de estabilización después del incendio. Como son dos años en la tabla 2_fire pongo dos líneas.</t>
  </si>
  <si>
    <t>Es un incendio en el que se analizan 15 proyectos de revegetación cada uno en un área de la misma zona quemada.</t>
  </si>
  <si>
    <t>The study analyzes a single high-intensity forest fire that occurred in the summer of 2003 in the Sant Llorenç del Munt massif (Catalonia, NE Spain). The focus is on the European wild rabbit (Oryctolagus cuniculus). Study_level: lack because is fauna (species)</t>
  </si>
  <si>
    <t>Stratified sampling based on fire regime (number of fires, fire intervals, age of last fire) over past 30 years. 12 sites with different fire histories.  Study_level: lack because is fauna (community)</t>
  </si>
  <si>
    <t>Study compares burnt (EB) and unburnt (EU) eucalypt plantations in north-central Portugal over 25 months post-fire. Provides species-specific measures for Eucalyptus globulus (e.g., terpenoids eucalyptol and globulol).</t>
  </si>
  <si>
    <t xml:space="preserve"> Study analyzes a single wildfire that occurred in August 2021 in Sierra de la Paramera, Spain. Vegetation recovery assessed one year after fire using Sentinel-2 imagery and field validation plots. Four plant communities analyzed: Pinus sylvestris forests, Quercus ilex woodlands, Cytisus oromediterraneus shrublands, and grasslands.</t>
  </si>
  <si>
    <t>Estudian dos incendios, pero hay 3 escenarios post-incendio distintos porque algunas de las zonas se quemaron en el primer y segundo incendio, es decir, solapan. Los 3 escenarios los comparan con parcelas control. Study uses photointerpretation (remote sensing) and field inventory plots to assess vegetation structure, composition, and pine regeneration over medium term (1984-2021). No post-fire restoration.</t>
  </si>
  <si>
    <t>Fire severity classified by pine canopy damage (low, moderate, high). Post‑fire regeneration monitored for 29 months.</t>
  </si>
  <si>
    <t>Uninterrupted 42-year monitoring of avifauna and vegetation after three severe wildfires in a cork oak forest. Two line transects (one initially unburned control that later burned). Bird responses categorized into colonization, extinction-recolonization, and site-tenacity models. Recovery time ~15 years.</t>
  </si>
  <si>
    <t>The study examines post-fire seedling recruitment and morpho-ecophysiological responses of Pinus halepensis and three companion species (Stipa tenacissima, Cistus clusii, Rosmarinus officinalis) under salvage logging and induced drought. High survival for resprouters and obligate seeders, except for pine seedlings.</t>
  </si>
  <si>
    <t>Loretto</t>
  </si>
  <si>
    <t>study_level: soil</t>
  </si>
  <si>
    <t>study of fungus community</t>
  </si>
  <si>
    <t>(Arbutus unedo)</t>
  </si>
  <si>
    <t>fungi</t>
  </si>
  <si>
    <t>Marina</t>
  </si>
  <si>
    <t>It does not assess post-fire responses (criteria C4) but how early thinning affects Carbon storage in naturally regenerated aleppo pine after fire</t>
  </si>
  <si>
    <t>Casi segura que es exclusion, comentar para mas seguridad</t>
  </si>
  <si>
    <t>It does not assess post-fire responses (criteria C4). Study about Mediterranean vegetation dynamics from palynological records. Mentioned fires as part of Mediterranean dynamics but do not assess fire resposnes to a specific fire</t>
  </si>
  <si>
    <t>It does not specifically assess post-fire responses (criteria C4).  "synthesis of palynological and microscopic charcoal results of eight radiocarbon-dated sequences of the Mediterranean region on the East Iberian Peninsula. The aim of this work is to improve our knowledge about the linkages between Holocene fire regime, climatic conditions, vegetation, and land-use history."</t>
  </si>
  <si>
    <t>Paleo. Revisar</t>
  </si>
  <si>
    <t>19_05_2026</t>
  </si>
  <si>
    <t>They use 2 different series of fires</t>
  </si>
  <si>
    <t>Pedro</t>
  </si>
  <si>
    <r>
      <t xml:space="preserve">The wildfire does not occur in the </t>
    </r>
    <r>
      <rPr>
        <b/>
        <sz val="11"/>
        <color theme="1"/>
        <rFont val="Calibri"/>
        <family val="2"/>
        <scheme val="minor"/>
      </rPr>
      <t xml:space="preserve">Mediterranean Basin </t>
    </r>
    <r>
      <rPr>
        <sz val="11"/>
        <color theme="1"/>
        <rFont val="Calibri"/>
        <family val="2"/>
        <scheme val="minor"/>
      </rPr>
      <t>(Australia)</t>
    </r>
  </si>
  <si>
    <r>
      <rPr>
        <b/>
        <sz val="11"/>
        <color theme="1"/>
        <rFont val="Calibri"/>
        <family val="2"/>
        <scheme val="minor"/>
      </rPr>
      <t xml:space="preserve">Duda - </t>
    </r>
    <r>
      <rPr>
        <sz val="11"/>
        <color theme="1"/>
        <rFont val="Calibri"/>
        <family val="2"/>
        <scheme val="minor"/>
      </rPr>
      <t>Trabajo con 1000 parcelas de IFN sin coordenadas (ni rango, ni exactas… no se pueden extraer). Tampoco hay datos de los incendios</t>
    </r>
  </si>
  <si>
    <t>Responses are not based in field data</t>
  </si>
  <si>
    <t>laboratory experiment</t>
  </si>
  <si>
    <t>se centra en artropodos por lo que pongo comunidad</t>
  </si>
  <si>
    <t xml:space="preserve">se centra en aves como variable respuesta: acentores comunes (Prunella modularis) </t>
  </si>
  <si>
    <t>áreas quemadas hace 3, 6, 9, 16 y 26 años, además de un sitio de control no quemado en al menos 50 años</t>
  </si>
  <si>
    <t>centrado en Isopoda y Collembola</t>
  </si>
  <si>
    <t>centrado en hongos ectomicorrizicos, en zonas de alta y baja recurrencia de incendios; aunque analiza algún rasgo de la especie de arboles no es el foco principal. clasifica los sitios según su historia de recurrencia —frecuente frente a rara— basándose en estadísticas regionales de incendios entre 1978 y 2001, pero no analiza un número específico de eventos de incendio individuales</t>
  </si>
  <si>
    <t>centrado en parasitos helmintos</t>
  </si>
  <si>
    <t>composición y abundancia de escarabajos epigeos</t>
  </si>
  <si>
    <t>27_05_2026</t>
  </si>
  <si>
    <t>inámica de metales en el suelo y no proporciona medidas específicas de la estructura de la comunidad vegetal o métricas de especies individuales. No incluyo study level</t>
  </si>
  <si>
    <t>centrado en comunidades de aves</t>
  </si>
  <si>
    <t>reptiles</t>
  </si>
  <si>
    <t>escarabajos</t>
  </si>
  <si>
    <t>pero es el mismo incendio en las areas de estudio, aunque las fechas difieren un poco</t>
  </si>
  <si>
    <t>suelo y no aplica</t>
  </si>
  <si>
    <t>en uno de los incendios hay fuego prescrito, y lo excluyo, incluyendo el incendio tanto en bosque como maturral</t>
  </si>
  <si>
    <t>no se centra en un unico incendios sino en una ara bastante afectada por incendio y estudia el tiempo desde el ultimo incendio pero no da información especifica</t>
  </si>
  <si>
    <t>02_06_2026</t>
  </si>
  <si>
    <t>seedlings and soil</t>
  </si>
  <si>
    <t>seedings and soil</t>
  </si>
  <si>
    <t>30_05_2026</t>
  </si>
  <si>
    <t>The frequency of water repellency class was analyzed along time, but no statistical test</t>
  </si>
  <si>
    <t>shrubby and herbaceus context (garrige), not forest</t>
  </si>
  <si>
    <t>experimental fires over Mediterranean-shrub ecosystem</t>
  </si>
  <si>
    <t>maritime pine open forest. with sporadic occurrence of broadleaved species like holly oak (Quercus ilex L.), downy oak (Quercus pubescens Willd.), and chestnut (Castanea sativa Mill.). The understorey was represented by typical post-fire resprouters and seeders species such as tree heather (Erica arborea), Mediterranean strawberry tree (Arbutus unedo L.), common heather (Calluna vulgaris L.), spiny broom (Calicotome spinosa L.), sage leaf rockrose (Cistus salvifolius L.), Montpellier rockrose (Cistus monspeliensis L.), and hairybroom (Cytisus villosus Pourr.)</t>
  </si>
  <si>
    <t>Pinus pinaster</t>
  </si>
  <si>
    <t>Mediterranean maquis communities and forest stands dominated by Quercus ilex L., Pinus nigra Arnold, Pinus halepensis Mill. and Pinus pinaster Aiton</t>
  </si>
  <si>
    <t>P. pinaster plantation. large plantation dominated by P. pinaster Aiton and P. pinea L, with the presence of Pinus halepensis Mill, Pinus nigra Arnold</t>
  </si>
  <si>
    <t>algunos puntos estaban afectados también por incendios previos: 1993,2007,2014,2015,2016 - pero no dan más información a parte de los años</t>
  </si>
  <si>
    <t>P. pinaster reforestation</t>
  </si>
  <si>
    <t>shrubs and oak trees</t>
  </si>
  <si>
    <t>communities dominated by Genista hystrix Lange, Erica australis L., Cytisus scoparius (L.) Link, and Quercus pyrenaica Willd</t>
  </si>
  <si>
    <t>Pinus halepensis Mill. forests with an understory vegetation dominated mainly by Rosmarinus officinalis L., Ulex parviflorus Pourr., Quercus coccifera L., and Erica multiflora L</t>
  </si>
  <si>
    <t>pine forests and shrublands</t>
  </si>
  <si>
    <t>1997_07_07</t>
  </si>
  <si>
    <t>Pinus brutia forest</t>
  </si>
  <si>
    <t>oak trees</t>
  </si>
  <si>
    <t>woodland formations dominant tree species (Q. ilex vs. Q. suber) heterogeneous mosaic of seminatural vegetation and land use types, where semi-natural grasslands and fodder crops related to livestock farming are dominant (49%). Woodlands and Mediterranean shrublands are also abundant, with 20% and 16%, respectively. Cultivations, reforestations, urban areas, infrastructures, and other anthropized areas occupy the remaining 15% of the study area</t>
  </si>
  <si>
    <t>cultivated forests of Pinus pinaster</t>
  </si>
  <si>
    <t>Pinus brutia reforestation</t>
  </si>
  <si>
    <t>pine sampling height</t>
  </si>
  <si>
    <t>plot;subplot</t>
  </si>
  <si>
    <t>2008_04</t>
  </si>
  <si>
    <t>environmental variables (elevation, aspect, slope, soil depth); vegetation cover by class; vegetation average heigh by class;bare soil or rock cover;litter cover;trunks and branches cover;pine pre-fire basal area;position of unburnt pine patches;extent of erosion;topographic position;fungal diversity indices</t>
  </si>
  <si>
    <t>recorded in each of several layers/growth-form, broadleaved trees, maritime pine saplings, shrubs, field layer (herbaceous vegetation), and ground layer (bryophytes).</t>
  </si>
  <si>
    <t>pine sampling cover</t>
  </si>
  <si>
    <t>environmental variables (elevation, aspect, slope, soil depth); fungal diversity indices</t>
  </si>
  <si>
    <t>individuals/m2</t>
  </si>
  <si>
    <t>ectomycorrhizal fungal species frequency</t>
  </si>
  <si>
    <t>tree height;vegetation cover;trunks and branches cover;extent of erosion;soil depth;slope</t>
  </si>
  <si>
    <t>distance from the unburnt pine patches;extent of erosion;vegetation height;pine pre-fire basal area</t>
  </si>
  <si>
    <t>ectomycorrhizal comunities structure</t>
  </si>
  <si>
    <t>ectomycorrhizal phylogenetic diversity</t>
  </si>
  <si>
    <t>ectomycorrhizal root colonization</t>
  </si>
  <si>
    <t>fungal richness</t>
  </si>
  <si>
    <t>fungal diversity (Shannon index)</t>
  </si>
  <si>
    <t>soil organic matter</t>
  </si>
  <si>
    <t>time since fire;assemblage of fungal species</t>
  </si>
  <si>
    <t>carbon-to-nitrogen (C/N) ratio</t>
  </si>
  <si>
    <t>nitrogen</t>
  </si>
  <si>
    <t>iron</t>
  </si>
  <si>
    <t>μg/g</t>
  </si>
  <si>
    <t>sap flow</t>
  </si>
  <si>
    <t>L/h</t>
  </si>
  <si>
    <t>individual sampling</t>
  </si>
  <si>
    <t>2021_01</t>
  </si>
  <si>
    <t>burned vs. unburned;season;VPD;sap wood temp;relative humidity;preipitation;air temp;incoming radiation;soil water content</t>
  </si>
  <si>
    <t>time since fire;pre-fire vs. Post-fire</t>
  </si>
  <si>
    <t>mean ring width</t>
  </si>
  <si>
    <t>2025_01</t>
  </si>
  <si>
    <t>burned vs. Unburned</t>
  </si>
  <si>
    <t>wood anatomy</t>
  </si>
  <si>
    <t>lumen area</t>
  </si>
  <si>
    <t>μm2</t>
  </si>
  <si>
    <t>hydraulic conductivity</t>
  </si>
  <si>
    <t>m3/Mpa*s</t>
  </si>
  <si>
    <t>embolism resistance index</t>
  </si>
  <si>
    <t>cell wall thickness</t>
  </si>
  <si>
    <t>μm</t>
  </si>
  <si>
    <t>tree ring growth</t>
  </si>
  <si>
    <t>2017_12</t>
  </si>
  <si>
    <t>fire severity;temperature;precipitation</t>
  </si>
  <si>
    <t>δ13C</t>
  </si>
  <si>
    <t>δ18O</t>
  </si>
  <si>
    <t>post-fire intervention; herb-interference treatments;seedling age</t>
  </si>
  <si>
    <t>post-fire management: non-intervention, partial cut plus lopping or salvage logging. Herb-interference treatments: unweeded (no action around pine seedling) or weeded (herbaceous cover removed in a diameter of 50 cm around the pine seedling with a weeding</t>
  </si>
  <si>
    <t>seedling growth (stem height)</t>
  </si>
  <si>
    <t>seedling growth (stem diameter)</t>
  </si>
  <si>
    <t>woody species cover by functional trait</t>
  </si>
  <si>
    <t>2018_06</t>
  </si>
  <si>
    <t>composite burn index (severity);time since fire</t>
  </si>
  <si>
    <t>three severity levels (low, moderate, and high). Response variable grouped: For physiological traits, we analyzed (1) low SLA, (2) high SLA, (3) N2-fixing, and (4) no N2-fixing capacity. For regenerative traits, we analyzed (1) resprouters, (2) obligate seeders, (3) facultatives, (4) aboveground buds, (5) belowground buds, (6) heat-stimulated germination, and (7) no heat-stimulated germination.</t>
  </si>
  <si>
    <t>landscape compositional shifts</t>
  </si>
  <si>
    <t>remote sensing;plot</t>
  </si>
  <si>
    <t>2023_07_24</t>
  </si>
  <si>
    <t>pre vs. Post-fire;land cover</t>
  </si>
  <si>
    <t>physical variables:digital elevation model;topographic position index;aspect;Euclidean distance to streams</t>
  </si>
  <si>
    <t>maximum vegetation height</t>
  </si>
  <si>
    <t>severity;pre vs. Post-fire</t>
  </si>
  <si>
    <t>t/ha/year</t>
  </si>
  <si>
    <t>gravity check-dam</t>
  </si>
  <si>
    <t>pre vs. Post-fire;time since fire;flood- and erosion-control</t>
  </si>
  <si>
    <t>Short-Term Vegetation Response (dNBR)</t>
  </si>
  <si>
    <t>2022_07</t>
  </si>
  <si>
    <t>pre vs. Post-fire;vegetation type;severity</t>
  </si>
  <si>
    <t>vegetation mean height</t>
  </si>
  <si>
    <t>burned vs. unburned;vegetation type</t>
  </si>
  <si>
    <t>2017_10_30</t>
  </si>
  <si>
    <t>pre-fire conditions;severity;topography;time since fire;forest type</t>
  </si>
  <si>
    <t>topographic variables: altitude;slope;aspect;Topographic Ruggedness Index;curvature;flow acumulation</t>
  </si>
  <si>
    <t>erosion rate</t>
  </si>
  <si>
    <t xml:space="preserve"> check-dam</t>
  </si>
  <si>
    <t>*not clearly reported in the results</t>
  </si>
  <si>
    <t>Pinus halepensis dominant</t>
  </si>
  <si>
    <t>postfire management: Not sure if  this field should be NA or none. The article only says: Planted for silvicultural use, but has neither been grazed by livestock nor used for silvicultural purposes during the past 20 years.</t>
  </si>
  <si>
    <t>fire_date: "before 1960"</t>
  </si>
  <si>
    <t>1978_07</t>
  </si>
  <si>
    <t>1982_08</t>
  </si>
  <si>
    <t>1089_07</t>
  </si>
  <si>
    <t>1991_09</t>
  </si>
  <si>
    <t>Eucalyptus plantations and cork oak forests</t>
  </si>
  <si>
    <t>Eucalyptus plantations and cork oak forests, part of which consists of the typical semi-natural agro-forestry system (montado), and part consisting of more close forest stands. Meso-Mediterranean forest with other Mediterranean oaks species and other secondary Mediterranean autochthonous broad-leaves trees also present.</t>
  </si>
  <si>
    <t>2022_08</t>
  </si>
  <si>
    <t>Mediterranean forests</t>
  </si>
  <si>
    <t>vegetation types: Cork oak forest; Zean oak forest; Pine reforestations; Eucalyptus reforestations; Cork oak forest invaded by Acacia; Eucalyptus forest invaded by Acacia; Cork oak scrubland; Mixed Scrublands; Dune shrubland</t>
  </si>
  <si>
    <t>1974-1994</t>
  </si>
  <si>
    <t>38,976-49 &amp; 6,191-11</t>
  </si>
  <si>
    <t>fire_size: "the extent of the 1994 fires ranged from 49 ha to 38,976 ha, whereas the extent of the fires occurring between 1975 and 1993 ranged from 11 ha to 6,191 ha".  Extra information: each site consisted of two adjacent areas: 1) an area dominated by P. halepensis before 1994 and burned just once, in 1994, and 2) an area dominated by P. halepensis before 1994 and burned twice between 1975-1998, the first time sometime between 1975 and 1993 and the second time in 1994</t>
  </si>
  <si>
    <t>1986_09</t>
  </si>
  <si>
    <t>&gt;30000</t>
  </si>
  <si>
    <t>cork oak</t>
  </si>
  <si>
    <t>relatively low-density stand of cork oak (Quercus suber), with an understorey dominated by Mediterranean shrubs (Cistus monspeliensis, Ulex parviflorus, Erica arborea, Erica scoparia, Calicotome spinosa)</t>
  </si>
  <si>
    <t>holm oak forest; Aleppo pine forest</t>
  </si>
  <si>
    <t>Quercus ilex and Pinus halepensis forests and Mediterranean shrubs</t>
  </si>
  <si>
    <t>2017_07_04</t>
  </si>
  <si>
    <t>forest dominated by Quercus ilex, except for a minor part dominated by Pinus pinaster</t>
  </si>
  <si>
    <t>postfire_management: "silvicultural;erosion control; amendment". Se comparan 3 sitios: 1. Not Treated / 2. Salvage logging and mulching treatment / 3. Salvage logging, mulching and erosion control treatment</t>
  </si>
  <si>
    <t>Aleppo pine forest</t>
  </si>
  <si>
    <t>Pinus halepensis dominant and Quercus coccifera occupies the shrub strata</t>
  </si>
  <si>
    <t>Vegetation cover</t>
  </si>
  <si>
    <t>plot; relevé (5x5m)</t>
  </si>
  <si>
    <t>not been affected by fire; time-since-fire; aspect; elevation; inclination</t>
  </si>
  <si>
    <t>Total species number</t>
  </si>
  <si>
    <t>Mean species number per relevé</t>
  </si>
  <si>
    <t>Mean diversity (Shannon Wiener Index)</t>
  </si>
  <si>
    <t>Mean evenness</t>
  </si>
  <si>
    <t>Floristic similarity (Sørensen Index)</t>
  </si>
  <si>
    <t>pH (KCl)</t>
  </si>
  <si>
    <t>plot; relevé (5x5m); soil sample (upper 10-15cm)</t>
  </si>
  <si>
    <t>Carbonate content</t>
  </si>
  <si>
    <t xml:space="preserve"> Na+</t>
  </si>
  <si>
    <t xml:space="preserve">mg/l </t>
  </si>
  <si>
    <t xml:space="preserve"> K+</t>
  </si>
  <si>
    <t>Ca2+</t>
  </si>
  <si>
    <t xml:space="preserve"> Mg2+</t>
  </si>
  <si>
    <t>Cone opening percentage</t>
  </si>
  <si>
    <t>study site</t>
  </si>
  <si>
    <t>moderator_type: no hay ningún análisis estadístico. Me he basado en los factores por los que agrupan cada plot</t>
  </si>
  <si>
    <t>Seed content per cone after 100C treatment</t>
  </si>
  <si>
    <t>seeds/cone</t>
  </si>
  <si>
    <t>Seed germination</t>
  </si>
  <si>
    <t>controlled temperature for germination</t>
  </si>
  <si>
    <t>Time course of seed germination (T50)</t>
  </si>
  <si>
    <t>seed age</t>
  </si>
  <si>
    <t>variable_type: he visto en un ejemplo más arriba que ponéis vegetation, pero no sé si debería ser soil</t>
  </si>
  <si>
    <t>Final seed germination</t>
  </si>
  <si>
    <t>study site; cone age</t>
  </si>
  <si>
    <t>Soil seed bank density</t>
  </si>
  <si>
    <t>seeds/m2</t>
  </si>
  <si>
    <t>study site; soil sample (14 x 20 x 1 cm or 9.5 x 4 x 1 cm)</t>
  </si>
  <si>
    <t>1990_11</t>
  </si>
  <si>
    <t>study site; before/after postfire rainy season; burned/unburned areas</t>
  </si>
  <si>
    <t>Canopy seed bank size</t>
  </si>
  <si>
    <t>1993_05</t>
  </si>
  <si>
    <t>study site; month of dispersal season</t>
  </si>
  <si>
    <t>trees/ha</t>
  </si>
  <si>
    <t>Cones per tree</t>
  </si>
  <si>
    <t>cones/tree</t>
  </si>
  <si>
    <t>Seeds per cone</t>
  </si>
  <si>
    <t>Esta medida de seed content es diferente a la otra que aparece mas arriba</t>
  </si>
  <si>
    <t xml:space="preserve">Species occurrence </t>
  </si>
  <si>
    <t>binary (0/1)</t>
  </si>
  <si>
    <t>100-m line transect</t>
  </si>
  <si>
    <t>Total plant species richness</t>
  </si>
  <si>
    <t>years after fire; bedrock material</t>
  </si>
  <si>
    <t>Richness of leguminous taxa</t>
  </si>
  <si>
    <t>Plant regeneration mode</t>
  </si>
  <si>
    <t>plant life form</t>
  </si>
  <si>
    <t>Plant Bray-Curtis similarity</t>
  </si>
  <si>
    <t>NDVI (Normalized Difference Vegetation Index)</t>
  </si>
  <si>
    <t>Fire severity category; Land use land cover (LUCL); monthly rainfall; monthly mean temperature</t>
  </si>
  <si>
    <t>GNDVI (Green Normalized Vegetation Index)</t>
  </si>
  <si>
    <t>Fire severity category; LULC class; monthly rainfall; monthly mean temperature</t>
  </si>
  <si>
    <t>NDRE (Normalized Red-Edge Vegetation Index)</t>
  </si>
  <si>
    <t>NBR (Normalized Burn Ratio)</t>
  </si>
  <si>
    <t>NDWI (Normalized Difference Water Index)</t>
  </si>
  <si>
    <t>NVI_As (Radar Vegetation Index-Ascending orbith path)</t>
  </si>
  <si>
    <t>RVI_Ds (Radar Vegetation Index-Descending orbith path)</t>
  </si>
  <si>
    <t>RFDI_As (Radar Forest Degradation Index-Ascending orbith path)</t>
  </si>
  <si>
    <t>RFDI_Ds (Radar Forest Degradation Index-Descending orbith path)</t>
  </si>
  <si>
    <t>DPSVI_As (Dual-Polarization SAR Vegetation Inde-Ascending orbith path)</t>
  </si>
  <si>
    <t>DPSVI_Ds (Dual-Polarization SAR Vegetation Inde-Descending orbith path)</t>
  </si>
  <si>
    <t>co-polarized VV_As (Ascending orbith path)</t>
  </si>
  <si>
    <t>dB</t>
  </si>
  <si>
    <t>co-polarized VV_Ds (Descending orbith path)</t>
  </si>
  <si>
    <t>cross-polarized VH_As (Ascending orbith path)</t>
  </si>
  <si>
    <t>BRR (Burn Recovery Ratio) for NDVI</t>
  </si>
  <si>
    <t>moderator_type: lo siento, pero no he trabajado nunca con remote sensing y estoy perdidísima con estas métricas que calculan ratios sobre otras métricas. No sé si los moderators serían los mismos o serían las métricas en sí (NDVI / NBR / NVI)</t>
  </si>
  <si>
    <t>BRR (Burn Recovery Ratio) for NBR</t>
  </si>
  <si>
    <t>BRR (Burn Recovery Ratio) for NVI_As</t>
  </si>
  <si>
    <t>Distribution of the number of pixels (%) falling in every burn recovery ratio (BRR) category for NDVI</t>
  </si>
  <si>
    <t>Distribution of the number of pixels (%) falling in every burn recovery ratio (BRR) category for NBR</t>
  </si>
  <si>
    <t>Distribution of the number of pixels (%) falling in every burn recovery ratio (BRR) category for NVI_As</t>
  </si>
  <si>
    <t>Normalized Burn Ratio (NBR)</t>
  </si>
  <si>
    <t>2023_06</t>
  </si>
  <si>
    <t>forest condition (burned vs. unburned areas); forest type; study periods (pre-fire, post-fire, and regrowth)</t>
  </si>
  <si>
    <t>Normalized Difference Vegetation Index (NDVI)</t>
  </si>
  <si>
    <t>2022_10</t>
  </si>
  <si>
    <t>Tree Mortality</t>
  </si>
  <si>
    <t>Basal Resprouting</t>
  </si>
  <si>
    <t>Epicormic Resprouting</t>
  </si>
  <si>
    <t>Tree Seedling Regeneration</t>
  </si>
  <si>
    <t>Shrub Cover</t>
  </si>
  <si>
    <t>Forest Regrowth Rate</t>
  </si>
  <si>
    <t>Forest Regrowth Rate: medida que se obtienen de fusionar las medidas de remote sensing y las de campo, por lo que no sé qué poner en los campos que están en amarillo</t>
  </si>
  <si>
    <t>Forest Resilience Score</t>
  </si>
  <si>
    <t>Forest Resilience Score: medida que se obtienen de fusionar las medidas de remote sensing y las de campo, por lo que no sé qué poner en los campos que están en amarillo</t>
  </si>
  <si>
    <t>Mean plant height</t>
  </si>
  <si>
    <t>site; stand; transect; quadrat</t>
  </si>
  <si>
    <t>fire recurrence; fire interval; real solar radiation; precipitation</t>
  </si>
  <si>
    <t>Maximum plant height</t>
  </si>
  <si>
    <t>Mean height of vegetation?</t>
  </si>
  <si>
    <t>fire recurrence; fire interval; real solar radiation; precipitation; vegetation profile layer (herb, shrub, tree)</t>
  </si>
  <si>
    <t>grouped response variable</t>
  </si>
  <si>
    <t>Maximum height of tree species</t>
  </si>
  <si>
    <t>fire recurrence; fire interval; real solar radiation; precipitation; tree species (P. halepensis, Q.ilex, Q. Coccifera)</t>
  </si>
  <si>
    <t>Mean abundance of regeneration strategy?</t>
  </si>
  <si>
    <t>fire recurrence; fire interval; real solar radiation; precipitation; regeneration strategy (resprouters/resprouters-seeders/seeders-P. halepensis)</t>
  </si>
  <si>
    <t>grouped response variable (no sé si debería agruparlos con estas categorías o directamente meter todas las categorías en uno y quitar las filas que vereis debajo); response_unit: Total number of times that a species was present as dominant in a stand</t>
  </si>
  <si>
    <t>Mean abundance of life form?</t>
  </si>
  <si>
    <t>fire recurrence; fire interval; real solar radiation; precipitation; life form (Macrophanerophytes/Nanophanerophytes/Chamaephytes)</t>
  </si>
  <si>
    <t>grouped response variable; response_unit: Total number of times that a species was present as dominant in a stand</t>
  </si>
  <si>
    <t>Mean abundance of vegetation?</t>
  </si>
  <si>
    <t>fire recurrence; fire interval; real solar radiation; precipitation; vegetation profile layer (herbs, grasses, vines)</t>
  </si>
  <si>
    <t>Mean abundance of woody species?</t>
  </si>
  <si>
    <t>fire recurrence; fire interval; real solar radiation; precipitation; woody species groups (woody species / woody species-P. halepensis / P. halepensis)</t>
  </si>
  <si>
    <t>Total plant cover</t>
  </si>
  <si>
    <t>esta fila corresponde a una variable que midieron con toda la abundancia de todas las plantas y la de debajo es la que he crado yo agregrando las tres medidas individuales que hay en el artículo para herbáceas, arbustos y árbols</t>
  </si>
  <si>
    <t>fire recurrence; fire interval; real solar radiation; precipitation; vegetation profile (herb, shrub, tree)</t>
  </si>
  <si>
    <t>Pine density</t>
  </si>
  <si>
    <t>individuals/stand</t>
  </si>
  <si>
    <t>Percentage of pine trees bearing cones</t>
  </si>
  <si>
    <t>Fuel model (Rothermel types)</t>
  </si>
  <si>
    <t>Qualitative categories</t>
  </si>
  <si>
    <t>Bare areas</t>
  </si>
  <si>
    <t>Number of times present in quadrats</t>
  </si>
  <si>
    <t>Normalized Difference Vegetation Index (NDVI) of burned areas</t>
  </si>
  <si>
    <t>Normalized Difference Vegetation Index (NDVI) of unburned neighbouring areas</t>
  </si>
  <si>
    <t>QNDVI (quotient)</t>
  </si>
  <si>
    <t>years before and after fire (from 4th pre-fire to 8th year postfire)</t>
  </si>
  <si>
    <t>Mean vegetation cover?</t>
  </si>
  <si>
    <t>1987_05</t>
  </si>
  <si>
    <t>fire effect (pre-fire vs 8th year postfire); vegetation height (from "rock cover" to 16 m)</t>
  </si>
  <si>
    <t>Vertical vegetation profile</t>
  </si>
  <si>
    <t>Avifauna composition</t>
  </si>
  <si>
    <t>Average numbers of eight common bird species</t>
  </si>
  <si>
    <t>fire effect (pre-fire vs 8th year postfire)</t>
  </si>
  <si>
    <t>response_variable: no entiendo bien qué está midiendo esta variable (Table 2)</t>
  </si>
  <si>
    <t>Discharge</t>
  </si>
  <si>
    <t>L/s</t>
  </si>
  <si>
    <t>stream; reach; water sample</t>
  </si>
  <si>
    <t>2011_11</t>
  </si>
  <si>
    <t>fire-affected vs control</t>
  </si>
  <si>
    <t>Water temperature</t>
  </si>
  <si>
    <t>Photosynthetically Active Radiation (PAR)</t>
  </si>
  <si>
    <t>μmol m–2 s–1</t>
  </si>
  <si>
    <t>Conductivity</t>
  </si>
  <si>
    <t>Dissolved Oxigen (% saturation)</t>
  </si>
  <si>
    <t>NO3​−N concentration</t>
  </si>
  <si>
    <t>μg/L</t>
  </si>
  <si>
    <t>NH4−N concentration</t>
  </si>
  <si>
    <t>PO4−P concentration</t>
  </si>
  <si>
    <t>Riparian canopy cover</t>
  </si>
  <si>
    <t>stream; reach; leaf bag</t>
  </si>
  <si>
    <t xml:space="preserve">fire-affected vs control; time since fire; </t>
  </si>
  <si>
    <t>Leaf-litter breakdown rates</t>
  </si>
  <si>
    <t>fire-affected vs control; time since fire; mesh size</t>
  </si>
  <si>
    <t>Total litter input</t>
  </si>
  <si>
    <t>g m-2 d-1</t>
  </si>
  <si>
    <t>2011_10</t>
  </si>
  <si>
    <t>Leaf input</t>
  </si>
  <si>
    <t>Ash-free dry mass</t>
  </si>
  <si>
    <t xml:space="preserve">Mean abundance of shredders </t>
  </si>
  <si>
    <t>no./sample</t>
  </si>
  <si>
    <t>fire-affected vs control; time since fire; organism type (shredders, scapers, predators, gathering collectors y fitering collectors)</t>
  </si>
  <si>
    <t>Mean abundance of  scrapers</t>
  </si>
  <si>
    <t>Mean abundance of predators</t>
  </si>
  <si>
    <t>Mean abundance of gathering collectors</t>
  </si>
  <si>
    <t>Mean abundance of filtering collectors</t>
  </si>
  <si>
    <t xml:space="preserve">Mean biomass of total invertebrates </t>
  </si>
  <si>
    <t>mg/g</t>
  </si>
  <si>
    <t>no sé si debería agregar todas las mean abundances de total invertebrates, shredders, scapers, predators, gathering collectors y fitering collectors en una sola fila y poner en moderator type "organism type" o algo así y aquí en comentarios "grouped response variable"</t>
  </si>
  <si>
    <t xml:space="preserve">Mean biomass of shredders </t>
  </si>
  <si>
    <t>Mean biomass of predators</t>
  </si>
  <si>
    <t>Mean biomass of  scrapers</t>
  </si>
  <si>
    <t>Mean biomass of gathering collectors</t>
  </si>
  <si>
    <t>Mean biomass of filtering collectors</t>
  </si>
  <si>
    <t>management type;  forest type; time after fire; slope inclination; slope aspect; altitude; plant functional groups (phanerophytes, chamaephytes and nano-phanerophytes, hemicryptophytes without graminoids, therophytes without graminoids)</t>
  </si>
  <si>
    <t>Species richness (SR)</t>
  </si>
  <si>
    <t>management type;  forest type; time after fire; slope inclination; slope aspect; altitude</t>
  </si>
  <si>
    <t>Shannon index (H')</t>
  </si>
  <si>
    <t>Evenness (J)</t>
  </si>
  <si>
    <t>management type; forest type</t>
  </si>
  <si>
    <t>Species composition</t>
  </si>
  <si>
    <t>management type;  time after fire</t>
  </si>
  <si>
    <t>Height of woody resprouters</t>
  </si>
  <si>
    <t>management type;  forest type; time after fire; resprouting taxa (Erica arborea, Olea europaea, Phillyrea sp.,  Quercus ilex)</t>
  </si>
  <si>
    <t>Indicator species</t>
  </si>
  <si>
    <t>management type;  forest type; time after fire</t>
  </si>
  <si>
    <t>Frequency of resprouters</t>
  </si>
  <si>
    <t>Seed bank persistence (ratio persistent vs transient)</t>
  </si>
  <si>
    <t>Canopy cover</t>
  </si>
  <si>
    <t>2017_09</t>
  </si>
  <si>
    <t>management type; plant functional group (seeders/resprouters)</t>
  </si>
  <si>
    <t>Plant species diversity (Pielou Index)</t>
  </si>
  <si>
    <t>Plant species composition</t>
  </si>
  <si>
    <t>management type</t>
  </si>
  <si>
    <t>Plant species similarity</t>
  </si>
  <si>
    <t>los calculos de species similarity vienen de primero caracterizar las species compostion, así que no sñe is debería dejar ambas medidas o no</t>
  </si>
  <si>
    <t>Woody:non-woody species ratio</t>
  </si>
  <si>
    <t>response_units: en las que aparece "NA" es porque los valores están en el suplementario y en el manuscrito no dice nada de las unidades de medida</t>
  </si>
  <si>
    <t>Soil texture</t>
  </si>
  <si>
    <t>% clay, % loam, % sand</t>
  </si>
  <si>
    <t>Calcium carbonate content of limestone</t>
  </si>
  <si>
    <t>Nitrogen (%N)</t>
  </si>
  <si>
    <t>variable_subtype: utilizado como proxy de "nutriente cycling", por eso he puesto "ecological processes", pero no sé si debería ser "chemical properties" o "others"</t>
  </si>
  <si>
    <t xml:space="preserve">Total P content </t>
  </si>
  <si>
    <t xml:space="preserve">Total K content </t>
  </si>
  <si>
    <t xml:space="preserve">Total Ca content </t>
  </si>
  <si>
    <t xml:space="preserve">Total Na content </t>
  </si>
  <si>
    <t>Soil basal respiration (BR)</t>
  </si>
  <si>
    <t>μg hr−1 g−1 soil</t>
  </si>
  <si>
    <t>variable_subtype: utilizado como proxy de "climate regulation", por eso he puesto "ecosystem services"</t>
  </si>
  <si>
    <t>Soil organic carbon (%OC)</t>
  </si>
  <si>
    <t>Microbial biomass carbon (MBC)</t>
  </si>
  <si>
    <t>Soil water repellence (SWR)</t>
  </si>
  <si>
    <t>variable_subtype: utilizado como proxy de "water regulation", por eso he puesto "ecosystem services"</t>
  </si>
  <si>
    <t>Soil infiltration</t>
  </si>
  <si>
    <t>Soil dehydrogenase activity (SDA)</t>
  </si>
  <si>
    <t>μg INTF g−1 dry soil hr−1</t>
  </si>
  <si>
    <t>variable_subtype: utilizado como proxy de "waste decomposition", por eso he puesto "ecosystem services"</t>
  </si>
  <si>
    <t>μmol N-NH4+ g−1 dry soil hr−1</t>
  </si>
  <si>
    <t>Acid phosphatase (Acid-PA) activity</t>
  </si>
  <si>
    <t>μmol p-NP g−1 dry soil hr−1</t>
  </si>
  <si>
    <t>β-glucosidase (BA) activity</t>
  </si>
  <si>
    <t>Glomalin-related soil protein (GRSP) content</t>
  </si>
  <si>
    <t>variable_subtype: utilizado como proxy de "symbiosis", por eso he puesto "ecological processes"</t>
  </si>
  <si>
    <t>variable_subtype: utilizado como proxy de "woody production", por eso he puesto "ecosystem services"</t>
  </si>
  <si>
    <t>Multifunctionality index</t>
  </si>
  <si>
    <t>este indice engloba todas las medidas anteriores. No sé si debería incluirlo o no. Algunas de las medidas anteriores están agrupadas en subcategorías dentro este indice y se reportan los resultados de esas subcategoría- eso me ha heho dudar si solo debría poner esas subcategorias en las filas y decir luego que es una grouped response variable</t>
  </si>
  <si>
    <t>Pinus brutia</t>
  </si>
  <si>
    <t>same study site that no. 992</t>
  </si>
  <si>
    <t>&gt;65000</t>
  </si>
  <si>
    <t>Pinus halepensis;Pinus nigra;Quercus ilex;Quercus faginea</t>
  </si>
  <si>
    <t>fire_size: total size of the two fires combined</t>
  </si>
  <si>
    <t>~3000</t>
  </si>
  <si>
    <t>pine Pinus pinaster plantaion;Eucalyptus sp. plantation a lesser extent</t>
  </si>
  <si>
    <t>all-2016</t>
  </si>
  <si>
    <t>Deciduous oak forests</t>
  </si>
  <si>
    <t>elevation: altitude taken from table 3. postfire_management: Emergency stabilization interventions included mulching, erosion barriers, organic residue shredding, and seeding/planting</t>
  </si>
  <si>
    <t>all-2017</t>
  </si>
  <si>
    <t>Quercus pyrenaica;Quercus faginea;Quercus robur</t>
  </si>
  <si>
    <t>fire_id: they work with projects (15). Fire_date: before 2006, the funding was from 1994 to 2006. Origin_coords: whitout coords. They give the position of the 15 projects in a map. The study area is similar to 109. Lopes et al 2024.</t>
  </si>
  <si>
    <t>Whereas the Southern burnt area was dominated by Pinus halepensis forests in conglomerateclay soils, the Northern area was dominated by Pinus nigra ssp. salzmanii and Pinus sylvestris, all with a dense undergrowth of shrubs and Quercus ilex beneath the pines in loam-sandstone soils.</t>
  </si>
  <si>
    <t>postfire_management: the study specifically compares three types of post-fire treatments in burnt forests: (B) clear-cutting and removal of burnt trees with branches left on ground, (C) same as B but with branches subsequently shredded/piled, and (D) burnt shrublands with no tree cover.</t>
  </si>
  <si>
    <t>Pinus halepensis;Quercus pubescens;Quercus coccifera;Quercus ilex</t>
  </si>
  <si>
    <t>Burned once, sampled 18 months post-fire (Spring 2000).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</si>
  <si>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Burned once, sampled 3 years post-fire (Spring 2000).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</si>
  <si>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1979-1997</t>
  </si>
  <si>
    <t>Burned twice (1979 and 1997), sampled 4 years after last fire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</si>
  <si>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1973-1979-1997</t>
  </si>
  <si>
    <t>Burned three times, sampled 4 years after last fire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</si>
  <si>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1979-1989-1997</t>
  </si>
  <si>
    <t>Burned once (Chaîne des Côtes),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</si>
  <si>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1989-1995</t>
  </si>
  <si>
    <t>Burned twice (Chaîne des Côtes), short fire interval (~6 years).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</si>
  <si>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Burned once (Sainte Baume),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</si>
  <si>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Burned once (Regagnas), sampled Spring 2000.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</si>
  <si>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1979-1989</t>
  </si>
  <si>
    <t>Burned twice (Chaîne des Côtes),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</si>
  <si>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Reference site (30 years post-fire),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</si>
  <si>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2010_07_26</t>
  </si>
  <si>
    <t>~300</t>
  </si>
  <si>
    <t>Eucalypt plantation</t>
  </si>
  <si>
    <t>Eucalyptus globulus</t>
  </si>
  <si>
    <t xml:space="preserve"> 2021_08_14</t>
  </si>
  <si>
    <t xml:space="preserve"> summer </t>
  </si>
  <si>
    <t xml:space="preserve"> 939-2157</t>
  </si>
  <si>
    <t xml:space="preserve"> Pinus sylvestris;Quercus ilex</t>
  </si>
  <si>
    <t>severity: mixed severity. forest_details:  Pinus sylvestris L. (Scots pine) forests (obligate seeder), Quercus ilex L. (holm oak) woodlands (resprouter), Cytisus oromediterraneus shrublands (obligate seeder), grasslands (resprouter). Natural stands. Other_comments:  Fire burned between August 14th and 21st, 2021. Extreme weather during fire: 37°C, 4% relative humidity, 12 m/s wind. Mean fire return interval 33.2 years. Time since last fire &gt;35 years in 89.05% of area.</t>
  </si>
  <si>
    <t>1988_08_02</t>
  </si>
  <si>
    <t>Pinus pinea and Quercus ilex. Planted in 1960s; mature by 2006 but immature in 1988</t>
  </si>
  <si>
    <t>fire_size: The wildfire in 1988 burned 18.77 ha, while the wildfire in 2006 affected 13.82 ha. An overlap of 11.75 ha was burned by both fires in the central part of the study area. Fire_type: single porque son los datos de cada incendio, no la combinación.</t>
  </si>
  <si>
    <t>2006_06_08</t>
  </si>
  <si>
    <t>Pinus pinea and Quercus ilex. Planted in 1960s; mature by 2006.</t>
  </si>
  <si>
    <t>fire_size: The wildfire in 1988 burned 18.77 ha, while the wildfire in 2006 affected 13.82 ha. An overlap of 11.75 ha was burned by both fires in the central part of the study area. Fire_type: single porque son los datos de cada incendio, no la combinació</t>
  </si>
  <si>
    <t>1999_04</t>
  </si>
  <si>
    <t>Pinus halepensis (Aleppo pine) woodlands with an understorey composed of numerous shrubs</t>
  </si>
  <si>
    <t>1978_09_12</t>
  </si>
  <si>
    <t>&gt;4000</t>
  </si>
  <si>
    <t>Cork oak (Quercus suber)</t>
  </si>
  <si>
    <t>country: En Francia sólo hay un transecto que no sufrió incendios durante el estudio y se usó como referencia de bosque maduro.</t>
  </si>
  <si>
    <t>1986_07_19</t>
  </si>
  <si>
    <t>&gt;25000</t>
  </si>
  <si>
    <t>2012_07_22</t>
  </si>
  <si>
    <t>~10000</t>
  </si>
  <si>
    <t>2009_08</t>
  </si>
  <si>
    <t>Pinus pinaster, Erica arborea, Juniperus communis, Calluna vulgaris, and Arbutus unedo</t>
  </si>
  <si>
    <t>First of two fires; after this fire, Area 4 showed pine regeneration, Area 6 showed cork oak expansion</t>
  </si>
  <si>
    <t>2018_09</t>
  </si>
  <si>
    <t>Second fire; eliminated young pines in Area 4, further promoted cork oak in Area 6</t>
  </si>
  <si>
    <t>Pinus halepensis;Stipa tenacissima;Rosmarinus officinalis;Cistus clusii</t>
  </si>
  <si>
    <t>postfire_management: salvage logging (salvage logging was carried out six months after fire (Jan-Feb 2010). An untreated control area (UNCUT) was also established.)</t>
  </si>
  <si>
    <t>Pinus halepensis;Erica multiflora;Quercus coccifera;Pistacia lentiscus:Viburnum tinus</t>
  </si>
  <si>
    <t>postfire_management: thinning conducted only pre‑fire, not post‑fire.</t>
  </si>
  <si>
    <t>Total abundance</t>
  </si>
  <si>
    <t>No. individuals</t>
  </si>
  <si>
    <t>transect (sweep nets)</t>
  </si>
  <si>
    <t>2000_08</t>
  </si>
  <si>
    <t>Sampling was done monthly from August 2000–September 2001.</t>
  </si>
  <si>
    <t>No. species</t>
  </si>
  <si>
    <t>Species diversity (H’)</t>
  </si>
  <si>
    <t>Presence/absence of species</t>
  </si>
  <si>
    <r>
      <t>Post‑fire restoration need (N</t>
    </r>
    <r>
      <rPr>
        <vertAlign val="subscript"/>
        <sz val="11"/>
        <color theme="1"/>
        <rFont val="Calibri"/>
        <family val="2"/>
        <scheme val="minor"/>
      </rPr>
      <t>Rest</t>
    </r>
    <r>
      <rPr>
        <sz val="11"/>
        <color theme="1"/>
        <rFont val="Calibri"/>
        <family val="2"/>
        <scheme val="minor"/>
      </rPr>
      <t>)</t>
    </r>
  </si>
  <si>
    <t>binary (0 = no restoration needed, 1 = restoration needed)</t>
  </si>
  <si>
    <t>pre-fire densities of saplings;pre-fire presence of seedlings</t>
  </si>
  <si>
    <t>sampling_type: 412 permanent plots, IFN. Measure_date: IFN3</t>
  </si>
  <si>
    <t>Post-fire Quercus spp. sapling density resprouting</t>
  </si>
  <si>
    <t>ind./ha</t>
  </si>
  <si>
    <t>fire severity;pre-fire seed dispersal;resprouting ability</t>
  </si>
  <si>
    <t>sampling_type: 5‑m radius subplot, 412 plots IFN. Measure_date: IFN3. Saplings defined as 2.5‑7.5 cm diameter. Measured after fire. Areas with ≥80% tree damage and low post‑fire sapling densities required restoration. See Fig. 2 for post‑fire density ranges.</t>
  </si>
  <si>
    <t>Quercus spp. seedling density</t>
  </si>
  <si>
    <t>categorical (0 = no seedlings, 1 = 1‑4, 2 = 5‑15, 3 = ≥15 seedlings/plot)</t>
  </si>
  <si>
    <t>sampling_type: 5‑m radius subplot, 412 plots IFN. Measure_date: IFN3. Seedlings &lt;2.5 cm diameter. Semi‑quantitative categories measured after fire. Used to assess post‑fire recovery potential.</t>
  </si>
  <si>
    <r>
      <t>probability of restoration need P(N</t>
    </r>
    <r>
      <rPr>
        <vertAlign val="subscript"/>
        <sz val="11"/>
        <color theme="1"/>
        <rFont val="Calibri"/>
        <family val="2"/>
        <scheme val="minor"/>
      </rPr>
      <t>Rest</t>
    </r>
    <r>
      <rPr>
        <sz val="11"/>
        <color theme="1"/>
        <rFont val="Calibri"/>
        <family val="2"/>
        <scheme val="minor"/>
      </rPr>
      <t>)</t>
    </r>
  </si>
  <si>
    <t>unitless (0 to 1)</t>
  </si>
  <si>
    <t>Measure_date: IFN3</t>
  </si>
  <si>
    <t>Total saved cost from seed dispersal and resprouting</t>
  </si>
  <si>
    <t>€/ha</t>
  </si>
  <si>
    <t>management scenario (Sc.1, Sc.2, Sc.3);pre‑fire sapling density;pre‑fire seedling presence;dominant pine species (P. nigra only)</t>
  </si>
  <si>
    <t>sampling_type: replacement cost method applied to plot data (243 plots for P. nigra). Measure_date: IFN3</t>
  </si>
  <si>
    <t>Understory biomass</t>
  </si>
  <si>
    <t>Mg/ha</t>
  </si>
  <si>
    <t>quadrat</t>
  </si>
  <si>
    <t>fire recurrence;salvage logging</t>
  </si>
  <si>
    <t>Pinus pinaster regeneration biomass</t>
  </si>
  <si>
    <t>Root biomass (0-5 cm depth)</t>
  </si>
  <si>
    <r>
      <t>250 cm</t>
    </r>
    <r>
      <rPr>
        <vertAlign val="superscript"/>
        <sz val="11"/>
        <color theme="1"/>
        <rFont val="Calibri"/>
        <family val="2"/>
        <scheme val="minor"/>
      </rPr>
      <t>3</t>
    </r>
    <r>
      <rPr>
        <sz val="11"/>
        <color theme="1"/>
        <rFont val="Calibri"/>
        <family val="2"/>
        <scheme val="minor"/>
      </rPr>
      <t xml:space="preserve">  soil cylinder</t>
    </r>
  </si>
  <si>
    <t>Soil organic carbon (SOC) content</t>
  </si>
  <si>
    <t>% dry weight</t>
  </si>
  <si>
    <t>Soil organic carbon (SOC) stock (0-5 cm)</t>
  </si>
  <si>
    <t>Mg C/ha</t>
  </si>
  <si>
    <t>Litter biomass</t>
  </si>
  <si>
    <t>Soil bulk density</t>
  </si>
  <si>
    <r>
      <t>Mg/m</t>
    </r>
    <r>
      <rPr>
        <vertAlign val="superscript"/>
        <sz val="11"/>
        <color theme="1"/>
        <rFont val="Calibri"/>
        <family val="2"/>
        <scheme val="minor"/>
      </rPr>
      <t>3</t>
    </r>
  </si>
  <si>
    <t>Total carbon stock</t>
  </si>
  <si>
    <t>Three different plots (33 m x 33 m) separated by approximately 500 m were selected in each area studied: (1) unburned, 1 fire and 4 fires for the fire recurrence question and (2) typical and conservation for the logging technique question.</t>
  </si>
  <si>
    <t>Aboveground carbon stock</t>
  </si>
  <si>
    <t>Belowground carbon stock</t>
  </si>
  <si>
    <t>Biomass carbon stock (vegetation + litter + roots)</t>
  </si>
  <si>
    <t>unitless (0-1)</t>
  </si>
  <si>
    <t>point</t>
  </si>
  <si>
    <t>2016 or 2017</t>
  </si>
  <si>
    <t xml:space="preserve"> postfire restoration (intervention);fire severity (dNBR);fire recurrence;time since last fire;Palmer Drought Severity Index (PDSI);topography(aspect;elevation;slope)</t>
  </si>
  <si>
    <t>sampling_type: 15‑m radius circle, median zonal statistics. measure_date: First monthly composite after each fire (2016 or 2017); exact date not specified</t>
  </si>
  <si>
    <t xml:space="preserve"> Forest stand volume </t>
  </si>
  <si>
    <t>m³ /ha</t>
  </si>
  <si>
    <t xml:space="preserve"> afforestation (presence/absence) </t>
  </si>
  <si>
    <t>variable_subtype: In the article all metrics are described as "ecosytem services proxies". Sampling_type:  500 m² circular plot.</t>
  </si>
  <si>
    <t xml:space="preserve"> Q. pyrenaica stand volume </t>
  </si>
  <si>
    <t xml:space="preserve"> Tree carbon </t>
  </si>
  <si>
    <t>t/ha</t>
  </si>
  <si>
    <t xml:space="preserve"> Understory carbon </t>
  </si>
  <si>
    <t xml:space="preserve">variable_subtype: In the article all metrics are described as "ecosytem services proxies".  Sampling_type: 3 linear 10-m transects </t>
  </si>
  <si>
    <t xml:space="preserve"> Litter carbon </t>
  </si>
  <si>
    <t xml:space="preserve">variable_subtype: In the article all metrics are described as "ecosytem services proxies".  Sampling_type: 3 quadrats of 0.0625 m² </t>
  </si>
  <si>
    <t xml:space="preserve"> Total carbon </t>
  </si>
  <si>
    <t>plot;transect;quadrat</t>
  </si>
  <si>
    <t>variable_subtype: In the article all metrics are described as "ecosytem services proxies". Sampling_type: sum of tree carbon, understory carbon and litter carbon (including tree roots and excluding soil carbon).</t>
  </si>
  <si>
    <t xml:space="preserve"> Fuel loading </t>
  </si>
  <si>
    <t>variable_subtype: In the article all metrics are described as "ecosytem services proxies". Sampling_type:  sum of understory biomass and litter biomass.</t>
  </si>
  <si>
    <t xml:space="preserve"> Floristic species richness (⁰D) </t>
  </si>
  <si>
    <t xml:space="preserve"> spring </t>
  </si>
  <si>
    <t>variable_subtype: In the article all metrics are described as "ecosytem services proxies".</t>
  </si>
  <si>
    <t xml:space="preserve"> Shannon effective diversity (¹D) </t>
  </si>
  <si>
    <t xml:space="preserve"> Simpson effective diversity (²D) </t>
  </si>
  <si>
    <t xml:space="preserve"> Q. pyrenaica natural regeneration </t>
  </si>
  <si>
    <t>No/ha</t>
  </si>
  <si>
    <t xml:space="preserve"> Soil Quality Index (SQI) </t>
  </si>
  <si>
    <t>unitless (index)</t>
  </si>
  <si>
    <t>soil sample</t>
  </si>
  <si>
    <t xml:space="preserve">variable_subtype: In the article all metrics are described as "ecosytem services proxies". Sampling_type:   </t>
  </si>
  <si>
    <t xml:space="preserve"> Organic Carbon Content (SOC) </t>
  </si>
  <si>
    <t>g/kg</t>
  </si>
  <si>
    <t>variable_subtype: In the article all metrics are described as "ecosytem services proxies". Sampling_type:  composite soil sample from 3 transects (0–5 cm depth)-</t>
  </si>
  <si>
    <t xml:space="preserve"> C/N ratio </t>
  </si>
  <si>
    <t>Rabbit abundance</t>
  </si>
  <si>
    <t>no. pellets/plot</t>
  </si>
  <si>
    <t>post-fire forest treatment (type B, C, D);soil covered by vegetation with or without presence of branches;soil covereg by vegetation without burnt branches;soil covered by vegetation with burnt branches;soil covered by plant species; bare ground surface</t>
  </si>
  <si>
    <t>sampling_type: data by plot, but measures were made by transects inside plots. Moderator_type: in table 1</t>
  </si>
  <si>
    <t>Rate of change in rabbit abundance</t>
  </si>
  <si>
    <t>unitless (calculated as (pellets2008 - pellets2006)/(pellets2006+1))</t>
  </si>
  <si>
    <t>post-fire forest treatment (type B, C, D)</t>
  </si>
  <si>
    <t>sampling_type: data by plot, but measures were made by transects inside plots. Measure_date: 2006_06 and 2008_06 but also in 2007_06.</t>
  </si>
  <si>
    <t>Abundance of living individuals</t>
  </si>
  <si>
    <t>individuals / 250 m²</t>
  </si>
  <si>
    <t>fire regime (number of fires, fire intervals, age of last fire)</t>
  </si>
  <si>
    <t>measure_date: Spring 2000 for 1998 and 1997 sites; Spring 2001 for other sites</t>
  </si>
  <si>
    <t>Abundance of fresh shells + living individuals</t>
  </si>
  <si>
    <t>no. of species / site</t>
  </si>
  <si>
    <t>Equitability</t>
  </si>
  <si>
    <t>Community composition (CA axes 1-2)</t>
  </si>
  <si>
    <t>post-fire habitat structure (grassland/garrigue/woods);geographical location (mountainous area);fire interval (short vs. long)</t>
  </si>
  <si>
    <t>Community similarity (Sørensen index)</t>
  </si>
  <si>
    <t>geographical location (north vs. south);mountainous area;pre-fire vegetation</t>
  </si>
  <si>
    <t>Presence of species by habitat guild</t>
  </si>
  <si>
    <t>presence/absence</t>
  </si>
  <si>
    <t>fire regime; post-fire habitat structure</t>
  </si>
  <si>
    <t>PCA.pH (topsoil)</t>
  </si>
  <si>
    <t>unitless (in H₂O)</t>
  </si>
  <si>
    <t>2010_09_21</t>
  </si>
  <si>
    <t>time since fire (months)</t>
  </si>
  <si>
    <t>Values ranged from 6.0 (2 months post-fire) to 4.0 (25 months post-fire)</t>
  </si>
  <si>
    <t>PCA.Total Organic Carbon (TOC) (topsoil)</t>
  </si>
  <si>
    <t>Values: 154 (2 months), 96 (7 months), 97 (14 months), 84 (25 months)</t>
  </si>
  <si>
    <t>PCA.Total Nitrogen (TN) (topsoil)</t>
  </si>
  <si>
    <t>Values: 14 (2 months), 9 (7 months), 7 (14 months), 8 (25 months)</t>
  </si>
  <si>
    <t>PCA.TOC/TN ratio (topsoil)</t>
  </si>
  <si>
    <t>Values: 11 (2 months), 10.7 (7 months), 13.9 (14 months), 10.5 (25 months)</t>
  </si>
  <si>
    <t>PCA.pH (eroded sediments SF-EB)</t>
  </si>
  <si>
    <t>unitless (0-14 in H₂O)</t>
  </si>
  <si>
    <t>sediment fence</t>
  </si>
  <si>
    <t>Values: 6.5 (2 months), 5.3 (7 months), 5.0 (14 months), 4.2 (25 months)</t>
  </si>
  <si>
    <t>PCA.Total Organic Carbon (TOC) (eroded sediments)</t>
  </si>
  <si>
    <t>Values: 255 (2 months), 255 (7 months), 132 (14 months), 312 (25 months)</t>
  </si>
  <si>
    <t>PCA.Total Nitrogen (TN) (eroded sediments)</t>
  </si>
  <si>
    <t>Values: 15 (2 months), 17 (7 months), 12 (14 months), 27 (25 months)</t>
  </si>
  <si>
    <t>PCA.TOC/TN ratio (eroded sediments)</t>
  </si>
  <si>
    <t>Values: 17 (2 months), 15 (7 months), 11 (14 months), 12 (25 months)</t>
  </si>
  <si>
    <t>PCA.Cumulative sediment loss</t>
  </si>
  <si>
    <t>kg/ha</t>
  </si>
  <si>
    <t>time since fire (months);rainfall amount</t>
  </si>
  <si>
    <t>Values: 90 (2 months), 1048 (7 months), 1100 (14 months), 1306 (25 months)</t>
  </si>
  <si>
    <t>PCA.n-alkanes/enes: short-to-long chain ratio (∑C9-C22/∑C23-C31)</t>
  </si>
  <si>
    <t>unitless (ratio)</t>
  </si>
  <si>
    <t>EB (eucalyptus burnt)) topsoil: 6.9 (2 months), 4.5 (7 months), 3.4 (14 months), 3.6 (25 months)</t>
  </si>
  <si>
    <t>PCA.n-alkanes/enes: Carbon Preference Index (CPI)</t>
  </si>
  <si>
    <t>unitless (odd/even)</t>
  </si>
  <si>
    <t>EB (eucalyptus burnt) topsoil: 2.4 (2 months), 3.8 (7 months), 3.0 (14 months), 3.1 (25 months)</t>
  </si>
  <si>
    <t>PCA.n-alkanes/enes: Average Chain Length (ACL)</t>
  </si>
  <si>
    <t>EB (eucalyptus burnt) topsoil: 17.2 (2 months), 19.2 (7 months), 20.9 (14 months), 23.5 (25 months)</t>
  </si>
  <si>
    <t>PCA.Aromatic non-specific compounds (relative abundance in topsoil)</t>
  </si>
  <si>
    <t>% of total pyrogram area</t>
  </si>
  <si>
    <t>EB (eucalyptus burnt) topsoil: 40-52% across sampling periods (higher than unburnt)</t>
  </si>
  <si>
    <t>PCA.N-compounds (relative abundance in topsoil)</t>
  </si>
  <si>
    <t>EB (eucalyptus burnt) topsoil: 3-6% (unburnt: 1-2%)</t>
  </si>
  <si>
    <t>PCA.Terpenoids (relative abundance in topsoil)</t>
  </si>
  <si>
    <t>EB (eucalyptus burnt) topsoil: 1-3% (unburnt: 23-30%). Includes eucalyptol and globulol (Eucalyptus globulus biomarkers)</t>
  </si>
  <si>
    <t>PCA.Lignin-derived compounds (relative abundance in topsoil)</t>
  </si>
  <si>
    <t>EB (eucalyptus burnt) topsoil: 1-3% (unburnt: ~4%). Eugenol absent in burnt samples</t>
  </si>
  <si>
    <t>PCA.Polysaccharide-derived compounds (relative abundance in topsoil)</t>
  </si>
  <si>
    <t>EB (eucalyptus burnt) topsoil: 7-10%. d-allose absent in burnt samples</t>
  </si>
  <si>
    <t>PCA.Hydroaromatic steroids (relative abundance in topsoil)</t>
  </si>
  <si>
    <t>EB (eucalyptus burnt) topsoil: ~1% (unburnt: ~2%)</t>
  </si>
  <si>
    <r>
      <t>Fractional Vegetation Cover recovery percentage (FCOVER</t>
    </r>
    <r>
      <rPr>
        <vertAlign val="subscript"/>
        <sz val="11"/>
        <color theme="1"/>
        <rFont val="Calibri"/>
        <family val="2"/>
        <scheme val="minor"/>
      </rPr>
      <t>%rec</t>
    </r>
    <r>
      <rPr>
        <sz val="11"/>
        <color theme="1"/>
        <rFont val="Calibri"/>
        <family val="2"/>
        <scheme val="minor"/>
      </rPr>
      <t>)</t>
    </r>
  </si>
  <si>
    <t>pixel-based;plot</t>
  </si>
  <si>
    <t>Fire severity;Climate;Post‑fire soil moisture);Pre‑fire soil condition;Landscape configuration</t>
  </si>
  <si>
    <t>moderator_type: see Table 2 in the article (page 5) for all moderators and abbreviations (31 variables). Fire severity (dNBR); Climate (MAT, MTW, TAR, TS, AP, PW, PS); Post‑fire soil moisture (SSM_monthly, SSM_spring, SWI_monthly, SWI_spring); Pre‑fire soil condition (WRB_type, WRB_par, WRB_tex, pH, SOC, CaCO3, CEC, C:N, N, P, K, BD, clay, sand, silt); Landscape configuration (slope, roughness, TWI, HLI, SEI, TPI)</t>
  </si>
  <si>
    <t>Stand tree density</t>
  </si>
  <si>
    <t>no. trees/ha</t>
  </si>
  <si>
    <t>fire severity;fire recurrence;pre‑fire vegetation structure</t>
  </si>
  <si>
    <t>Measured in dense forest and open forest; values for each fire scenario. sampling_type: plot (5 m radius)</t>
  </si>
  <si>
    <t>Diameter at breast height (DBH)</t>
  </si>
  <si>
    <t>Reported for dense forest only. sampling_type: plot (5 m radius)</t>
  </si>
  <si>
    <t>Canopy base height</t>
  </si>
  <si>
    <t>Reported for dense forest and open forest. sampling_type: plot (5 m radius)</t>
  </si>
  <si>
    <t>Pine regeneration</t>
  </si>
  <si>
    <t>Measured as total number of pine seedlings (&lt;2.5 m height) per hectare. sampling_type: plot (5 m radius)</t>
  </si>
  <si>
    <t>Shrub cover fraction</t>
  </si>
  <si>
    <t>Reported for dense forest, open forest, and dense shrubland. sampling_type: plot (5 m radius)</t>
  </si>
  <si>
    <t>Number of woody species</t>
  </si>
  <si>
    <t>Includes all woody species (shrubs and trees &lt;2.5 m). sampling_type: plot (5 m radius)</t>
  </si>
  <si>
    <t>Sørensen similarity index</t>
  </si>
  <si>
    <t>unitless (0–1)</t>
  </si>
  <si>
    <t>Compared to unburned control. Higher values indicate greater species similarity. sampling_type: plot (5 m radius)</t>
  </si>
  <si>
    <t>Jaccard similarity index</t>
  </si>
  <si>
    <t>Species occupancy response (significant increase/decrease)</t>
  </si>
  <si>
    <t>Qualitative response for individual species (see Table 5). Reported as + (increase) or − (decrease) relative to control. sampling_type: plot (5 m radius)</t>
  </si>
  <si>
    <t>Change in dense forest cover</t>
  </si>
  <si>
    <t>remote sensing (orthophoto, landscape level)</t>
  </si>
  <si>
    <t>2004; 2021</t>
  </si>
  <si>
    <t>Negative values indicate loss, positive values gain. Measured for two periods: 1984‑2004 (post‑1988 fire) and 2004‑2021 (post‑2006 fire).</t>
  </si>
  <si>
    <t>Change in open forest cover</t>
  </si>
  <si>
    <t>Negative values indicate loss, positive values gain. Periods as above.</t>
  </si>
  <si>
    <t>Change in dense shrubland cover</t>
  </si>
  <si>
    <t>Change in sparse shrubland cover</t>
  </si>
  <si>
    <t>Litter cover</t>
  </si>
  <si>
    <t>plot;quadrat</t>
  </si>
  <si>
    <t>1999_12</t>
  </si>
  <si>
    <t>fire severity (low, moderate, high)</t>
  </si>
  <si>
    <t>Measured 8 months after fire. High severity &lt;5%, low and moderate ~45%.</t>
  </si>
  <si>
    <t>Total vegetation cover</t>
  </si>
  <si>
    <t>No significant relation to severity.</t>
  </si>
  <si>
    <t>Herbaceous cover</t>
  </si>
  <si>
    <t>Seedling density (8 months post‑fire)</t>
  </si>
  <si>
    <t>individuals/m²</t>
  </si>
  <si>
    <t>8 months post‑fire. Range 0.1–1.43 (mean 0.45). Highest in low severity but not significant (p=0.27).</t>
  </si>
  <si>
    <t>Seedling density (13 months post‑fire)</t>
  </si>
  <si>
    <t>2000_05</t>
  </si>
  <si>
    <t>13 months post‑fire. No significant difference (F=3.21, p=0.07).</t>
  </si>
  <si>
    <t>Seedling density (19 months post‑fire)</t>
  </si>
  <si>
    <t>2000_11</t>
  </si>
  <si>
    <t>19 months post‑fire. No significant difference (F=0.27, p=0.84).</t>
  </si>
  <si>
    <t>Seedling density (29 months post‑fire)</t>
  </si>
  <si>
    <t>2001_09</t>
  </si>
  <si>
    <t>29 months post‑fire. Range 0.01–0.52 (mean 0.27). No significant relation.</t>
  </si>
  <si>
    <t>Seedling mortality (by cohorts)</t>
  </si>
  <si>
    <t>fire severity; Brachypodium retusum cover</t>
  </si>
  <si>
    <t>Data for cohorts I–III (Fig 2b). Cohort I: 37% mortality after 2.5 years. Lower in high severity but not significant (p=0.34). Grass cover significantly associated with mortality (Fig 5).</t>
  </si>
  <si>
    <t>Seedling height (by cohorts)</t>
  </si>
  <si>
    <t>plot;seedling</t>
  </si>
  <si>
    <t>Data for cohorts I–IV (Fig 4a). High severity consistently taller than low/moderate. ANOVA: cohort I p&lt;0.0001, II p=0.004, III p=0.003, IV p=0.001.</t>
  </si>
  <si>
    <t>Seedling diameter</t>
  </si>
  <si>
    <t>Cohort I only (29 months). High severity (0.42) &gt; low (0.21) and moderate (0.24); p&lt;0.0001.</t>
  </si>
  <si>
    <t>Number of branches</t>
  </si>
  <si>
    <t>#</t>
  </si>
  <si>
    <t>Cohort I only (29 months). High severity (10.7) &gt; low (4.0) and moderate (3.7); p&lt;0.001.</t>
  </si>
  <si>
    <t>Leaf biomass</t>
  </si>
  <si>
    <t>sampling_type: destructive sampling (10 seedlings per severity). Cohort I only. High severity significantly higher than low (p&lt;0.0001).</t>
  </si>
  <si>
    <t>Aboveground woody biomass</t>
  </si>
  <si>
    <t>sampling_type: destructive sampling (10 seedlings per severity). Cohort I only. High severity significantly higher than low (p&lt;0.001).</t>
  </si>
  <si>
    <t>Root biomass</t>
  </si>
  <si>
    <t>sampling_type: destructive sampling (10 seedlings per severity). Cohort I only. High severity significantly higher than low (p&lt;0.01).</t>
  </si>
  <si>
    <t>Root/shoot ratio</t>
  </si>
  <si>
    <t>sampling_type: destructive sampling (10 seedlings per severity).  No significant difference between low and high severity (ns).</t>
  </si>
  <si>
    <t>Resprouting failure of woody species</t>
  </si>
  <si>
    <t>Increased with severity: low (30.6%), moderate (39.9%), high (61.2%); p&lt;0.05.</t>
  </si>
  <si>
    <r>
      <t xml:space="preserve">Seedling spatial pattern (Ripley’s K-function </t>
    </r>
    <r>
      <rPr>
        <sz val="11"/>
        <color theme="1"/>
        <rFont val="Aptos Narrow"/>
        <family val="2"/>
      </rPr>
      <t>√</t>
    </r>
    <r>
      <rPr>
        <sz val="11"/>
        <color theme="1"/>
        <rFont val="Calibri"/>
        <family val="2"/>
        <scheme val="minor"/>
      </rPr>
      <t>[K(t)/</t>
    </r>
    <r>
      <rPr>
        <sz val="11"/>
        <color theme="1"/>
        <rFont val="Aptos Narrow"/>
        <family val="2"/>
      </rPr>
      <t>π</t>
    </r>
    <r>
      <rPr>
        <sz val="11"/>
        <color theme="1"/>
        <rFont val="Calibri"/>
        <family val="2"/>
        <scheme val="minor"/>
      </rPr>
      <t>]−t)</t>
    </r>
  </si>
  <si>
    <t>m (qualitative only)</t>
  </si>
  <si>
    <t>1999_12 to 2001_09</t>
  </si>
  <si>
    <t>none (descriptive)</t>
  </si>
  <si>
    <t>All plots showed aggregated pattern (Fig 6b). No clear relation to severity.</t>
  </si>
  <si>
    <t>Seedling spatial pattern (bivariate: seedlings vs. adults)</t>
  </si>
  <si>
    <t>No association between seedlings and mother trees (Fig 6a).</t>
  </si>
  <si>
    <t>Bird abundance (by species)</t>
  </si>
  <si>
    <t>individuals/km²</t>
  </si>
  <si>
    <t>years since fire;fire number;transect</t>
  </si>
  <si>
    <t>response_variable: several species (Luscinia megarhynchos, Sylvia melanocephala, Sylvia undata, Fringilla coelebs, Regulus ignicapilla, Certhia brachydactyla, Erithacus rubecula, Troglodytes troglodytes, Lullula arborea, Emberiza hortulana, Carduelis cannabina, Lanius senator, Picus viridis, Hippolais polyglotta, Dendrocopos major, Parus major, Turdus merula, Sylvia cantillans, Serinus serinus). Measure_date: several years. moderator_type: fire number_(1st,2nd,3rd);transect_(C, L)</t>
  </si>
  <si>
    <t>Bird community – Euclidian distance to prefire control (CA axes 1-2)</t>
  </si>
  <si>
    <t>Measure_date: several years. moderator_type: fire number_(1st,2nd,3rd);transect_(C, L)</t>
  </si>
  <si>
    <t>Bird community – Indexation on reference grassland-to-forest gradient</t>
  </si>
  <si>
    <t>years since fire;transect</t>
  </si>
  <si>
    <t>Measure_date: several years.</t>
  </si>
  <si>
    <t>Bird community – Alpha diversity (conditional within-sample variance on CA axes 1-2)</t>
  </si>
  <si>
    <t>Bird species richness (number of species recorded)</t>
  </si>
  <si>
    <t>vegetation cover (by vegetation heights)</t>
  </si>
  <si>
    <t>years since fire;fire number</t>
  </si>
  <si>
    <t>Data of vegetation cover (0–0.25 m; 0.25–0.5 m; 0.5–1 m; 1–2 m; 2–4 m; 4–8 m;  8–16 m). Sampling_type: 5–8 m for lower layers to about 20 m for higher layers. Measure_date: several years.</t>
  </si>
  <si>
    <t>rock cover</t>
  </si>
  <si>
    <t>Sampling_type: 5–8 m for lower layers to about 20 m for higher layers. Measure_date: several years.</t>
  </si>
  <si>
    <t>Foliage volume index</t>
  </si>
  <si>
    <t>unitless (sum of cover × layer thickness)</t>
  </si>
  <si>
    <t>Euclidian distance to prefire control (CA axes 1-2)</t>
  </si>
  <si>
    <t>Oak mortality rate</t>
  </si>
  <si>
    <t>fire number (3rd vs earlier)</t>
  </si>
  <si>
    <t>Sampling_type: point observation. Measure_date: after third fire.</t>
  </si>
  <si>
    <t>Number of cork oak trees (N_T)</t>
  </si>
  <si>
    <t>2021_01_12</t>
  </si>
  <si>
    <t>area (Area 4 vs Area 6)</t>
  </si>
  <si>
    <t>sampling_type: plot (10 x 10 m), pixel (1 x 1 m).</t>
  </si>
  <si>
    <t>Height of cork oak trees (H_T)</t>
  </si>
  <si>
    <t>Bare ground coverage (BG)</t>
  </si>
  <si>
    <t>sqm</t>
  </si>
  <si>
    <t>Herbaceous/shrubs layer coverage (H‑S)</t>
  </si>
  <si>
    <t>Crown of cork oak trees coverage (C)</t>
  </si>
  <si>
    <t>Total vegetation coverage (TC)</t>
  </si>
  <si>
    <t>area (Area 4 vs Area 6);number of burnt pine logs</t>
  </si>
  <si>
    <t>Diameter of cork tree trunks (DTT)</t>
  </si>
  <si>
    <t>Number of burnt pine logs on ground (NBPL)</t>
  </si>
  <si>
    <t>Diameter of burnt pine logs (DBPL)</t>
  </si>
  <si>
    <t>Diameter of cork tree trunks (ground validation)</t>
  </si>
  <si>
    <t>2021_05‑06</t>
  </si>
  <si>
    <t>sampling_type: plot (10 x 10 m)</t>
  </si>
  <si>
    <t>Diameter of burnt pine logs (ground validation)</t>
  </si>
  <si>
    <t>Floristic composition (species presence/cover)</t>
  </si>
  <si>
    <t>Herbaceous/shrub layer coverage (ground validation)</t>
  </si>
  <si>
    <t>Number of species per plot</t>
  </si>
  <si>
    <t>Pinus halepensis seedling density</t>
  </si>
  <si>
    <t>post‑fire management</t>
  </si>
  <si>
    <t>moderator_type: post-fire management (UNCUT vs salvage LOGGING)</t>
  </si>
  <si>
    <t>Pinus halepensis seedling height</t>
  </si>
  <si>
    <t>Pinus halepensis seedling survival ratio</t>
  </si>
  <si>
    <t>Survival ratio (by species)</t>
  </si>
  <si>
    <t>moderator_type: species (Stipa tenacissima;Rosmarinus officinalis;Cistus clusii)</t>
  </si>
  <si>
    <r>
      <t>Predawn leaf water potential (Ψ</t>
    </r>
    <r>
      <rPr>
        <vertAlign val="subscript"/>
        <sz val="11"/>
        <color theme="1"/>
        <rFont val="Calibri"/>
        <family val="2"/>
        <scheme val="minor"/>
      </rPr>
      <t>PD</t>
    </r>
    <r>
      <rPr>
        <sz val="11"/>
        <color theme="1"/>
        <rFont val="Calibri"/>
        <family val="2"/>
        <scheme val="minor"/>
      </rPr>
      <t>) (by species)</t>
    </r>
  </si>
  <si>
    <t>MPa</t>
  </si>
  <si>
    <t>species;post‑fire management;induced drought;sampling period</t>
  </si>
  <si>
    <r>
      <t>Predawn leaf water potential (Ψ</t>
    </r>
    <r>
      <rPr>
        <vertAlign val="subscript"/>
        <sz val="11"/>
        <color theme="1"/>
        <rFont val="Calibri"/>
        <family val="2"/>
        <scheme val="minor"/>
      </rPr>
      <t>PD</t>
    </r>
    <r>
      <rPr>
        <sz val="11"/>
        <color theme="1"/>
        <rFont val="Calibri"/>
        <family val="2"/>
        <scheme val="minor"/>
      </rPr>
      <t>) Quercus coccifera</t>
    </r>
  </si>
  <si>
    <t>post‑fire management;induced drought</t>
  </si>
  <si>
    <t>lo separo porque está medido en distinto momento</t>
  </si>
  <si>
    <r>
      <t>Predawn leaf water potential (Ψ</t>
    </r>
    <r>
      <rPr>
        <vertAlign val="subscript"/>
        <sz val="11"/>
        <color theme="1"/>
        <rFont val="Calibri"/>
        <family val="2"/>
        <scheme val="minor"/>
      </rPr>
      <t>PD</t>
    </r>
    <r>
      <rPr>
        <sz val="11"/>
        <color theme="1"/>
        <rFont val="Calibri"/>
        <family val="2"/>
        <scheme val="minor"/>
      </rPr>
      <t>) Pinus halepensis</t>
    </r>
  </si>
  <si>
    <t>lo separo porque se mide tras 2 años.</t>
  </si>
  <si>
    <t>Total height (H)</t>
  </si>
  <si>
    <t>species;sampling period</t>
  </si>
  <si>
    <t>moderator_type: sampling_period (initial (spring 2010) and final (autumn 2011))</t>
  </si>
  <si>
    <t>Total cover (COV)</t>
  </si>
  <si>
    <t>m²</t>
  </si>
  <si>
    <t>Relative growth in height (ΔH)</t>
  </si>
  <si>
    <t>uniteless (ratio)</t>
  </si>
  <si>
    <t>post‑fire management;species;interaction(post-fire management * species);sampling period</t>
  </si>
  <si>
    <t>moderator_type: sampling period (after first summer 2010, after secnd summer 2011, whole study (2010-2011))</t>
  </si>
  <si>
    <t>Relative growth in cover (ΔCOV)</t>
  </si>
  <si>
    <t>Net photosynthetic ratio (A)</t>
  </si>
  <si>
    <t>μmol/m² x s</t>
  </si>
  <si>
    <t>post‑fire management;species;interaction(post-fire management * species)</t>
  </si>
  <si>
    <t>Transpiration ratio (E)</t>
  </si>
  <si>
    <t>mmol/m² x s</t>
  </si>
  <si>
    <t>Stomatal conductance (gs)</t>
  </si>
  <si>
    <t>mol H₂O/m² x s</t>
  </si>
  <si>
    <t>Water use efficiency (WUE = A/E)</t>
  </si>
  <si>
    <t>Proportion of sound cones per pine</t>
  </si>
  <si>
    <t>proportion (0 to 1)</t>
  </si>
  <si>
    <t>fire severity;management</t>
  </si>
  <si>
    <t>moderator_type: management (thinning vs control)</t>
  </si>
  <si>
    <t xml:space="preserve">Overall crop size of sound cone </t>
  </si>
  <si>
    <t>cones/ha</t>
  </si>
  <si>
    <t>Number of full seeds per sound cone</t>
  </si>
  <si>
    <t>point;plot</t>
  </si>
  <si>
    <t>sampling_type:  7 cones per 5 pines in 6 plots</t>
  </si>
  <si>
    <t>Germination percentage of seeds from sound cones</t>
  </si>
  <si>
    <t>sampling_type: Petri dishes, 15 seeds per tree</t>
  </si>
  <si>
    <t>Seedling density of Pinus halepensis</t>
  </si>
  <si>
    <t>slope;sound cone crop size</t>
  </si>
  <si>
    <t>Resprouting height (maximum sprout height)</t>
  </si>
  <si>
    <t>fire severity;species;stump number;stump surface</t>
  </si>
  <si>
    <t>moderator_type: stump surface = basal area</t>
  </si>
  <si>
    <t>Resprouting cover (crown cover)</t>
  </si>
  <si>
    <t>cm²</t>
  </si>
  <si>
    <t>Resprouting biovolume</t>
  </si>
  <si>
    <t>dm³</t>
  </si>
  <si>
    <t>1986_06</t>
  </si>
  <si>
    <t>Eucalyptus globulus and Pinus pinaster forests)</t>
  </si>
  <si>
    <t>The bedrock is schist. The area is characterized by long, rectilinear, steep slopes. Under eucalyptus stands, understorey vegetation comprised broom (Chamaespartium tridentatum), heather (Calluna vulgaris), tree heather (Erica arborea) and gorse (Ulex europaeus). In pine regrowth areas, bracken (Pteridium aquilinum) was an additional species</t>
  </si>
  <si>
    <t>coords: Only one coordinate provided for the three fires</t>
  </si>
  <si>
    <t>coords: 40° 35' N ; 8° 26' E</t>
  </si>
  <si>
    <t>1988_11</t>
  </si>
  <si>
    <t>fire size: "comparative small areas" compared to fire 1
coords: Only one coordinate provided for the three fires</t>
  </si>
  <si>
    <t>Reforested pine forests (age 35-40 years). Pine stands in an altitudinal gradient. Pine species change according to elevation (P.sylvestris, P.pinaster, P.nigra)</t>
  </si>
  <si>
    <t>elevation: 1300 - 2000
postfire management: Between January and March 2006 (4–6 months after the wildfire), the Forest Service felled the trees using manually operated chainsaws, the main branches were lopped off, and all wood was left in situ on the ground.</t>
  </si>
  <si>
    <t>coords: 36° 56′ 24″ N ; 3° 29′ 38″ W</t>
  </si>
  <si>
    <t>&gt; 700</t>
  </si>
  <si>
    <t>Abandoned as regards former intensive agricultural activities, this being replaced by a trend towards range-oriented livestock rearing. High percentage of shrubby vegetation</t>
  </si>
  <si>
    <t>elevation: forests […] characteristic of the central and northwestern zone of the Iberian Peninsula at altitudes of 700 m
postfire_management: no se especifica (pero parece que no)</t>
  </si>
  <si>
    <t>coords: 41,2503 ; -6,4939</t>
  </si>
  <si>
    <t>2002_10</t>
  </si>
  <si>
    <t>2004_08</t>
  </si>
  <si>
    <t>Mixed forest (Pinus halepensis, Pinus nigra y Quercus ilex)</t>
  </si>
  <si>
    <t>An understory vegetation of Pistacea lentiscus L., Genista scopius L. and Hedera helix L. The substrate consists of sediments from Paleocene shale</t>
  </si>
  <si>
    <t>postfire_management: se hace en una parcela y en otra no porque el objetivo del estudio es ver el efecto de long-term management despues de fuego.
Coords: se dan la coordenadas de Ódena, es lo mas especifico del texto y la figura 1 no permite estimar coordenadas con mas precisión</t>
  </si>
  <si>
    <t>coords: 41,6162 ; 1,6415</t>
  </si>
  <si>
    <t>Duda postfire_management</t>
  </si>
  <si>
    <t>1992</t>
  </si>
  <si>
    <t>P.pinaster forests. Understory varies according to fire regime. Unbuerned: understorey shrub community dominated by Erica spp., Halimium spp. and Pterospartum tridentatum. Recurrent fires: shrubby vegetation dominated by either Cistus ladanifer L. (B1) or Erica spp., Halimium spp. and P. tridentatum</t>
  </si>
  <si>
    <t>Measures effects of recurring fires. Only dates of the last fires soecified in the paper</t>
  </si>
  <si>
    <t>coords: 39° 49′ 30'' N ; 7° 50′ W</t>
  </si>
  <si>
    <t>2008_08_24</t>
  </si>
  <si>
    <t>Stand age =  25 yrs. Prefire understory vegetation: bushes (Arbutus unedo, Erica australis, Calluna vulgaris, Pterospartum tridentatum, etc.) and grasses</t>
  </si>
  <si>
    <t>coords: en el texto da las siguientes coordenadas: 40°08′–45°77′ N, 7º59′–08° 22′ W, 468–525 ma.s.l. Sin ebargo debe de haber un error porque 45º está fuera de Portugal. Se pone como latitud 40º08' y como lomgiytud el promedio de los datos ofrecido</t>
  </si>
  <si>
    <t>coords: 40°08′ N ; 8° 10′ W</t>
  </si>
  <si>
    <t>1986_07_21</t>
  </si>
  <si>
    <t>Pinus pinaster and mediterranean shrubland with cultivated lands and pastures</t>
  </si>
  <si>
    <t>Duda: el inendio es de dos severidades alta (copas) y baja (superficial) pero el estudio se centra solo en la zona que ha habido incendio de copas</t>
  </si>
  <si>
    <t>coords: 40°14'57"N ; 4°54'34"W</t>
  </si>
  <si>
    <t>Pinus halepensis</t>
  </si>
  <si>
    <t>Understory: Pistacia lentiscus, Quercus coccifera, Erica spp. y Arbutus spp..</t>
  </si>
  <si>
    <t>fire_date: from july  to september of 1985.</t>
  </si>
  <si>
    <t>coords: 39,947 ; 23,53</t>
  </si>
  <si>
    <t>1977_06</t>
  </si>
  <si>
    <t xml:space="preserve">coords: mapa borroso, he buscado elnombre de los sitios en google maps  y he puesto  esa coordenada
En el estudio menciona que "The research on natural regeneration after fire was carried out from July to September of 1985, in four areas where fires had occurred in previous years. These areas were: (1) Nea Skioni (fire in June 1977); (2) Afitos (fire in July 1984); (3) Agia Paraskevi (fire in June 1977 and again in July 1981); (4) Polychrono (fire in July 198 1)." </t>
  </si>
  <si>
    <t>coords: 40,099 ; 23,4363880347541</t>
  </si>
  <si>
    <t>1984_06</t>
  </si>
  <si>
    <t>coords: mapa borroso, he buscado elnombre de los sitios en google maps  y he puesto  esa coordenada</t>
  </si>
  <si>
    <t>coords: 39,953 ; 23,6074523795756</t>
  </si>
  <si>
    <t>1977_07</t>
  </si>
  <si>
    <t>coords: 40,0144458730596 ; 23,5287101448753</t>
  </si>
  <si>
    <t>1981_07</t>
  </si>
  <si>
    <t>coords: 40,0144458730596 ; 23,5287</t>
  </si>
  <si>
    <t>1905_05_12</t>
  </si>
  <si>
    <t>Mixed forest (Pinus nigra  salzmannii and Quercus faginea)</t>
  </si>
  <si>
    <t xml:space="preserve">According to the data obtained from the Forest Ecological Inventory of Catalonia, unburned P. nigra–Q. faginea forests in the area are located at alti-tudes ranging from 350 to 900 m above sea level, with a mean slope of 21°. The mean shoot density of these forests is 1147 stems ha–1 (range: 308–2550), mean basal area is 14.7 m2 ha–1 (range: 8.0–35.3) and mean wood productivity is 1.49 m3 ha–1 year–1 (range: 0.52–3.50). Pines represent 83% (40–100%) of total overstory trees and have a height of 5–17 m, while oaks reach a height of 5–11 m. </t>
  </si>
  <si>
    <t>coords: 41° 55” to 42° 5” N ; 1° 08” to 1° 16” E</t>
  </si>
  <si>
    <t>Vegetation composition and structure vary depending on the age of abandonment. The terraces that were first abandoned are now covered by Pinus halepensis (Aleppo pine) forest that naturally colonised the abandoned fields. These forest patches include a dense understorey dominated by Rosmarinus officinalis, Erica multiflora, and Ulex parviflorus, and a herbaceous layer dominated by Brachypodium retusum. Crop tree individuals, e.g. Ceratonia siliqua (carob tree) and Olea europaea (olive tree), are also present. The vegetation of recently abandoned terraces is dominated by crop trees together with Aleppo pine saplings, and a dense herbaceous layer of B. retusum and a variety of legumes.</t>
  </si>
  <si>
    <t>coords: 38º41'N ; 0º12'W</t>
  </si>
  <si>
    <t>2004_08_12</t>
  </si>
  <si>
    <t>Aleppo pine (Pinus halepensis) and an understorey of scrub (Pistacea lentiscus, Quercus coccifera) and grass (Brachypodium retusum). T</t>
  </si>
  <si>
    <t>postfire_management: no menciona nada pero poco  probable  porque el trabajo empezó2 o 3 dias despues  del incendio</t>
  </si>
  <si>
    <t>coords: 39º40`48``N ; 0º24'50,66''</t>
  </si>
  <si>
    <t>2005_04</t>
  </si>
  <si>
    <t>&lt; 546</t>
  </si>
  <si>
    <t>mixed pine (Pinus halepensis) and Oak (Quercus calliprinos)</t>
  </si>
  <si>
    <t>Different densities: from dense muixed pine and oak forest to more open and patchy mosaic-like tree-shrub formations</t>
  </si>
  <si>
    <t>elevation: en el paper menciona una elevación, pero la del pico más alto (546msnm)</t>
  </si>
  <si>
    <t>coords: 32,7425 ; 35,0275</t>
  </si>
  <si>
    <t>2018_07_23</t>
  </si>
  <si>
    <t>227.8</t>
  </si>
  <si>
    <t>Aleppo pine (Pinus Halepensis) forest (locally mixed with Cypress trees and shrubby vegetation, especially within the WUI zone)</t>
  </si>
  <si>
    <t>fire_size: 14,49 km2 del área estudiada, no da información del tamaño total del incendio</t>
  </si>
  <si>
    <t>coords: 38º00 ; 23º52'</t>
  </si>
  <si>
    <t>1995_07_21</t>
  </si>
  <si>
    <t>coords: NA ; NA</t>
  </si>
  <si>
    <t>1998_08_02</t>
  </si>
  <si>
    <t>2005_07_28</t>
  </si>
  <si>
    <t>2009_08_21</t>
  </si>
  <si>
    <t>Quercus suber and shrubland (maquis)</t>
  </si>
  <si>
    <t xml:space="preserve">The main vegetation types of the study region are Q. suber woodlands and shrublands known as ‘maquis’ on acidic oils, including intermediate stages such as the so-called savannas. The most abundant ll shrub species are Erica arborea L. and Arbutus unedo L., hereas the main small shrub species is Cistus sp. pl. </t>
  </si>
  <si>
    <t>elevation: "the altitude of the plots varied between 50 and 450"</t>
  </si>
  <si>
    <t>coords: 43º 3' N ; 6º3'E</t>
  </si>
  <si>
    <t>Different Mediterranean forests and shrublands communitites (Eucalyptus spp., Mediterranean conifers, Mediterranean maquis and Qilex)</t>
  </si>
  <si>
    <t>Four forest and shrubland communities, together accounting for 90 % of the total burned forest area, for the analysis of postfire vegetation recovery: Eucalyptus spp. reforestation (RI1, representing 33 % of the burned area), Mediterranean conifers reforestation (RI3, ~32 % of the burned area), Mediterranean maquis (MM, 19 % of the burned area), and Quercus ilex L. forest (LE, nearly 6 % of the burned area).</t>
  </si>
  <si>
    <t>fire_size = 1235,2 (forest)+1537,4 (non-forest)</t>
  </si>
  <si>
    <t>coords: 38,1289 ; 12,7648</t>
  </si>
  <si>
    <t>2019</t>
  </si>
  <si>
    <t>fire_size reported only for forest area</t>
  </si>
  <si>
    <t>2021</t>
  </si>
  <si>
    <t>2022</t>
  </si>
  <si>
    <t>2023</t>
  </si>
  <si>
    <t>fire_size = 2710,2 (forest)+456,7 (non-forest)</t>
  </si>
  <si>
    <t>coords: 37,4307 ; 14,3921</t>
  </si>
  <si>
    <t>fire_size = 462,4 (forest)+41,00 (non-forest)</t>
  </si>
  <si>
    <t>coords: 38,1906 ; 15,5264</t>
  </si>
  <si>
    <t>fire_size = 689,5 (forest)+398,9 (non-forest)</t>
  </si>
  <si>
    <t>coords: 37,7229 ; 13,2715</t>
  </si>
  <si>
    <t>fire_size = 645,4 (forest)+421,79 (non-forest)</t>
  </si>
  <si>
    <t>coords: 37,8634 ; 13,3765</t>
  </si>
  <si>
    <t>fire_size = 642,04 (forest)+513,95 (non-forest)</t>
  </si>
  <si>
    <t>coords: 37,0342 ; 147224</t>
  </si>
  <si>
    <t>2021_08</t>
  </si>
  <si>
    <t>Pinus halepensis Mill. forest associated with species in the shrub layer, such as Quercus pubescens Willd., Pistacia lentiscus L., and vegetation belonging to the Prunetalia spinosa (Tüxen 1952) type with Ulmus minor Mill. and Laurus nobilis L</t>
  </si>
  <si>
    <t>fire_severity:"the pinewood was seriously affected by an accidental wildfire that damaged about 11 hectares. The fire was also intensified by an extreme heat wave, which occurred in that summer period". No dice la severidad de manera explícita pero si dice que fue seriamente afectado, por lo que sería severidad alta?</t>
  </si>
  <si>
    <t>1998</t>
  </si>
  <si>
    <t>Pinus nigra (74%) and Pinus halepensis (11%)</t>
  </si>
  <si>
    <t>Dense and nearly regular stands where small- and medium-sized tree diameter classes dominate (DBH &lt; 20 cm).</t>
  </si>
  <si>
    <t>coords: entre 41°44' y 41°59'N y 1°22' y 1°39'E</t>
  </si>
  <si>
    <t>41.77</t>
  </si>
  <si>
    <t xml:space="preserve"> -6.36</t>
  </si>
  <si>
    <t>site 1: Pinus pinaster
site2: Cistus ladanifer</t>
  </si>
  <si>
    <t>site 1 (forest site): 20th-century plantations of P. pinaster (maritime pine) with an understory of C. ladanifer, Quercus ilex, and Quercus pyrenaica.
site 2 (shrubland site): Mediterranean shrubland dominated by C. ladanifer, ericaceous shrubs (Erica australis), and Q. pyrenaica.</t>
  </si>
  <si>
    <t>coords: estudian dos sitios uno de pino (0706140–0706439 Longitude-UTM, 4632495–4632901 Latitude-UTM) y otro de jara ((shrub site) is at 0730462–0731929 Longitude-UTM, 4619644–4621757 Latitude-UTM) pero es solo un incendio. Se reportan coordenadas medias</t>
  </si>
  <si>
    <t>1994_05</t>
  </si>
  <si>
    <t>Pinus halepensis L. forest</t>
  </si>
  <si>
    <t>Pinus halepensis L. forest (49 years old) with an understorey of dense Mediterranean maquis in the northern part of the Sithonia Peninsula in north Greece. The average canopy closure was 50% for the tree layer and 80% for the shrubby understorey layer. The mean height was 14 and 2 m for the layers of trees and shrubs, respectively.</t>
  </si>
  <si>
    <t>1994_09</t>
  </si>
  <si>
    <t>2005_07</t>
  </si>
  <si>
    <t>Pinus pinaster forest</t>
  </si>
  <si>
    <t>postfire_management: "The burned wood was harvested one year after fire (October 2006)". LO quitan ellos en diferentes proporciones en transectos para precisamente ver el efecto del "wood removal"
coords: ni coordenadas ni mapa de referencia en el artículo. Las coordenada las he obtenido de buscar en google maps "El Rodenal, Guadalajara"</t>
  </si>
  <si>
    <t>multi-aged pine (P. halepensis) trees, some of which recovering from previous fires, and a dense formation of evergreen trees and shrubs, mainly Quercus calliprinos Webb, Pistacia lentiscus L., Cistus salviifolius L. and several other tree species, shrubs, dwarf shrub, geophytes, and many annual species. Open patches are dominated by dwarf shrubs, mainly Sarcopoterium spinosum, and are characterized by a wide diversity of herbaceous species</t>
  </si>
  <si>
    <t>fire_date: between 1974 and 2010 ten large (80-2530ha) forest fires were recoreded, in addition more than 650 small fires</t>
  </si>
  <si>
    <t>Mixed forest (Pinus nigra , Quercus sp.)</t>
  </si>
  <si>
    <t>Spanish black pine in pure natural stands or dominating the overstory of twolayered stands, with resprouting species (mostly deciduous subMediterranean oaks) growing in the understory. he wildfire triggered a wide resprout of hardwood species that are now dominant in most of the affected area, with some disperse individuals of black pine that regenerated from close unburned patches. The most abundant hardwood species are Quercus pubescens Willd., Quercus faginea Lam., and the hybrid Quercus subpyrenaica E.H. del Villar (Q. faginea × Q. pubescens), whereas some individuals of holm oak (Quercus ilex L. ssp. ballota) can also be found. Common box (Buxus sempervirens L.), Kermes oak (Quercus coccifera L.), and blackberries (Rubus sp.) can be found in the understory of oak forests.</t>
  </si>
  <si>
    <t>Ground-level change (mean loss/gain)</t>
  </si>
  <si>
    <t>1988_06</t>
  </si>
  <si>
    <t>Forest management type, species, time since disturbance, rainfall</t>
  </si>
  <si>
    <t>Measure_date: Initial measurements of ground level were taken following installation in summer 1988 (61 sites), December 1988 (1 site), July 1989 (6 sites) and October 1989 (4 sites). a) short-term (i.e. within-year) intervals where monitored, (b) annual intervals (July to June: year 1 (1988–89); year 2 (1989–90); year 3 (1990–91); year 4 (1991–92), (c) years 1–4 overall change, and (d) years 2–4 overall change. 
sampling_type:Transect (erosion bridge profiles)</t>
  </si>
  <si>
    <t>Mean absolute change (soil flux)</t>
  </si>
  <si>
    <t>Soil surface roughness (deviogram index)</t>
  </si>
  <si>
    <t>Time since disturbance, forest management type, species,spacing (25, 50, 150 mm)</t>
  </si>
  <si>
    <t>sampling_type:Transect (erosion bridge profiles)</t>
  </si>
  <si>
    <t>Stone cover</t>
  </si>
  <si>
    <t>Time since installation, forest management type, species</t>
  </si>
  <si>
    <t>sampling_type:Transect (points intercepted by stones)</t>
  </si>
  <si>
    <t>Calculated erosion rate</t>
  </si>
  <si>
    <t>t ha⁻¹ yr⁻¹</t>
  </si>
  <si>
    <t>Forest management type, species</t>
  </si>
  <si>
    <t>Measure derived from net change of surface elevation (transect)sampling_type:Plot and Transect</t>
  </si>
  <si>
    <t>Wood dry weight remaining</t>
  </si>
  <si>
    <t>tree</t>
  </si>
  <si>
    <t>year, site (species)</t>
  </si>
  <si>
    <t>sampling_type:Discs from experimental logs</t>
  </si>
  <si>
    <t>N concentration in dead (burned) wood</t>
  </si>
  <si>
    <t xml:space="preserve">
sampling_type:Sawdust from wood discs</t>
  </si>
  <si>
    <t>C concentration in dead (burned) wood</t>
  </si>
  <si>
    <t>sampling_type:Sawdust from wood discs</t>
  </si>
  <si>
    <t>P concentration in dead (burned) wood</t>
  </si>
  <si>
    <t>N remaining</t>
  </si>
  <si>
    <t>g kg⁻¹</t>
  </si>
  <si>
    <t>C remaining</t>
  </si>
  <si>
    <t>P remaining</t>
  </si>
  <si>
    <t>C/N</t>
  </si>
  <si>
    <t>dimensionless</t>
  </si>
  <si>
    <t>sampling_type:Calculated from C and N concentration in wood</t>
  </si>
  <si>
    <t>year, site, position (under logs vs. bare area)</t>
  </si>
  <si>
    <t>measure_date: soil sampling probably in June together with wood sampling, however it is not specified in the text
sampling_type:Gouge auger (0-10 cm depth)</t>
  </si>
  <si>
    <t>Total Carbon (organic C)</t>
  </si>
  <si>
    <t>Total Nitrogen</t>
  </si>
  <si>
    <t>2010_10</t>
  </si>
  <si>
    <t>sampling_type:Gouge auger (0-10 cm depth)</t>
  </si>
  <si>
    <t>Mineral Nitrogen (NH4+ )</t>
  </si>
  <si>
    <t>measure_date: soil sampling probably in June together with wood sampling, however it is not specify in the text
sampling_type:Gouge auger (0-10 cm depth)</t>
  </si>
  <si>
    <t>Mineral Nitrogen (NO3-)</t>
  </si>
  <si>
    <t>Dissolved Organic C (DOC)</t>
  </si>
  <si>
    <t>Dissolved Organic N (DON)</t>
  </si>
  <si>
    <t>Microbial C (Cmicro)</t>
  </si>
  <si>
    <t>measure_date: soil sampling probably in June together with wood sampling, however it is not specify in the text
sampling_type:Difference in P between the fumigated and nonfumigated extracts.</t>
  </si>
  <si>
    <t>Microbial N (Nmicro)</t>
  </si>
  <si>
    <t>Cmicro/Nmicro</t>
  </si>
  <si>
    <t>measure_date: soil sampling probably in June together with wood sampling, however it is not specify in the text
sampling_type:Cmicro/Nmicro</t>
  </si>
  <si>
    <t>Microbial P (Pmicro)</t>
  </si>
  <si>
    <t>no units</t>
  </si>
  <si>
    <t>g cm⁻³</t>
  </si>
  <si>
    <t>Spheciformes species abundance</t>
  </si>
  <si>
    <t>number od individuals and %</t>
  </si>
  <si>
    <t>Time since fire (years),site, fire vs control, dominant vs eudominant species, type of nesting, type of prey captured, environmental variables measured in late May 2005, 2006 and 2007 (tree cover, bush cover, herbaceous cover, bare soil and  bush height)</t>
  </si>
  <si>
    <t>measure_date: fire 1 and control years were measured in 2005, 2006 and 2007. Fire 2  only in 2006 and 2007 and fire 3 only in 2005 and 2007. Jun-sept 2005, Jun-sept 2006, Jun-sept 2007.
sampling_type:Malaise traps (MT) and yellow pan traps (YPT)</t>
  </si>
  <si>
    <t>seconds (s)</t>
  </si>
  <si>
    <t>Site (control -not burned-, LD -burned and postfire management-, HD -burned but no managed)</t>
  </si>
  <si>
    <t>sampling_type:Plot (9 topsoil samples 0–5 cm)</t>
  </si>
  <si>
    <t>Aggregate Stability (AS)</t>
  </si>
  <si>
    <t>percentage (%)</t>
  </si>
  <si>
    <t>Total Nitrogen (TN)</t>
  </si>
  <si>
    <t>Inorganic Carbon (IC)</t>
  </si>
  <si>
    <t>standard units</t>
  </si>
  <si>
    <t>Electrical Conductivity (EC)</t>
  </si>
  <si>
    <t>Extractable Ca</t>
  </si>
  <si>
    <t>Extractable Mg</t>
  </si>
  <si>
    <t>Extractable Na</t>
  </si>
  <si>
    <t>Extractable K</t>
  </si>
  <si>
    <t>Available P</t>
  </si>
  <si>
    <t>Al</t>
  </si>
  <si>
    <t>Mn</t>
  </si>
  <si>
    <t>Fe</t>
  </si>
  <si>
    <t>Zn</t>
  </si>
  <si>
    <t>Cu</t>
  </si>
  <si>
    <t>B</t>
  </si>
  <si>
    <t>Cr</t>
  </si>
  <si>
    <t>Si</t>
  </si>
  <si>
    <t>S</t>
  </si>
  <si>
    <t>SPAR</t>
  </si>
  <si>
    <t>Ca/Al</t>
  </si>
  <si>
    <t xml:space="preserve">Ca/Mg </t>
  </si>
  <si>
    <t>Overall operational taxonomical units (OTU) richness</t>
  </si>
  <si>
    <t>plot, stand (UB = unburned, B = long fire return interval; B1 and B2, short fire return intervals)</t>
  </si>
  <si>
    <t>sampling_type:10m x 10m plots (soil sampling)</t>
  </si>
  <si>
    <t>Richness estimation Chaol</t>
  </si>
  <si>
    <t>Shannon diversity index (pyrosequencing)</t>
  </si>
  <si>
    <t>Richness (gradient gel electrophoresis (DGGE))</t>
  </si>
  <si>
    <t>Shannon diversity index (gradient gel electrophoresis (DGGE))</t>
  </si>
  <si>
    <t>Pine seedling / sapling density</t>
  </si>
  <si>
    <t>nr m⁻²</t>
  </si>
  <si>
    <t>2008_10</t>
  </si>
  <si>
    <t>Crown consuption (high, low)</t>
  </si>
  <si>
    <t>sampling_type:Plot (25 m²)</t>
  </si>
  <si>
    <t>diameter of standing trees</t>
  </si>
  <si>
    <t>standing trees</t>
  </si>
  <si>
    <t>fires severity (FCC)</t>
  </si>
  <si>
    <t>Dimensionless ratio</t>
  </si>
  <si>
    <t>2008_08</t>
  </si>
  <si>
    <t>Crown consuption (high, low), ground cover (% bare soil, % ash, %litter)</t>
  </si>
  <si>
    <t>fires severity (BTR)</t>
  </si>
  <si>
    <t>fires severity (TSI)</t>
  </si>
  <si>
    <t>Bare soil</t>
  </si>
  <si>
    <t>% cover</t>
  </si>
  <si>
    <t>Crown consuption (high, low), fire severity (according to different indices)</t>
  </si>
  <si>
    <t>Ash</t>
  </si>
  <si>
    <t>Litter</t>
  </si>
  <si>
    <t>Pine seed input (cone density)</t>
  </si>
  <si>
    <t>nr cones m⁻²</t>
  </si>
  <si>
    <t>measure_date: ago 2008 (post-fire);march 2009 (post-logging)sampling_type:Plot (25 m²)</t>
  </si>
  <si>
    <t>Crown consuption (high, low), fire severity (according to different indices), pine seed input (post fire and post harvest), , ground cover (% bare soil, % ash, %litter)</t>
  </si>
  <si>
    <t>Pine sapling height</t>
  </si>
  <si>
    <t>2011_08</t>
  </si>
  <si>
    <t>Understory vegetation cover (resprouting)</t>
  </si>
  <si>
    <t>2010_03</t>
  </si>
  <si>
    <t>Understory vegetation cover (germinating)</t>
  </si>
  <si>
    <t>Woody species cover</t>
  </si>
  <si>
    <t>Land-use history</t>
  </si>
  <si>
    <t>Woody species cover differentiated by  species
sampling_type:Transect (line-intercept method, 10 x 5 m) in plots</t>
  </si>
  <si>
    <t>Pteridium aquilinum cover</t>
  </si>
  <si>
    <t>sampling_type:Transect (line-intercept method, 10 x 5 m) in plots</t>
  </si>
  <si>
    <t>Herbaceous cover index</t>
  </si>
  <si>
    <t>Cover index (scale 1-9)</t>
  </si>
  <si>
    <t>Herbaceus cover index differenting by family (comositae, Graminae, Leguminosae) and aggregating by terophytes and hemicryptophytes
sampling_type:Squares (50 per plot, 30 cm x 30 cm)</t>
  </si>
  <si>
    <t>Number of species</t>
  </si>
  <si>
    <t>Diff by woody species, graminae, compositae, leguminosaae
sampling_type:Squares (50 per plot, 30 cm x 30 cm)</t>
  </si>
  <si>
    <t>Shannon’s diversity index (H’) - herbaceous species</t>
  </si>
  <si>
    <t>Dimensionless</t>
  </si>
  <si>
    <t>sampling_type:Squares (50 per plot, 30 cm x 30 cm)</t>
  </si>
  <si>
    <t>Evenness index (J’) - herbaceus species</t>
  </si>
  <si>
    <t>Regeneration Index (RI)</t>
  </si>
  <si>
    <t>seedlings m⁻²</t>
  </si>
  <si>
    <t>Position on hillside (upper, middle, low), Slope, Fire recurrence, Site, Exposure</t>
  </si>
  <si>
    <t>sampling_type:Plot sub-sampling (10 squares of 1 m² per 100 m² plot)</t>
  </si>
  <si>
    <t>Seedling height</t>
  </si>
  <si>
    <t>cm (classes: 1-30, 31-60, &gt;60)</t>
  </si>
  <si>
    <t>Time since fire, Position on hillside</t>
  </si>
  <si>
    <t>Seedling age</t>
  </si>
  <si>
    <t>Time since fire, Fire recurrence (single vs. double fire)</t>
  </si>
  <si>
    <t>Total density</t>
  </si>
  <si>
    <t>stems ha⁻¹</t>
  </si>
  <si>
    <t>Aspect, Distance to unburned forest</t>
  </si>
  <si>
    <t>sampling_type:Circular plot (5-m radius) in 50m long transect</t>
  </si>
  <si>
    <t>Oak density</t>
  </si>
  <si>
    <t>Total basal area</t>
  </si>
  <si>
    <t>m² ha⁻¹</t>
  </si>
  <si>
    <t>Pine basal area</t>
  </si>
  <si>
    <t>Oak basal area</t>
  </si>
  <si>
    <t>Minimum pine age</t>
  </si>
  <si>
    <t>Maximum pine age</t>
  </si>
  <si>
    <t>Pine age distribution (skewness)</t>
  </si>
  <si>
    <t>Maximum pine and oak height</t>
  </si>
  <si>
    <t>Height difference pine/oak</t>
  </si>
  <si>
    <t>sampling_type:Calculation from plot data</t>
  </si>
  <si>
    <t>Mean pine annual height growth</t>
  </si>
  <si>
    <t>cm year⁻¹</t>
  </si>
  <si>
    <t>sampling_type:Calculation (Total height / Age)</t>
  </si>
  <si>
    <t>Mean oak annual height growth</t>
  </si>
  <si>
    <t>Total volume of runoff</t>
  </si>
  <si>
    <t>Precipitation depth (P), Max 5min rainfall intensity (I5),Max 5min rainfall intensity (I15), AI15 index (P*I15), rainfall effective duration, time since fire, burnt vs unburnt</t>
  </si>
  <si>
    <t>measure_date: easured after each productive rainfall during 7 years (from 1999 to 2005)
sampling_type:Plot and gauge station (pool system)</t>
  </si>
  <si>
    <t>Sediment yield</t>
  </si>
  <si>
    <t>kg ha⁻¹</t>
  </si>
  <si>
    <t>measure_date:measured after each productive rainfall during 7 years (from 1999 to 2005)
sampling_type:Plot and gauge station (pool system)</t>
  </si>
  <si>
    <t>Peak flow</t>
  </si>
  <si>
    <t>l s⁻¹</t>
  </si>
  <si>
    <t>Precipitation depth (P), Max 5min rainfall intensity (I5),Max 5min rainfall intensity (I15), AI15 index (P*I15), rainfall effective duration, time since fire</t>
  </si>
  <si>
    <t>measure_date: measured after each productive rainfall during 7 years (from 1999 to 2005)
sampling_type:Triangular weir and capacitive probe</t>
  </si>
  <si>
    <t>1999_06</t>
  </si>
  <si>
    <t>Time since fire, , burnt vs unburnt</t>
  </si>
  <si>
    <t>measure_date: mesured in 10, 20, 28, 34, 46 and 57 months after the fire in burnt areas
sampling_type:five 50m2 plots per land use in a 0,5 x 0,5 m grid covering the entire plots</t>
  </si>
  <si>
    <t>Time to ponding (tp)</t>
  </si>
  <si>
    <t>2004_08_15</t>
  </si>
  <si>
    <t>Ash depth, cover type (ash-needle, ash-only, bare)</t>
  </si>
  <si>
    <t>sampling_type:0.25 m² circular plot (simulated rainfall)</t>
  </si>
  <si>
    <t>Ash bulk density</t>
  </si>
  <si>
    <t>g cm-3</t>
  </si>
  <si>
    <t>sampling_type:50 cm transects (10 pin measurements)</t>
  </si>
  <si>
    <t>Particle density</t>
  </si>
  <si>
    <t>Time to runoff (tr)</t>
  </si>
  <si>
    <t>Runoff coefficient, cover type</t>
  </si>
  <si>
    <t>Runoff coefficient</t>
  </si>
  <si>
    <t>Ash depth, cover type</t>
  </si>
  <si>
    <t>Soil water repellency (WDPT)</t>
  </si>
  <si>
    <t>Cover type, ash removal</t>
  </si>
  <si>
    <t>sampling_type:Water Drop Penetration Time (10 drops)</t>
  </si>
  <si>
    <t>Needle cover</t>
  </si>
  <si>
    <t>needles m⁻²</t>
  </si>
  <si>
    <t>2004_08_14</t>
  </si>
  <si>
    <t>Time since fire, cover</t>
  </si>
  <si>
    <t>sampling_type:0.25 m² random plots (manual counting)</t>
  </si>
  <si>
    <t>Sediment concentration</t>
  </si>
  <si>
    <t>g l⁻¹</t>
  </si>
  <si>
    <t>Cover type</t>
  </si>
  <si>
    <t>sampling_type:1-minute runoff samples from plots</t>
  </si>
  <si>
    <t>slope aspect, time since fire</t>
  </si>
  <si>
    <t>sampling_type:Vertical photos 10m2 plots</t>
  </si>
  <si>
    <t>Runoff coefficient (RC)</t>
  </si>
  <si>
    <t>sampling_type:Calculated per event from 10m2 plots</t>
  </si>
  <si>
    <t>Sediment yield (soil loss)</t>
  </si>
  <si>
    <t>g m⁻²mm-1</t>
  </si>
  <si>
    <t>Runoff, vegetation cover, rain intensity, precipitation, soil moisture (precip-days), aspect, slope, fire severity, first vs second winter</t>
  </si>
  <si>
    <t>sampling_type:10 m² plots with collection buckets</t>
  </si>
  <si>
    <t>Soil loss</t>
  </si>
  <si>
    <t>t/ha/y</t>
  </si>
  <si>
    <t>sampling_type: RUSLE ecuation
sampling_type:pixel level</t>
  </si>
  <si>
    <t>Vegetation class (herbs, trees, shrub, small shrub), fire class (nunber of fires, time since last fire, time since penultimate fire)</t>
  </si>
  <si>
    <t>season: late spring
sampling_type:400 m² square plot</t>
  </si>
  <si>
    <t>sampling_type:400 m² square plot</t>
  </si>
  <si>
    <t>Fire class</t>
  </si>
  <si>
    <t>‘No fire’ (0 fire), ‘One1990’ (1 fire in 1990), ‘Long1990’ (2–3 fires, long interval between the two last fires, the last in 1990), ‘Short1990’ (2–3 fires, short interval between the two last fires, the last in 1990), ‘Short2003’ (3–4 fires, the last in 2003).</t>
  </si>
  <si>
    <t>elevation (m), slope (%), exposure (grades), soil depth (cm), presence of rocks, ground cover composition (no vascular cryptogams, bare soil, rocky outcrop cover), litter type</t>
  </si>
  <si>
    <t>NBR value (mean)</t>
  </si>
  <si>
    <t>Forest type, days after fire, severity</t>
  </si>
  <si>
    <t>sampling_type:pixel level</t>
  </si>
  <si>
    <t>season length</t>
  </si>
  <si>
    <t>forest type, severity</t>
  </si>
  <si>
    <t>season amplitude</t>
  </si>
  <si>
    <t>NBR post fires values</t>
  </si>
  <si>
    <t>2022_04</t>
  </si>
  <si>
    <t>pre-fire NBR, NBR drop due tu fire, reburn (recurrence vs no recurrence), elevation, aspect, slope, monthly mean tempearture minimum, monthly precipitation, annual precipitation)</t>
  </si>
  <si>
    <t>Count (number of species)</t>
  </si>
  <si>
    <t>monitoring cycles</t>
  </si>
  <si>
    <t>season: late winter; sampling_type:100 m2 permanent plots</t>
  </si>
  <si>
    <t>Species coverage</t>
  </si>
  <si>
    <t>Temporal turnover (species turnover metrics)</t>
  </si>
  <si>
    <t>Temporal turnover (species turnover composition component)</t>
  </si>
  <si>
    <t>Temporal turnover (species turnover abundance component)</t>
  </si>
  <si>
    <t>Coefficient of cover variation of vascular plants</t>
  </si>
  <si>
    <t>Leaf area</t>
  </si>
  <si>
    <t>mm2</t>
  </si>
  <si>
    <t>dispersal ability variation over time</t>
  </si>
  <si>
    <t>dispersal ability categoty (low, moderate, high)</t>
  </si>
  <si>
    <t xml:space="preserve">CSR strategies </t>
  </si>
  <si>
    <t>(C%, R%, S%)</t>
  </si>
  <si>
    <t>CRS strategies: : ruderal (R-selection), competitive (C-selection), and stress-tolerant (S-selection). Ruderal are those species adapted to environments with high disturbance but low stress, and therefore they colonize areas that are rich in nutrients and other resources after disturbance. Ruderal plants are often considered “early successional” and are commonly annual or biennial herbs. Plant species that survive in relatively stable, productive habitats are included in the C-selected group while those who protect metabolic performance in variable environments by investing mainly in the capacity to retain resources are defined as S-selected</t>
  </si>
  <si>
    <t>Tree survival</t>
  </si>
  <si>
    <t>crown damage, location</t>
  </si>
  <si>
    <t>sampling_type: seleccionan árboles en varias zonas. Muestreo estratificado por zona y nivel de daño</t>
  </si>
  <si>
    <t>Cone production</t>
  </si>
  <si>
    <t>number</t>
  </si>
  <si>
    <t>tree size, crown damage, tree location,zone, year</t>
  </si>
  <si>
    <t>percent of years when trees produced cones</t>
  </si>
  <si>
    <t>tree size, crown damage, tree location, zone, island size</t>
  </si>
  <si>
    <t>Presence</t>
  </si>
  <si>
    <t>fungal community, burned/unburned plot, aspect (north/south) and plot (ppinaster vs cladanifer)</t>
  </si>
  <si>
    <t>sampling_type: 2x50m plots</t>
  </si>
  <si>
    <t>Dry weigh</t>
  </si>
  <si>
    <t>functional group (mycorrhizalvs saprophytic), aspect, burn/unburned, plot (ppinaster vs cladanifer)</t>
  </si>
  <si>
    <t>Edible and edible–marketed fresh weight production</t>
  </si>
  <si>
    <t>Kg/ha</t>
  </si>
  <si>
    <t>species, aspect, burn/unburned, plot (ppinaster vs cladanifer)</t>
  </si>
  <si>
    <t>Plant height</t>
  </si>
  <si>
    <t>1994_05 (3 months after fire - site 1); 1994_09 ( 3 months after fire - site 1)</t>
  </si>
  <si>
    <t>fire season; aspect; time</t>
  </si>
  <si>
    <t>measure_date: every 3 months, until December 1996</t>
  </si>
  <si>
    <t>Plant diameter</t>
  </si>
  <si>
    <t>fire season; aspect; time; prefire plant diameter</t>
  </si>
  <si>
    <t>Colonized seedlings</t>
  </si>
  <si>
    <t>2006_10</t>
  </si>
  <si>
    <t>time; EM types per seedling</t>
  </si>
  <si>
    <t xml:space="preserve">Relative frequency of ectomycorrhhizal </t>
  </si>
  <si>
    <t>time; EM types; abundance; species</t>
  </si>
  <si>
    <t>Ectomycorrhizal richness</t>
  </si>
  <si>
    <t>Number</t>
  </si>
  <si>
    <t>time, fire severity, slope</t>
  </si>
  <si>
    <t>Ectomycorrhizal diversity (Shannon)</t>
  </si>
  <si>
    <t>Ectomycorrhizal community composition / assemblage patterns</t>
  </si>
  <si>
    <t>time,wood removal, slope</t>
  </si>
  <si>
    <t>trees/m2</t>
  </si>
  <si>
    <t>Number of previous fires, time since last fire, fire season, time interval between successive fires</t>
  </si>
  <si>
    <t>sampling_type: 	
Plot (100 x 1 m2 random squares per site)</t>
  </si>
  <si>
    <t>Radial growth (Basal area increment)</t>
  </si>
  <si>
    <t>Spring</t>
  </si>
  <si>
    <t>height, NCI (neighborhood effect), BA 2012, age, size calss</t>
  </si>
  <si>
    <t>SPEI</t>
  </si>
  <si>
    <t>measure_date: 2012-2016</t>
  </si>
  <si>
    <t>No. of living seedlings (Pn)</t>
  </si>
  <si>
    <t>Reflectance, spectral indices, 1rd &amp; 2rd textures, recurrence, severity</t>
  </si>
  <si>
    <t>sampling_type: plot (2 x 2 m)</t>
  </si>
  <si>
    <t>No. of dead seedlings (dPn)</t>
  </si>
  <si>
    <t>Summer</t>
  </si>
  <si>
    <t>Average height of living seedlings (Ph)</t>
  </si>
  <si>
    <t>Maximum height of living seedlings (Pmaxh)</t>
  </si>
  <si>
    <t>Minimum height of living seedlings (Pminh)</t>
  </si>
  <si>
    <t>Cover of seedlings (Pcov)</t>
  </si>
  <si>
    <t>Cover of woody species (Wcov)</t>
  </si>
  <si>
    <t>Maximum height of woody species (Wmaxh)</t>
  </si>
  <si>
    <t>Richness of woody species (Wrich)</t>
  </si>
  <si>
    <t>Cover of herbaceous species (Hcov)</t>
  </si>
  <si>
    <t>Richness of herbaceous species (Hrich)</t>
  </si>
  <si>
    <t>Cover of leaves and thin branches &lt; 2 cm (Lcov)</t>
  </si>
  <si>
    <t>Cover of lying necromass &gt; 2 cm (Ncov)</t>
  </si>
  <si>
    <t>Cover of stones (St)</t>
  </si>
  <si>
    <t>Percentage of bare soil (S)</t>
  </si>
  <si>
    <t>pine stand</t>
  </si>
  <si>
    <t xml:space="preserve">reforested Pinus nigra and pinaster stands </t>
  </si>
  <si>
    <t>reforestation were done 50 years before the fire</t>
  </si>
  <si>
    <t xml:space="preserve">reforested pinus sylvestris stands </t>
  </si>
  <si>
    <t>Studied forests mainly came from natural regeneration without silvicultural treatments before fire</t>
  </si>
  <si>
    <t>Understory vegetation is comprised of a shrub-layer of evergreen species as Cistus salviifolius L., Phillyrea angustifolia L. and Pistacia lentiscus</t>
  </si>
  <si>
    <t>different fire severity across the study area</t>
  </si>
  <si>
    <t>They describe the 15 fire sites but report the aggregated results</t>
  </si>
  <si>
    <t>with a shrubby understory formed by woody species including Erica australis L., Genista tridentata L., Halimium lasianthum spp. Alyssoides (Lam.) Greuter, and Calluna vulgaris</t>
  </si>
  <si>
    <t>They describe the 19 fire sites but report the aggregated results</t>
  </si>
  <si>
    <t>pine forest and cork oak woodland</t>
  </si>
  <si>
    <t>pine forests and crops</t>
  </si>
  <si>
    <t>1959-2007</t>
  </si>
  <si>
    <t>Main vegetation composed by Quercus ilex, Quercus suber and Quercus pubescens</t>
  </si>
  <si>
    <t>The serial scrub species and steppic grasslands were Macrochloa tenacissima, Quercus coccifera and Pistacia lentiscus.</t>
  </si>
  <si>
    <t>2017_08_03</t>
  </si>
  <si>
    <t>Pinus nigra forest</t>
  </si>
  <si>
    <t>Scots pine forests</t>
  </si>
  <si>
    <t>Also shrublands</t>
  </si>
  <si>
    <t>2017_08_21</t>
  </si>
  <si>
    <t xml:space="preserve">transitional woodland-shrub and sclerophyllous vegetation </t>
  </si>
  <si>
    <t>1998_09_13</t>
  </si>
  <si>
    <t>60-85 year old P. pinaster. The burned area was covered by Pinus pinaster (76%), Quercus ilex (7%), Quercus pyrenaica (5%), Pinus sylvestris(2%), and shrubs (10%)(Calluna vulgaris,Chamaespartium tridentatum, Erica australis, Halimium alyssoides and Genista florida)</t>
  </si>
  <si>
    <t>Mediterranean landscapes composed of a mosaic of coniferous trees (mainly Pinus halepensis Mill. and Pinus pinaster Ait.), shrubs (Rosmarinus, Ulex, Juniperus and interspersed agricultural areas</t>
  </si>
  <si>
    <t>higher proportion of tree cover in Yeste</t>
  </si>
  <si>
    <t>higher shrub dominance</t>
  </si>
  <si>
    <t>Quercus suber forests and shrublands</t>
  </si>
  <si>
    <t>Dense stands of Quercus suber with an understorey of Erica arborea and Lavandula stoechas, as well as areas of scrub dominated by Cistus monspeliensis and patches of Brachypodium retusum</t>
  </si>
  <si>
    <t>2012_08_12</t>
  </si>
  <si>
    <t xml:space="preserve"> The vegetation was dominated by pine (Pinus pinaster and Pinus halepensis) and eucalyptus (Eucalyptus globulus)</t>
  </si>
  <si>
    <t>trees of around 40 years old with an understory of typical Mediterranean shrubs species such as Quercus coccifera, Rosmarinus officinalis, Thymus vulgaris, Brachypodium retusum</t>
  </si>
  <si>
    <t>2005_08_07</t>
  </si>
  <si>
    <t>Pinus halepensis and pinaster forests</t>
  </si>
  <si>
    <t>The vegetation cover in the area is dominated by pine (Pinus pinaster) and an understory of Mediterranean bushes (Cystus spp., Halimium spp., Ulex spp., Genista spp., Echinospartum spp. and small aromatics i.e. Rosmarinus spp., Thymus spp., Lavandula spp.)</t>
  </si>
  <si>
    <t>Same fire with two exact different locations</t>
  </si>
  <si>
    <t>1976-2018</t>
  </si>
  <si>
    <t>Forest derived from plantations and shrublands</t>
  </si>
  <si>
    <t>They select 28 sites in an area with nearly 1000 fires</t>
  </si>
  <si>
    <t>1975-2013</t>
  </si>
  <si>
    <t>Pinus halepensis, P. pinaster, P. nigra, and P. pinea that had a relatively dense understory composed of typical Mediterranean shrubs, including Salvia rosmarinus, Pistacea lentiscus, Juniperus oxycedrus, Chamaerops humilis, Halimium spp., Lavandula spp., Cistus spp., Ulex spp., Erica spp., and a broad variety of herbaceous plants (mainly members of Apiaceae, Asteraceae, and Poaceae)</t>
  </si>
  <si>
    <t>2009-2019</t>
  </si>
  <si>
    <t>Secondary Q. pyrenaica forests are relatively species-poor and contain a significant number of seral shrubs (e.g., Cytisus sp. pl.). Older forests, on the other hand, are species-richer and comprise more complex vegetation mosaics. Characteristic understorey flora includes Daphne gnidium L., Osyris alba L., Arenaria montana subsp. montana L., and Thapsia villosa L.</t>
  </si>
  <si>
    <t>They select 33 sites with 33 different fires</t>
  </si>
  <si>
    <t>Mediterranean forest with Pinus and Quercus</t>
  </si>
  <si>
    <t>Each site comprised plantation forests with mature trees providing between 75 % and 80 % tree cover. The dominant species was Pinus pinaster, which occupied between 60 % and 80 % of the tree-covered area, with Pinus sylvestris making up 10–20 % of the vegetation in each plot. Pinus nigra represented 10 % of the flora in one plot.</t>
  </si>
  <si>
    <t>1992-2003</t>
  </si>
  <si>
    <t>The landscape is dominated by maritime pine (Pinus pinaster Aiton) forests, with a shrubby understory made up by Erica australis L., Genista tridentata L., Halimium lasianthum spp. Alyssoides (Lam.) Greuter, and Calluna vulgaris (L.) Hull</t>
  </si>
  <si>
    <t>1997-1998</t>
  </si>
  <si>
    <t>1990_07</t>
  </si>
  <si>
    <t>understory made up mainly of Pistacia lentiscus, Phyllirea angustifolia and Rosmarinus officinalis with a coverage degree of 40–50%.</t>
  </si>
  <si>
    <t>1995_07</t>
  </si>
  <si>
    <t>50 years old</t>
  </si>
  <si>
    <t xml:space="preserve">understorey was dominated by Cistus monspeliensis, Cistus albidus L., Rosmarinus offıcinalis L., Daphne gnidium L., Juniperus oxycedrus L., Quercus rotundifolia Lam., Pistacia lentiscus L. Species of secondary importance were Brachypodium retusum (Pers.) Beauv., Stipa tenacissima L., Cistus clussi Dunal, and Quercus coccifera L. </t>
  </si>
  <si>
    <t>2003-2004</t>
  </si>
  <si>
    <t>winter;spring</t>
  </si>
  <si>
    <t>0.43-4.5</t>
  </si>
  <si>
    <t>Pinus spp. Forests</t>
  </si>
  <si>
    <t>1995-2002</t>
  </si>
  <si>
    <t>&gt;30</t>
  </si>
  <si>
    <t>1997_07_06</t>
  </si>
  <si>
    <t>~1500</t>
  </si>
  <si>
    <t>artificial stands</t>
  </si>
  <si>
    <t>1993_08_23</t>
  </si>
  <si>
    <t>Pinus pinaster and less Quercus ilex forests</t>
  </si>
  <si>
    <t>reforestations were done in 1996</t>
  </si>
  <si>
    <t>1978-1994</t>
  </si>
  <si>
    <t>Pinus halepensis forests</t>
  </si>
  <si>
    <t>They compare an area that has been burnt once with another that has been burnt twice, but both were affected by the same fire (1994)</t>
  </si>
  <si>
    <t>1993-2001</t>
  </si>
  <si>
    <t>Dominated by Quercus suber</t>
  </si>
  <si>
    <t xml:space="preserve"> intermingled with deciduous oaks (Q. virgiliana, Q. amplifolia and Q. delechampi), ashes (Fraxinus ornus) and pines (Pinus pinea). The understorey is mainly composed of Erica arborea, Arbutus unedo, Cistus creticus, C. monspeliensis, C. salvifolius and Calicotome infesta</t>
  </si>
  <si>
    <t>elevation;species;post-fire management;microhabitat</t>
  </si>
  <si>
    <t>post-fire management is referred to deadwood tratment and microhabitat to bare soil or under logs</t>
  </si>
  <si>
    <t>K</t>
  </si>
  <si>
    <t>C</t>
  </si>
  <si>
    <t>number of regenerated Aleppo pine trees</t>
  </si>
  <si>
    <t>saplings/ha</t>
  </si>
  <si>
    <t>2011-2018</t>
  </si>
  <si>
    <t>prefire climate;prefire geography;prefire topography and soil;prefire overstorey structure;prefire understorey structure;fire severity;post-fire management;post-fire climate;post-fire overstorey structure; post-fire understorey structure; post-fire soil;Time elapsed since fire to pine regeneration sampling</t>
  </si>
  <si>
    <t>vegetation were measured 2 years after each fire (fires from 2009-2016)</t>
  </si>
  <si>
    <t>Fire severity</t>
  </si>
  <si>
    <t>water holding capacity</t>
  </si>
  <si>
    <t>2021_04</t>
  </si>
  <si>
    <t>2021_05</t>
  </si>
  <si>
    <t>g/cm3</t>
  </si>
  <si>
    <t>2021_06</t>
  </si>
  <si>
    <t>2021_07</t>
  </si>
  <si>
    <t>µS/cm</t>
  </si>
  <si>
    <t>cmol/kg d.w.</t>
  </si>
  <si>
    <t>2021_09</t>
  </si>
  <si>
    <t>g/m2 d.w.</t>
  </si>
  <si>
    <t>2021_10</t>
  </si>
  <si>
    <t>extractable organic carbon</t>
  </si>
  <si>
    <t>2021_17</t>
  </si>
  <si>
    <t>g CO2-C/kg d.w.</t>
  </si>
  <si>
    <t>2021_14</t>
  </si>
  <si>
    <t>2021_11</t>
  </si>
  <si>
    <t>NH4+-N</t>
  </si>
  <si>
    <t>mg/kg d.w.</t>
  </si>
  <si>
    <t>2021_13</t>
  </si>
  <si>
    <t>NO3- -N</t>
  </si>
  <si>
    <t>weight</t>
  </si>
  <si>
    <t>2021_15</t>
  </si>
  <si>
    <t>radial growth</t>
  </si>
  <si>
    <t>tree ring;site</t>
  </si>
  <si>
    <t>initial target tree size;time since fire;local climatic conditions;competition</t>
  </si>
  <si>
    <t>litter mass loss</t>
  </si>
  <si>
    <t xml:space="preserve">woody debris after fire; soil chemical properties; vegetation cover; vegetation richness;vegetation height </t>
  </si>
  <si>
    <t>decompositon rate</t>
  </si>
  <si>
    <t>day-1</t>
  </si>
  <si>
    <t>g C/g d.w</t>
  </si>
  <si>
    <t>β-glucosidase</t>
  </si>
  <si>
    <t>µmol p-NP g-1 d.w. soil h-1</t>
  </si>
  <si>
    <t>urease</t>
  </si>
  <si>
    <t>cw</t>
  </si>
  <si>
    <t>acid phosphatase enzymatic activities</t>
  </si>
  <si>
    <t>µmol p-NP g-1 d.w. h-1</t>
  </si>
  <si>
    <t>position within the species climatic niche;vegetation cover;soil stoniness;years since fire</t>
  </si>
  <si>
    <t>crown diameter</t>
  </si>
  <si>
    <t>percentage of green canopy</t>
  </si>
  <si>
    <t>δ¹³C of cicada exuviae</t>
  </si>
  <si>
    <t xml:space="preserve"> ‰</t>
  </si>
  <si>
    <t>2013-2023</t>
  </si>
  <si>
    <t>time since fire;fire occurrence;stable isotopes of host plants</t>
  </si>
  <si>
    <t>δ¹³N of cicada exuviae</t>
  </si>
  <si>
    <t>Total organic carbon of the soil organic matter</t>
  </si>
  <si>
    <t>fire frequency;time since last fire</t>
  </si>
  <si>
    <t>Water extractable organic matter</t>
  </si>
  <si>
    <t xml:space="preserve">Specific UV Absorbance </t>
  </si>
  <si>
    <t>L(mg C m)⁻¹</t>
  </si>
  <si>
    <t>fire occurrence; soil organic matter fraction;time since fire</t>
  </si>
  <si>
    <t>Humification index</t>
  </si>
  <si>
    <t>peak C emission waveleng</t>
  </si>
  <si>
    <t>nm</t>
  </si>
  <si>
    <t>peak M emission waveleng</t>
  </si>
  <si>
    <t>Soil organic carbon</t>
  </si>
  <si>
    <t>fire severity;plant recovery;time since fire</t>
  </si>
  <si>
    <t>fire severity;time since fire</t>
  </si>
  <si>
    <t xml:space="preserve"> mg CO2-C kg-1 soil h-1</t>
  </si>
  <si>
    <t>Carbon mineralization coefficient</t>
  </si>
  <si>
    <t>mg C-CO₂ g⁻¹ Corg h⁻</t>
  </si>
  <si>
    <t>Metabolic quotient</t>
  </si>
  <si>
    <t>Microbial quotient</t>
  </si>
  <si>
    <t>μmol PNP g-1 h-1</t>
  </si>
  <si>
    <t>μmol NH4+ g-1 h-1</t>
  </si>
  <si>
    <t>phosphatase</t>
  </si>
  <si>
    <t>Aggregated index of sediment conectivity</t>
  </si>
  <si>
    <t>drone</t>
  </si>
  <si>
    <t>2019_06_24</t>
  </si>
  <si>
    <t>fire occurrence;post-fire management;post-fire vegetation recovery;slope gradient;topography</t>
  </si>
  <si>
    <t>Convergence index</t>
  </si>
  <si>
    <t>Flow width</t>
  </si>
  <si>
    <t>Flat areas</t>
  </si>
  <si>
    <t>LS-factor</t>
  </si>
  <si>
    <t>post-fire management, slope gradient, slope length</t>
  </si>
  <si>
    <t>rarefied richness</t>
  </si>
  <si>
    <t>Log2 fold change (LFC)</t>
  </si>
  <si>
    <t>2020-2021</t>
  </si>
  <si>
    <t>post-fire management treatment;time since fire</t>
  </si>
  <si>
    <t>Shannon diversity</t>
  </si>
  <si>
    <t>Simpson dominance index</t>
  </si>
  <si>
    <t>Bacterial community composition (beta diversity)</t>
  </si>
  <si>
    <t xml:space="preserve">Log2 fold change (LFC) of OTU (Operational Taxonomic Units)abundances </t>
  </si>
  <si>
    <t>relative abundance of taxonomic groups</t>
  </si>
  <si>
    <t>Log2 fold change (LFC) of OTU (Operational Taxonomic Units) abundance normalised to 100000 reads</t>
  </si>
  <si>
    <t>Shade normalized green vegetation fraction image</t>
  </si>
  <si>
    <t>1999_07_01</t>
  </si>
  <si>
    <t>Vegetation recovery index</t>
  </si>
  <si>
    <t>Time since fire;fire severity</t>
  </si>
  <si>
    <t>Vegetation cover resilience</t>
  </si>
  <si>
    <t>1999-2011</t>
  </si>
  <si>
    <t>Tree cover fraction</t>
  </si>
  <si>
    <t>fire occurrence</t>
  </si>
  <si>
    <t>Background cover fraction</t>
  </si>
  <si>
    <t>Normalised Difference Tree-Shrub Fraction (NDTSF)</t>
  </si>
  <si>
    <t>Moisture</t>
  </si>
  <si>
    <t>subsamples</t>
  </si>
  <si>
    <t>2000_01</t>
  </si>
  <si>
    <t>fire occurrence;environment</t>
  </si>
  <si>
    <t>Mechanic impedance</t>
  </si>
  <si>
    <t>kPa</t>
  </si>
  <si>
    <t>ds/m</t>
  </si>
  <si>
    <t>Soil organic matter</t>
  </si>
  <si>
    <t>Exchangeable Ca cations</t>
  </si>
  <si>
    <t>Exchangeable Mg cations</t>
  </si>
  <si>
    <t>Exchangeable K cations</t>
  </si>
  <si>
    <t>Exchangeable Na cations</t>
  </si>
  <si>
    <t>Dissolved organic carbon</t>
  </si>
  <si>
    <t>g/l</t>
  </si>
  <si>
    <t>Organic carbon content in the eroded sediment</t>
  </si>
  <si>
    <t>Runoff water</t>
  </si>
  <si>
    <t>Eroded sediments</t>
  </si>
  <si>
    <t>fire occurrence;time since fire;soil depth</t>
  </si>
  <si>
    <t>Total carbon</t>
  </si>
  <si>
    <t>Total organic carbon</t>
  </si>
  <si>
    <t>ratio total organic carbon/nitrogen (TOC/N)</t>
  </si>
  <si>
    <t>Molecular composition</t>
  </si>
  <si>
    <t>Bulk chemical composition (C types)</t>
  </si>
  <si>
    <t>Average chain length</t>
  </si>
  <si>
    <t>C number</t>
  </si>
  <si>
    <t>Richness</t>
  </si>
  <si>
    <t>n species</t>
  </si>
  <si>
    <t>post-fire treatment;time since fire</t>
  </si>
  <si>
    <t>Evenness</t>
  </si>
  <si>
    <t>number of individuals of each species</t>
  </si>
  <si>
    <t>Diversity</t>
  </si>
  <si>
    <t>Shannon index</t>
  </si>
  <si>
    <t>2013_02</t>
  </si>
  <si>
    <t>Soil water repellency</t>
  </si>
  <si>
    <t>seconds</t>
  </si>
  <si>
    <t>Field capacity</t>
  </si>
  <si>
    <t>μg C-CO2 /h/g</t>
  </si>
  <si>
    <t>mg C/kg</t>
  </si>
  <si>
    <t>time since fire; fire occurrence;site</t>
  </si>
  <si>
    <t>total carbon</t>
  </si>
  <si>
    <t>organic matter</t>
  </si>
  <si>
    <t>viable bacteria count</t>
  </si>
  <si>
    <t>cfu/g</t>
  </si>
  <si>
    <t>viable fungi count</t>
  </si>
  <si>
    <t>substrate-induced respiration</t>
  </si>
  <si>
    <t>mg CO2/h/100 g dry soil</t>
  </si>
  <si>
    <t>μmol/h/g</t>
  </si>
  <si>
    <t>cellulase</t>
  </si>
  <si>
    <t>invertase</t>
  </si>
  <si>
    <t>β-N-acetylglucosaminidase</t>
  </si>
  <si>
    <t>alkaline phosphatases</t>
  </si>
  <si>
    <t>prokaryotic populations</t>
  </si>
  <si>
    <t>Phylogenetic abundance distribution</t>
  </si>
  <si>
    <t>time since last fire;time between fires;fire recurrence</t>
  </si>
  <si>
    <t>ammonium content</t>
  </si>
  <si>
    <t>μg NH4+-N·g-1</t>
  </si>
  <si>
    <t>nitrate content</t>
  </si>
  <si>
    <t>μg NO3- -N·g-1</t>
  </si>
  <si>
    <t>phosphate content</t>
  </si>
  <si>
    <t>μg PO4-3 -P·g-1</t>
  </si>
  <si>
    <t>soil microbial biomass C</t>
  </si>
  <si>
    <t>μg C·g-1</t>
  </si>
  <si>
    <t>soil microbial biomass N</t>
  </si>
  <si>
    <t>μg N·g-1</t>
  </si>
  <si>
    <t>potential N mineralisation</t>
  </si>
  <si>
    <t>μg N·g-1·d-1</t>
  </si>
  <si>
    <t>nitrification rate</t>
  </si>
  <si>
    <t>μg NO3- -N·g-1·d-1</t>
  </si>
  <si>
    <t>substrate induced respiration</t>
  </si>
  <si>
    <t>μg C-CO2·g-1·h-1</t>
  </si>
  <si>
    <t>net respiration rate</t>
  </si>
  <si>
    <t>μg CO2-C·g-1 ·d-1</t>
  </si>
  <si>
    <t>Hot water extractable carbon</t>
  </si>
  <si>
    <t>total inorganic N</t>
  </si>
  <si>
    <t>microbial biomass C/N</t>
  </si>
  <si>
    <t>Bacteria</t>
  </si>
  <si>
    <t>μmol fatty acid g-1</t>
  </si>
  <si>
    <t>Gram-positive bacteria (G+)</t>
  </si>
  <si>
    <t>Gram-negative bacteria (G-)</t>
  </si>
  <si>
    <t>Fungi</t>
  </si>
  <si>
    <t>Actinobacteria</t>
  </si>
  <si>
    <t>Arbuscular mycorrhiza</t>
  </si>
  <si>
    <t>Fungi/Bacteria ratio</t>
  </si>
  <si>
    <t>bee abundance</t>
  </si>
  <si>
    <t>n bees</t>
  </si>
  <si>
    <t>2016_05</t>
  </si>
  <si>
    <t>fire occurrence;time since fire;lithology;climate</t>
  </si>
  <si>
    <t>bee richness</t>
  </si>
  <si>
    <t>n bee species</t>
  </si>
  <si>
    <t>bee shannon index</t>
  </si>
  <si>
    <t>bee pielou eveness</t>
  </si>
  <si>
    <t>bee functional richness</t>
  </si>
  <si>
    <t>bee functional eveness</t>
  </si>
  <si>
    <t>bee functional dispersion</t>
  </si>
  <si>
    <t>bee functional divergence</t>
  </si>
  <si>
    <t>ant abundance</t>
  </si>
  <si>
    <t>n ants</t>
  </si>
  <si>
    <t>ant richness</t>
  </si>
  <si>
    <t>n ant species</t>
  </si>
  <si>
    <t>ant shannon index</t>
  </si>
  <si>
    <t>ant pielou eveness</t>
  </si>
  <si>
    <t>ant functional richness</t>
  </si>
  <si>
    <t>ant functional eveness</t>
  </si>
  <si>
    <t>ant functional dispersion</t>
  </si>
  <si>
    <t>ant functional divergence</t>
  </si>
  <si>
    <t>Abundance of early colonisers</t>
  </si>
  <si>
    <t>time since fire;fire intensity;climate;topography;edaphology;vegetation structure</t>
  </si>
  <si>
    <t>Abundance of perennial stayers</t>
  </si>
  <si>
    <t>Abundance of perennial shuttles</t>
  </si>
  <si>
    <t>post-fire treatment</t>
  </si>
  <si>
    <t>phosphorus content</t>
  </si>
  <si>
    <t>potassium content</t>
  </si>
  <si>
    <t>dry matter content</t>
  </si>
  <si>
    <t>grass cover</t>
  </si>
  <si>
    <t>number of OTUs (operational taxonomic units)</t>
  </si>
  <si>
    <t>fungal shannon index</t>
  </si>
  <si>
    <t>post-fire treatment;grass cover;soil properties</t>
  </si>
  <si>
    <t>fungal pielou</t>
  </si>
  <si>
    <t>fungal community composition</t>
  </si>
  <si>
    <t>fire return interval lenght; fire history</t>
  </si>
  <si>
    <t>phopshorus</t>
  </si>
  <si>
    <t>potassium</t>
  </si>
  <si>
    <t>calcium</t>
  </si>
  <si>
    <t>me/100g</t>
  </si>
  <si>
    <t>magnesium</t>
  </si>
  <si>
    <t>ectomycorrhizal fungal species richness</t>
  </si>
  <si>
    <t>fire return interval lenght; fire history; plant host</t>
  </si>
  <si>
    <t>ectomycorrhizal fungal species relative occurrence</t>
  </si>
  <si>
    <t>ectomycorrhizal fungal species relative abundance</t>
  </si>
  <si>
    <t>total fungal abundance</t>
  </si>
  <si>
    <t>g (dry weight)</t>
  </si>
  <si>
    <t>time since fire;soil properties</t>
  </si>
  <si>
    <t>fungal productivity</t>
  </si>
  <si>
    <t>edible species richness</t>
  </si>
  <si>
    <t>edible species productivity</t>
  </si>
  <si>
    <t>edible species abundance</t>
  </si>
  <si>
    <t>edible species diversity</t>
  </si>
  <si>
    <t>mycorrhizal fungi abundance</t>
  </si>
  <si>
    <t>mycorrhizal fungi richness</t>
  </si>
  <si>
    <t>mycorrhizal fungi productivity</t>
  </si>
  <si>
    <t>mycorrhizal fungi diversity</t>
  </si>
  <si>
    <t>saprotrophic fungi abundance</t>
  </si>
  <si>
    <t>saprotrophic fungi richness</t>
  </si>
  <si>
    <t>saprotrophic fungi productivity</t>
  </si>
  <si>
    <t>saprotrophic fungi diversity</t>
  </si>
  <si>
    <t>µmol p-NP g-1 dw soil h-1</t>
  </si>
  <si>
    <t>µmol NNH4+ g-1 dw soil h-1</t>
  </si>
  <si>
    <t>sand</t>
  </si>
  <si>
    <t>silt</t>
  </si>
  <si>
    <t>clay</t>
  </si>
  <si>
    <t>deadwood</t>
  </si>
  <si>
    <t>deadwood means pine litter, cones, fallen branches, stumps, logs, and trunks</t>
  </si>
  <si>
    <t>n seedlings</t>
  </si>
  <si>
    <t>1993_09</t>
  </si>
  <si>
    <t>plot size;plot shape;post-fire management</t>
  </si>
  <si>
    <t>regeneration index</t>
  </si>
  <si>
    <t>dm/m2</t>
  </si>
  <si>
    <t>viable seedbank density</t>
  </si>
  <si>
    <t>seedlings/m2</t>
  </si>
  <si>
    <t>1995_09</t>
  </si>
  <si>
    <t>distance from trunk; substrate (ash vs soil);species</t>
  </si>
  <si>
    <t>1995_11</t>
  </si>
  <si>
    <t>distance from trunk; ash presence</t>
  </si>
  <si>
    <t>viable annuals seedbank density</t>
  </si>
  <si>
    <t>annuals seedling density</t>
  </si>
  <si>
    <t>ph</t>
  </si>
  <si>
    <t>distance from trunk;soil depth;rainfall</t>
  </si>
  <si>
    <t>osmotic potential</t>
  </si>
  <si>
    <t>K+</t>
  </si>
  <si>
    <t>phosphates</t>
  </si>
  <si>
    <t>nitrates</t>
  </si>
  <si>
    <t>1997_09</t>
  </si>
  <si>
    <t>competition;stem height;species</t>
  </si>
  <si>
    <t>root magnitude</t>
  </si>
  <si>
    <t>number of external links</t>
  </si>
  <si>
    <t xml:space="preserve"> root external pathlenght</t>
  </si>
  <si>
    <t>number of links</t>
  </si>
  <si>
    <t>root altitude</t>
  </si>
  <si>
    <t>specific root length</t>
  </si>
  <si>
    <t>mm/g</t>
  </si>
  <si>
    <t>topological root index</t>
  </si>
  <si>
    <t>topological root trend</t>
  </si>
  <si>
    <t>point-count</t>
  </si>
  <si>
    <t>1997_03</t>
  </si>
  <si>
    <t>fire occurrence;time since fire</t>
  </si>
  <si>
    <t>bird relative abundance</t>
  </si>
  <si>
    <t>mean number of contacts per census station</t>
  </si>
  <si>
    <t>fire occurrence;time since fire; habitat structural complexity;shrub development</t>
  </si>
  <si>
    <t>bird community similarity</t>
  </si>
  <si>
    <t>Jaccard index</t>
  </si>
  <si>
    <t>resprouting ability</t>
  </si>
  <si>
    <t>tagged individuals</t>
  </si>
  <si>
    <t>2004_06</t>
  </si>
  <si>
    <t>fire impact;species</t>
  </si>
  <si>
    <t>number of resprouts</t>
  </si>
  <si>
    <t>n  resprouts</t>
  </si>
  <si>
    <t>pre-fire size of the individuals;species</t>
  </si>
  <si>
    <t>height of the dominanr resprout</t>
  </si>
  <si>
    <t>annual growth</t>
  </si>
  <si>
    <t>cm/year</t>
  </si>
  <si>
    <t>species;growth form (tree vs shrub)</t>
  </si>
  <si>
    <t>presence</t>
  </si>
  <si>
    <t>% of plots</t>
  </si>
  <si>
    <t>fire occurrence;species</t>
  </si>
  <si>
    <t>2002_05</t>
  </si>
  <si>
    <t>post-fire treatment; slope aspect</t>
  </si>
  <si>
    <t>mean number of plants</t>
  </si>
  <si>
    <t>n plants/ha</t>
  </si>
  <si>
    <t>post-fire treatment; slope aspect;species</t>
  </si>
  <si>
    <t>mean plant mortality</t>
  </si>
  <si>
    <t>post-fire treatment;species;slope aspect</t>
  </si>
  <si>
    <t>mean crown diameter</t>
  </si>
  <si>
    <t>unitless (-1 to 1)</t>
  </si>
  <si>
    <t>1992_08_17</t>
  </si>
  <si>
    <t>fractional vegetation cover; fire occurrence;time since fire</t>
  </si>
  <si>
    <t>fractional vegetation cover</t>
  </si>
  <si>
    <t>vegetation index;time since fire</t>
  </si>
  <si>
    <t>pines/ha</t>
  </si>
  <si>
    <t>age of first reproduction</t>
  </si>
  <si>
    <t>fire recurrence;height;density</t>
  </si>
  <si>
    <t>total cones</t>
  </si>
  <si>
    <t>cones per pine</t>
  </si>
  <si>
    <t>serotinous cones</t>
  </si>
  <si>
    <t>mature cones</t>
  </si>
  <si>
    <t>immature cones</t>
  </si>
  <si>
    <t>current year cones</t>
  </si>
  <si>
    <t>degree of serotiny</t>
  </si>
  <si>
    <t>cone volume</t>
  </si>
  <si>
    <t>cm3</t>
  </si>
  <si>
    <t>fire recurrence;cone type</t>
  </si>
  <si>
    <t>number of seeds</t>
  </si>
  <si>
    <t>seeds per cone</t>
  </si>
  <si>
    <t>seed weight</t>
  </si>
  <si>
    <t>empty seeds</t>
  </si>
  <si>
    <t>total number of nests</t>
  </si>
  <si>
    <t>2003_03</t>
  </si>
  <si>
    <t>successful nests</t>
  </si>
  <si>
    <t>failed nests</t>
  </si>
  <si>
    <t>nests with egg predation events</t>
  </si>
  <si>
    <t>nests with nestling predation events</t>
  </si>
  <si>
    <t>abandoned nests</t>
  </si>
  <si>
    <t>nests with uncertain failure cause</t>
  </si>
  <si>
    <t>occupancy rate</t>
  </si>
  <si>
    <t>clutch size</t>
  </si>
  <si>
    <t>n eggs</t>
  </si>
  <si>
    <t>brood size</t>
  </si>
  <si>
    <t>n nestlings</t>
  </si>
  <si>
    <t>hatching success</t>
  </si>
  <si>
    <t>fledging success</t>
  </si>
  <si>
    <t>nest success</t>
  </si>
  <si>
    <t>egg survival</t>
  </si>
  <si>
    <t>nestling survival</t>
  </si>
  <si>
    <t>dominated by P. halepensis with presence of Q. calliprinos and shrubs</t>
  </si>
  <si>
    <t>end summer</t>
  </si>
  <si>
    <t>eucalyptus forest</t>
  </si>
  <si>
    <t>plantation of eucalyptus, in a minor extent with P. pinaster</t>
  </si>
  <si>
    <t>each fire is assessed through fire scars</t>
  </si>
  <si>
    <t>2013</t>
  </si>
  <si>
    <t>1976_06</t>
  </si>
  <si>
    <t>Matorral mediterráneo (maquis)</t>
  </si>
  <si>
    <t>hay otra en la misma localización pero con fuego prescrito que no incluyo</t>
  </si>
  <si>
    <t>no un incendio especifico, sino una zona bastante afectada por incendios sin especificar cuales y pone años desde el incendio</t>
  </si>
  <si>
    <t>2000_07</t>
  </si>
  <si>
    <t>Stone pine (Pinus pinea) forests planted over the last two centuries, holm oak (Quercus ilex) forests, Mediterranean shrublands, and wetland vegetation remnants with associations of white poplar (Populus alba) and pedunculate oak (Quercus robur).</t>
  </si>
  <si>
    <t>oblaciones de pinares maduros, con árboles de más de 40 años y un diámetro a la altura del pecho (DBH) de entre 20,8 y 35,4 cm</t>
  </si>
  <si>
    <t>La unica distinción que aparece es la especie dominante y la intensidad, por lo que agrupo para dar la coordenada media</t>
  </si>
  <si>
    <t>Quercus suber forest</t>
  </si>
  <si>
    <t>Quercus suber and Q. ilex forest</t>
  </si>
  <si>
    <t>Se cortaron los ejemplares de Pinus pinea que murieron por el fuego y se retiraron los troncos muertos de las encinas (Quercus ilex) en las parcelas quemadas</t>
  </si>
  <si>
    <t>1980</t>
  </si>
  <si>
    <t>Pinus nigra forests</t>
  </si>
  <si>
    <t>After fire dominated by Q. cerroides and Q. ilex and shrub</t>
  </si>
  <si>
    <t>grandes incendios.No proporciona coordenadas asi que las he calculado considerando Bages y Solsona</t>
  </si>
  <si>
    <t>dan coordenadas de distintos tratamientos pero calculo el centroide</t>
  </si>
  <si>
    <t>Quercus cocciferae–Pistacietum lentisci) and continental kermes oak (Rhamno
lycioidis–Quercetum cocciferae</t>
  </si>
  <si>
    <t>2022_07_17</t>
  </si>
  <si>
    <t>2015_08</t>
  </si>
  <si>
    <t>Quercus pyrenaica forest with shrub and Pinus pinaster</t>
  </si>
  <si>
    <t>Pinus nigra Arn. ssp. salzmannii</t>
  </si>
  <si>
    <t>Pinus nigra Arn. ssp. salzmannii con presencia de especies arbustivas como enebros (Juniperus thurifera L.), quejigo (Quercus faginea) y acebo (Ilex aquifolium)</t>
  </si>
  <si>
    <t>2013_07_04</t>
  </si>
  <si>
    <t>Quercus suber, Pinus pinaster and Pinus pinea</t>
  </si>
  <si>
    <t xml:space="preserve">silvicultural </t>
  </si>
  <si>
    <t>se analiza el impacto de la saca de corcho</t>
  </si>
  <si>
    <t>2021_08_03</t>
  </si>
  <si>
    <t>Conifer forests with mixed forests</t>
  </si>
  <si>
    <t>2021_05_19</t>
  </si>
  <si>
    <t xml:space="preserve">Portugal </t>
  </si>
  <si>
    <t>minoritary presence of Eucaliptus</t>
  </si>
  <si>
    <t>odales de pino de baja estatura (≤ 10 m), con una edad mediana de 12 a 15 años</t>
  </si>
  <si>
    <t xml:space="preserve">Pinus brutia </t>
  </si>
  <si>
    <t>Abundance of soil arthropods</t>
  </si>
  <si>
    <t>plot (soil cores)</t>
  </si>
  <si>
    <t>1991_04</t>
  </si>
  <si>
    <t>april</t>
  </si>
  <si>
    <t>figure ocurrence, forest type</t>
  </si>
  <si>
    <t>There is also an RDA with time as an explanatory factor</t>
  </si>
  <si>
    <t>1992_02</t>
  </si>
  <si>
    <t>figure ocurrence, forest type, date</t>
  </si>
  <si>
    <t>Actual evapotranspiration</t>
  </si>
  <si>
    <t>mm day⁻1</t>
  </si>
  <si>
    <t>remote sensing (Landsat 8)</t>
  </si>
  <si>
    <t>2013_06_20</t>
  </si>
  <si>
    <t xml:space="preserve">fire ocurrence </t>
  </si>
  <si>
    <t>Latent heat flux</t>
  </si>
  <si>
    <t>Evapotranspiration difference</t>
  </si>
  <si>
    <t xml:space="preserve">fire severity </t>
  </si>
  <si>
    <t>Bird abundance</t>
  </si>
  <si>
    <t>Nº</t>
  </si>
  <si>
    <t>Ant abundance</t>
  </si>
  <si>
    <t>pitfall tramps in transects</t>
  </si>
  <si>
    <t>se realizaron muestreos directos con trampas de caída y técnicas de cuadrantes de puntos</t>
  </si>
  <si>
    <t>Ant abundance per genus</t>
  </si>
  <si>
    <t>Monthly abundances of Collembola and Isopoda</t>
  </si>
  <si>
    <t>plot (pitfall traps)</t>
  </si>
  <si>
    <t>site or habitats are used as a proxy of different fire conditions</t>
  </si>
  <si>
    <t>Shannon diversity of Collembola and Isopoda</t>
  </si>
  <si>
    <t>Evenness of Collembola and Isopoda</t>
  </si>
  <si>
    <t>species richness of Collembola and Isopoda</t>
  </si>
  <si>
    <t>Alpha-diversity of families</t>
  </si>
  <si>
    <t>Number of fungal OTUs</t>
  </si>
  <si>
    <t>2013_05</t>
  </si>
  <si>
    <t>forest type and fire severity</t>
  </si>
  <si>
    <t>Enzimatic activity</t>
  </si>
  <si>
    <t>pmolmm –2 min –1</t>
  </si>
  <si>
    <t>2020_11</t>
  </si>
  <si>
    <t>fire ocurrence and soil depth</t>
  </si>
  <si>
    <t>Extractable Phosphorus (P)</t>
  </si>
  <si>
    <t>Organic Carbon (C)</t>
  </si>
  <si>
    <t>cmolc/kg</t>
  </si>
  <si>
    <t>Species richness (helminths)</t>
  </si>
  <si>
    <t>grid</t>
  </si>
  <si>
    <t>fire ocurrence, host sex and habitat</t>
  </si>
  <si>
    <t xml:space="preserve">Helminth abundance </t>
  </si>
  <si>
    <t>Mean number of helminths per host</t>
  </si>
  <si>
    <t>Prevalence</t>
  </si>
  <si>
    <t>Abundance of bettles</t>
  </si>
  <si>
    <t>No</t>
  </si>
  <si>
    <t>plots in transects</t>
  </si>
  <si>
    <t>fire type</t>
  </si>
  <si>
    <t>fire type: canopy fire, understory fire or unburned. 4 random transects adn 3 plots per transect (one for each treatment)</t>
  </si>
  <si>
    <t>Richness of bettles</t>
  </si>
  <si>
    <t>NO</t>
  </si>
  <si>
    <t>2024_01</t>
  </si>
  <si>
    <t>Post-fire management strategies (Natural, Graded, RIP, Control)</t>
  </si>
  <si>
    <t>Iron (Fe)</t>
  </si>
  <si>
    <t>mg/kg (ppm)</t>
  </si>
  <si>
    <t>Post-fire management strategies; Soil Organic Matter</t>
  </si>
  <si>
    <t>Calcium (Ca)</t>
  </si>
  <si>
    <t>Aluminum (Al)</t>
  </si>
  <si>
    <t>Manganese (Mn)</t>
  </si>
  <si>
    <t>Chromium (Cr)</t>
  </si>
  <si>
    <t>Nickel (Ni)</t>
  </si>
  <si>
    <t>Zinc (Zn)</t>
  </si>
  <si>
    <t>Copper (Cu)</t>
  </si>
  <si>
    <t>Lead (Pb)</t>
  </si>
  <si>
    <t>Cobalt (Co)</t>
  </si>
  <si>
    <t>Arsenic (As)</t>
  </si>
  <si>
    <t>Mercury (Hg)</t>
  </si>
  <si>
    <t>ng/g (ppb)</t>
  </si>
  <si>
    <t>Prevalence (Total and by Life Cycle)</t>
  </si>
  <si>
    <t>1994_02</t>
  </si>
  <si>
    <t>ocurrence and species + models with host age, post-fire period, host sex + climate</t>
  </si>
  <si>
    <t>Mean Abundance</t>
  </si>
  <si>
    <t>No.</t>
  </si>
  <si>
    <t xml:space="preserve">ocurrence and species </t>
  </si>
  <si>
    <t>Median Intensity</t>
  </si>
  <si>
    <t>ocurrence and species</t>
  </si>
  <si>
    <t>Species Richness</t>
  </si>
  <si>
    <t>fire ocurrence + models with host age, post-fire period, host sex</t>
  </si>
  <si>
    <t>Diversity indices (Shannon, Simpson, Berger–Parker, Shannon evenness)</t>
  </si>
  <si>
    <t>NA (Index value)</t>
  </si>
  <si>
    <t>Brillouin Index (HB)</t>
  </si>
  <si>
    <t>Ecological density (D)</t>
  </si>
  <si>
    <t>Breeding pairs / 10 ha</t>
  </si>
  <si>
    <t>transect/plot</t>
  </si>
  <si>
    <t>fire event (before / after) + species + ecological guilds</t>
  </si>
  <si>
    <t>Consuming biomass (Cb)</t>
  </si>
  <si>
    <t>g / 10 ha</t>
  </si>
  <si>
    <t>Shannon–Wiener diversity index (H’)</t>
  </si>
  <si>
    <t>Index (dimensionless)</t>
  </si>
  <si>
    <t>Multivisit territory mapping (transect/plot)</t>
  </si>
  <si>
    <t>fire event (before / after)</t>
  </si>
  <si>
    <t>Evenness index (J)</t>
  </si>
  <si>
    <t>Normalized Margalef richness (Dm)</t>
  </si>
  <si>
    <t>Relative frequencies (FrD and FrCb)</t>
  </si>
  <si>
    <t>Percentage / Ratio</t>
  </si>
  <si>
    <t>Lizard abundance</t>
  </si>
  <si>
    <t>vegetation type, fire, elevation, NDVI, year</t>
  </si>
  <si>
    <t>Lizard species richness</t>
  </si>
  <si>
    <t>Lizard Shannon Index</t>
  </si>
  <si>
    <t>Moisture (M)</t>
  </si>
  <si>
    <t>soil erosion treatment, slope, and time since the soil treatment</t>
  </si>
  <si>
    <t>plots within three sites</t>
  </si>
  <si>
    <t>mS·m⁻¹</t>
  </si>
  <si>
    <t>Total Organic Carbon (TOC)</t>
  </si>
  <si>
    <t>Phosphorus (P)</t>
  </si>
  <si>
    <t>Carbonates (CARB)</t>
  </si>
  <si>
    <t>mg CO₃²⁻·g⁻¹</t>
  </si>
  <si>
    <t>Basal Soil Respiration (BR)</t>
  </si>
  <si>
    <t>µg C-CO₂ g⁻¹·day⁻¹</t>
  </si>
  <si>
    <t>µg C·g⁻¹</t>
  </si>
  <si>
    <t>Dehydrogenase Activity (DHA)</t>
  </si>
  <si>
    <t>µmol (INTF)·g⁻¹·h⁻¹</t>
  </si>
  <si>
    <t>Urease Activity (UA)</t>
  </si>
  <si>
    <t>µmol (N-NH₄⁺)·g⁻¹·h⁻¹</t>
  </si>
  <si>
    <t>Alkaline Phosphatase (APA)</t>
  </si>
  <si>
    <t>µmol (PNP)·g⁻¹·h⁻¹</t>
  </si>
  <si>
    <t>β-glucosidase Activity (β-GLU)</t>
  </si>
  <si>
    <t>C/N Ratio</t>
  </si>
  <si>
    <t>Metabolic Coefficient [q(CO₂)]</t>
  </si>
  <si>
    <t>µg C-CO₂·µg⁻¹ C·day⁻¹</t>
  </si>
  <si>
    <t>Mineralization Coefficient [q(mC)]</t>
  </si>
  <si>
    <t>µg C-CO₂·mg⁻¹ COT·day⁻¹</t>
  </si>
  <si>
    <t>Soil Quality Index (SQI)</t>
  </si>
  <si>
    <t>Presence of ambrosia beetle attacks</t>
  </si>
  <si>
    <t>ocurrence</t>
  </si>
  <si>
    <t>plot/ transect</t>
  </si>
  <si>
    <t>2013_12</t>
  </si>
  <si>
    <t>Tree diameter (DBH), fire severity (char depth/height), green crown volume, distance to unburned area, cork exploitation status (exploited/unexploited), and stem wounds.</t>
  </si>
  <si>
    <t>Intensity of ambrosia beetle attacks</t>
  </si>
  <si>
    <t>holes/m2 or count (n)</t>
  </si>
  <si>
    <t>Distance to unburned area, bark thickness, debarking height, green crown volume, and tree diameter (DBH).</t>
  </si>
  <si>
    <t>Number of ambrosia bettles</t>
  </si>
  <si>
    <t>Density of ambrosia bettles</t>
  </si>
  <si>
    <t>n/m2</t>
  </si>
  <si>
    <t>Unsaturated hydraulic conductivity (K)</t>
  </si>
  <si>
    <t>mm/min</t>
  </si>
  <si>
    <t>Zone (Deposition/Erosion), Structure type, Site, Year</t>
  </si>
  <si>
    <t>Vegetation density</t>
  </si>
  <si>
    <t>plants/m²</t>
  </si>
  <si>
    <t>Zone (Deposition/Erosion), Site, Year</t>
  </si>
  <si>
    <t>Soil texture (Sand, Clay, Silt content)</t>
  </si>
  <si>
    <t>% p.v.</t>
  </si>
  <si>
    <t>Zone, Site, Year</t>
  </si>
  <si>
    <t>cumulative infiltration</t>
  </si>
  <si>
    <t>Net Ecosystem Exchange (NEE)</t>
  </si>
  <si>
    <t>µmol m⁻² s⁻¹</t>
  </si>
  <si>
    <t>Tower (eddy-covariance)</t>
  </si>
  <si>
    <t>Rainfall, temperature, net radiation, soil moisture, dew formation</t>
  </si>
  <si>
    <t>Gross Primary Production (Assimilation)</t>
  </si>
  <si>
    <t>Net radiation, temperature</t>
  </si>
  <si>
    <t>Ecosystem Respiration</t>
  </si>
  <si>
    <t>Soil temperature, soil volumetric water content (VWC)</t>
  </si>
  <si>
    <t>Energy balance (Sensible/Latent heat)</t>
  </si>
  <si>
    <t>W m⁻²</t>
  </si>
  <si>
    <t>Net radiation, ground heat flux, wind speed</t>
  </si>
  <si>
    <t>Time since fire, fire ocurrence</t>
  </si>
  <si>
    <t>Cmol c kg⁻¹ soil</t>
  </si>
  <si>
    <t>Total Soil C</t>
  </si>
  <si>
    <t>Total Soil N</t>
  </si>
  <si>
    <t>Total Soil P</t>
  </si>
  <si>
    <t>Total Soil S</t>
  </si>
  <si>
    <t>Exchangeable Ca</t>
  </si>
  <si>
    <t>Exchangeable K</t>
  </si>
  <si>
    <t>Exchangeable Mg</t>
  </si>
  <si>
    <t>mature Aleppo pine stands with scrublands with a full coverage in all plots (Pistacia lentiscus, Quercus coccifera, Quercus ilex, Juniperus oxycedrus, Rosmarinus officinalis, Stippa tenaccisima, Thymus vulgaris)</t>
  </si>
  <si>
    <t>Same fire than in 366. Another fire in the same area in 1994</t>
  </si>
  <si>
    <t>Pinus pinaster plantation</t>
  </si>
  <si>
    <t>plantation of Pinus pinaster ssp. with potential for Quercus suber L. The pine forest was almost completely devastated by the fire while the bark of the cork oak protected them from the flames.</t>
  </si>
  <si>
    <t>2009_08_27</t>
  </si>
  <si>
    <t>eucalypt plantation</t>
  </si>
  <si>
    <t>Another fire occurred in the area in 1990. Logging and extraction of the wood just in one of the sites, but had no direct impact on the micro-plots</t>
  </si>
  <si>
    <t>Same fire than in 384. Another fire in the same area in 1994</t>
  </si>
  <si>
    <t>Pinus halepensis plantation</t>
  </si>
  <si>
    <t>Forest is one of the main types of land use, with Pinus halepensis Mill. that have stand ages ranging from 10 to 80 years. Shrub vegetation mainly consists of Chamaerops humilis L., Quercus coccifera L., Juniperus oxycedrus L., Rhamnus alaternus L., Daphne gnidium L., Cistus albidus L., Ulex parviflorus Pourr., Rosmarinus officinalis L., and herbaceous layers include Brachypodium retusum (Pers.) Beauv., and sometimes in the wetter and deeper soils Brachypodium phoenicoides (L.) Roem. &amp; Schult.</t>
  </si>
  <si>
    <t>2016_07_01</t>
  </si>
  <si>
    <t>−1.9430555</t>
  </si>
  <si>
    <t>pinus halepensis forest</t>
  </si>
  <si>
    <t>P. halepensis Mill of 20–100 years old. The mean tree density was about 500–650 trees ha−1, and their height was 7–14 m. The shrubs and herbaceous species mainly found at the study site were Salvia rosmarinus Schleid, Brachypodium retusum (Pers.) Beauv., Cistus clusii Dunal, Lavandula latifolia Medik., Thymus vulgaris L. and Helichrysum stoechas (L.).</t>
  </si>
  <si>
    <t>2017_10_17</t>
  </si>
  <si>
    <t>−7.1869000</t>
  </si>
  <si>
    <t>The burned area mainly comprised P. pinaster Ait. stands of 40–110 years old. The mean tree density was about 800–1250 trees ha−1 and their height was 18–25 m. The understory was dominated by Erica australis L. and Pterospartum tridentatum (L.) Willk.</t>
  </si>
  <si>
    <t>natural P. pinaster forests with 97% serotinous trees. Tree density in old stands (no wildfires recorded since 1978) in Sierra del Teleno is 765 plants ha−1. The shrubby understorey community is mostly comprised of Pterospartum tridentatum (L.) Willk., Halimium lasianthum (Lam.) Spach and Erica australis L.</t>
  </si>
  <si>
    <t>Previous wildfires in 1978, 1991, 1998</t>
  </si>
  <si>
    <t>P. halepensis natural forests (100% of serotinous trees), with localized presence of P. pinaster. Tree density in stands unburned since 1978 was 283 plants ha−1. The understory of these fire-prone pine ecosystems was dominated by Ulex parviflorus Pourr., Quercus coccifera L. and Rosmarinus officinalis L.</t>
  </si>
  <si>
    <t>Previous wildfires in 1978, 1991, 1994</t>
  </si>
  <si>
    <t>2005-2006</t>
  </si>
  <si>
    <t>pure and mixed stands of P. pinaster and Eucalyptus sp</t>
  </si>
  <si>
    <t>management includes (a) harvesting of burned trees; (b) soil tillage (including harrowing, ploughing, and soil ripping); (c) cutting of the understory vegetation, but not sites that were recently planted or sites where the spontaneous vegetation was eliminated by recent forestry operations</t>
  </si>
  <si>
    <t>Pinus nigra plantation</t>
  </si>
  <si>
    <t> 50 year old P. nigra subsp. austriaca stand spanning 1367 ha, and where Q. pyrenaica can be found in the understory at low frequency</t>
  </si>
  <si>
    <t>Both fires in this study have same coordinate</t>
  </si>
  <si>
    <t xml:space="preserve"> 50 year old P. nigra subsp. austriaca stand spanning 1367 ha, and where Q. pyrenaica can be found in the understory at low frequency</t>
  </si>
  <si>
    <t>Pinus nigra and Abies cefalonifa forests</t>
  </si>
  <si>
    <t>Black pine forests on Mount Taygetos have experienced frequent fires during the last 165 years, with the two most extensive events taking place in 1998 and 2007</t>
  </si>
  <si>
    <t>3 samples per plot</t>
  </si>
  <si>
    <t>management;Silt;Sand;pH;Electrical conductivity;Total Organic Carbon;Organic Matter;N;C/N Ratio;Carbonates;P;K;Ca;Na;Microbial Biomass Carbon;Basal Soil Respiration;Deshydrogenase activity;β-glucosidase activity;urease activity;acid phosphatase activity;Glomaline content</t>
  </si>
  <si>
    <t>management;Clay;Silt;Sand;pH;Electrical conductivity;Total Organic Carbon;Organic Matter;N;C/N Ratio;Carbonates;P;K;Ca;Na;Microbial Biomass Carbon;Basal Soil Respiration;Deshydrogenase activity;β-glucosidase activity;urease activity;acid phosphatase activity;Glomaline content</t>
  </si>
  <si>
    <t>management;Clay;Silt;pH;Electrical conductivity;Total Organic Carbon;Organic Matter;N;C/N Ratio;Carbonates;P;K;Ca;Na;Microbial Biomass Carbon;Basal Soil Respiration;Deshydrogenase activity;β-glucosidase activity;urease activity;acid phosphatase activity;Glomaline content</t>
  </si>
  <si>
    <t>management;Clay;Silt;Sand;Electrical conductivity;Total Organic Carbon;Organic Matter;N;C/N Ratio;Carbonates;P;K;Ca;Na;Microbial Biomass Carbon;Basal Soil Respiration;Deshydrogenase activity;β-glucosidase activity;urease activity;acid phosphatase activity;Glomaline content</t>
  </si>
  <si>
    <t>µS / s</t>
  </si>
  <si>
    <t>management;Clay;Silt;Sand;pH;Total Organic Carbon;Organic Matter;N;C/N Ratio;Carbonates;P;K;Ca;Na;Microbial Biomass Carbon;Basal Soil Respiration;Deshydrogenase activity;β-glucosidase activity;urease activity;acid phosphatase activity;Glomaline content</t>
  </si>
  <si>
    <t>management;Clay;Silt;Sand;pH;Electrical conductivity;Organic Matter;N;C/N Ratio;Carbonates;P;K;Ca;Na;Microbial Biomass Carbon;Basal Soil Respiration;Deshydrogenase activity;β-glucosidase activity;urease activity;acid phosphatase activity;Glomaline content</t>
  </si>
  <si>
    <t>management;Clay;Silt;Sand;pH;Electrical conductivity;Total Organic Carbon;N;C/N Ratio;Carbonates;P;K;Ca;Na;Microbial Biomass Carbon;Basal Soil Respiration;Deshydrogenase activity;β-glucosidase activity;urease activity;acid phosphatase activity;Glomaline content</t>
  </si>
  <si>
    <t>management;Clay;Silt;Sand;pH;Electrical conductivity;Total Organic Carbon;Organic Matter;C/N Ratio;Carbonates;P;K;Ca;Na;Microbial Biomass Carbon;Basal Soil Respiration;Deshydrogenase activity;β-glucosidase activity;urease activity;acid phosphatase activity;Glomaline content</t>
  </si>
  <si>
    <t>management;Clay;Silt;Sand;pH;Electrical conductivity;Total Organic Carbon;Organic Matter;N;Carbonates;P;K;Ca;Na;Microbial Biomass Carbon;Basal Soil Respiration;Deshydrogenase activity;β-glucosidase activity;urease activity;acid phosphatase activity;Glomaline content</t>
  </si>
  <si>
    <t>Carbonates</t>
  </si>
  <si>
    <t>management;Clay;Silt;Sand;pH;Electrical conductivity;Total Organic Carbon;Organic Matter;N;C/N Ratio;P;K;Ca;Na;Microbial Biomass Carbon;Basal Soil Respiration;Deshydrogenase activity;β-glucosidase activity;urease activity;acid phosphatase activity;Glomaline content</t>
  </si>
  <si>
    <t>management;Clay;Silt;Sand;pH;Electrical conductivity;Total Organic Carbon;Organic Matter;N;C/N Ratio;Carbonates;K;Ca;Na;Microbial Biomass Carbon;Basal Soil Respiration;Deshydrogenase activity;β-glucosidase activity;urease activity;acid phosphatase activity;Glomaline content</t>
  </si>
  <si>
    <t>management;Clay;Silt;Sand;pH;Electrical conductivity;Total Organic Carbon;Organic Matter;N;C/N Ratio;Carbonates;P;Ca;Na;Microbial Biomass Carbon;Basal Soil Respiration;Deshydrogenase activity;β-glucosidase activity;urease activity;acid phosphatase activity;Glomaline content</t>
  </si>
  <si>
    <t>Ca</t>
  </si>
  <si>
    <t>management;Clay;Silt;Sand;pH;Electrical conductivity;Total Organic Carbon;Organic Matter;N;C/N Ratio;Carbonates;P;K;Na;Microbial Biomass Carbon;Basal Soil Respiration;Deshydrogenase activity;β-glucosidase activity;urease activity;acid phosphatase activity;Glomaline content</t>
  </si>
  <si>
    <t>management;Clay;Silt;Sand;pH;Electrical conductivity;Total Organic Carbon;Organic Matter;N;C/N Ratio;Carbonates;P;K;Ca;Microbial Biomass Carbon;Basal Soil Respiration;Deshydrogenase activity;β-glucosidase activity;urease activity;acid phosphatase activity;Glomaline content</t>
  </si>
  <si>
    <t>CBM mg C biomass kg soil−1</t>
  </si>
  <si>
    <t>management;Clay;Silt;Sand;pH;Electrical conductivity;Total Organic Carbon;Organic Matter;N;C/N Ratio;Carbonates;P;K;Ca;Na;Basal Soil Respiration;Deshydrogenase activity;β-glucosidase activity;urease activity;acid phosphatase activity;Glomaline content</t>
  </si>
  <si>
    <t>REB as CO2 rate μg hour−1 g−1 soil</t>
  </si>
  <si>
    <t>management;Clay;Silt;Sand;pH;Electrical conductivity;Total Organic Carbon;Organic Matter;N;C/N Ratio;Carbonates;P;K;Ca;Na;Microbial Biomass Carbon;Deshydrogenase activity;β-glucosidase activity;urease activity;acid phosphatase activity;Glomaline content</t>
  </si>
  <si>
    <t>Deshydrogenase activity (DHA)</t>
  </si>
  <si>
    <t>DHA μg INTF g−1 dry soil hour−1</t>
  </si>
  <si>
    <t>management;Clay;Silt;Sand;pH;Electrical conductivity;Total Organic Carbon;Organic Matter;N;C/N Ratio;Carbonates;P;K;Ca;Na;Microbial Biomass Carbon;Basal Soil Respiration;β-glucosidase activity;urease activity;acid phosphatase activity;Glomaline content</t>
  </si>
  <si>
    <t>μmol PNP g-1 dry soil hour−1</t>
  </si>
  <si>
    <t>management;Clay;Silt;Sand;pH;Electrical conductivity;Total Organic Carbon;Organic Matter;N;C/N Ratio;Carbonates;P;K;Ca;Na;Microbial Biomass Carbon;Basal Soil Respiration;Deshydrogenase activity;urease activity;acid phosphatase activity;Glomaline content</t>
  </si>
  <si>
    <t>μmol N-NH4+ g-1 dry soil hour−1</t>
  </si>
  <si>
    <t>management;Clay;Silt;Sand;pH;Electrical conductivity;Total Organic Carbon;Organic Matter;N;C/N Ratio;Carbonates;P;K;Ca;Na;Microbial Biomass Carbon;Basal Soil Respiration;Deshydrogenase activity;β-glucosidase activity;acid phosphatase activity;Glomaline content</t>
  </si>
  <si>
    <t>acid phosphatase activity</t>
  </si>
  <si>
    <t>management;Clay;Silt;Sand;pH;Electrical conductivity;Total Organic Carbon;Organic Matter;N;C/N Ratio;Carbonates;P;K;Ca;Na;Microbial Biomass Carbon;Basal Soil Respiration;Deshydrogenase activity;β-glucosidase activity;urease activity;Glomaline content</t>
  </si>
  <si>
    <t>Glomaline content</t>
  </si>
  <si>
    <t>μg g−1</t>
  </si>
  <si>
    <t>management;Clay;Silt;Sand;pH;Electrical conductivity;Total Organic Carbon;Organic Matter;N;C/N Ratio;Carbonates;P;K;Ca;Na;Microbial Biomass Carbon;Basal Soil Respiration;Deshydrogenase activity;β-glucosidase activity;urease activity;acid phosphatase activity</t>
  </si>
  <si>
    <t>Relative abundance</t>
  </si>
  <si>
    <t>1995_01</t>
  </si>
  <si>
    <t>species;fire severity;time since fire</t>
  </si>
  <si>
    <t>Grouped response variable. No statistical test</t>
  </si>
  <si>
    <t>Soil cover</t>
  </si>
  <si>
    <t>time since fire;pre-fire management</t>
  </si>
  <si>
    <t>Annual runoff</t>
  </si>
  <si>
    <t>microplots</t>
  </si>
  <si>
    <t>time since fire;pre-fire management;annual rainfal;rainfal erosivity;frequency of high soil water repellency classes</t>
  </si>
  <si>
    <t>Annual runoff coefficient</t>
  </si>
  <si>
    <t>Annual sediment losses</t>
  </si>
  <si>
    <t>Annual sediment concentrations</t>
  </si>
  <si>
    <t>Mg / ha / mm runoff</t>
  </si>
  <si>
    <t>management;Electrical conductivity;Organic Matter;Microbial Biomass Carbon;Basal Soil Respiration;Deshydrogenase activity;urease activity;acid phosphatase activity;protease activity;β-glucosidase activity</t>
  </si>
  <si>
    <t>management;pH;Organic Matter;Microbial Biomass Carbon;Basal Soil Respiration;Deshydrogenase activity;urease activity;acid phosphatase activity;protease activity;β-glucosidase activity</t>
  </si>
  <si>
    <t>% of dry soil</t>
  </si>
  <si>
    <t>management;pH;Electrical conductivity;Microbial Biomass Carbon;Basal Soil Respiration;Deshydrogenase activity;urease activity;acid phosphatase activity;protease activity;β-glucosidase activity</t>
  </si>
  <si>
    <t>mg C kg soil−1</t>
  </si>
  <si>
    <t>management;pH;Electrical conductivity;Organic Matter;Basal Soil Respiration;Deshydrogenase activity;urease activity;acid phosphatase activity;protease activity;β-glucosidase activity</t>
  </si>
  <si>
    <t>μg CO2 hour−1 g−1 soil</t>
  </si>
  <si>
    <t>μg INTF g−1 dry soil hour−1</t>
  </si>
  <si>
    <t>management;pH;Electrical conductivity;Organic Matter;Microbial Biomass Carbon;Basal Soil Respiration;urease activity;acid phosphatase activity;protease activity;β-glucosidase activity</t>
  </si>
  <si>
    <t>organic matter effect was visually analized as well</t>
  </si>
  <si>
    <t>management;pH;Electrical conductivity;Organic Matter;Microbial Biomass Carbon;Basal Soil Respiration;Deshydrogenase activity;acid phosphatase activity;protease activity;β-glucosidase activity</t>
  </si>
  <si>
    <t>μmol p-NP g-1 dry soil hour−1</t>
  </si>
  <si>
    <t>management;pH;Electrical conductivity;Organic Matter;Microbial Biomass Carbon;Basal Soil Respiration;Deshydrogenase activity;urease activity;protease activity;β-glucosidase activity</t>
  </si>
  <si>
    <t>management;pH;Electrical conductivity;Organic Matter;Microbial Biomass Carbon;Basal Soil Respiration;Deshydrogenase activity;urease activity;acid phosphatase activity;protease activity</t>
  </si>
  <si>
    <t>protease activity</t>
  </si>
  <si>
    <t>management;pH;Electrical conductivity;Organic Matter;Microbial Biomass Carbon;Basal Soil Respiration;Deshydrogenase activity;urease activity;acid phosphatase activity;β-glucosidase activity</t>
  </si>
  <si>
    <t>pre-fire stand age;pre-fire management;aspect;Electrical conductivity;total organic carbon;available water;soil water content;Basal Soil Respiration;cumulative basal soil respiration;Deshydrogenase activity;urease activity;alkaline phosphatase activity;β-glucosidase activity;plant diversity;plant richness</t>
  </si>
  <si>
    <t>µS / cm</t>
  </si>
  <si>
    <t>pre-fire stand age;pre-fire management;aspect;pH;Electrical conductivity;available water;soil water content;Basal Soil Respiration;cumulative basal soil respiration;Deshydrogenase activity;urease activity;alkaline phosphatase activity;β-glucosidase activity;plant diversity;plant richness</t>
  </si>
  <si>
    <t>Available plant water</t>
  </si>
  <si>
    <t>pre-fire stand age;pre-fire management;aspect;pH;Electrical conductivity;total organic carbon;soil water content;Basal Soil Respiration;cumulative basal soil respiration;Deshydrogenase activity;urease activity;alkaline phosphatase activity;β-glucosidase activity;plant diversity;plant richness</t>
  </si>
  <si>
    <t>pre-fire stand age;pre-fire management;aspect;pH;Electrical conductivity;total organic carbon;available water;Basal Soil Respiration;cumulative basal soil respiration;Deshydrogenase activity;urease activity;alkaline phosphatase activity;β-glucosidase activity;plant diversity;plant richness</t>
  </si>
  <si>
    <t>mg C-CO2 day−1 kg−1 soil</t>
  </si>
  <si>
    <t>pre-fire stand age;pre-fire management;aspect;pH;Electrical conductivity;total organic carbon;available water;soil water content;cumulative basal soil respiration;Deshydrogenase activity;urease activity;alkaline phosphatase activity;β-glucosidase activity;plant diversity;plant richness</t>
  </si>
  <si>
    <t>mg C-CO2 kg−1 soil in 32 days</t>
  </si>
  <si>
    <t>pre-fire stand age;pre-fire management;aspect;pH;Electrical conductivity;total organic carbon;available water;soil water content;Basal Soil RespirationDeshydrogenase activity;urease activity;alkaline phosphatase activity;β-glucosidase activity;plant diversity;plant richness</t>
  </si>
  <si>
    <t>μmol INTF g−1 dry soil hour−1</t>
  </si>
  <si>
    <t>pre-fire stand age;pre-fire management;aspect;pH;Electrical conductivity;total organic carbon;available water;soil water content;Basal Soil Respiration;cumulative basal soil respiration;urease activity;alkaline phosphatase activity;β-glucosidase activity;plant diversity;plant richness</t>
  </si>
  <si>
    <t>pre-fire stand age;pre-fire management;aspect;pH;Electrical conductivity;total organic carbon;available water;soil water content;Basal Soil Respiration;cumulative basal soil respiration;Deshydrogenase activity;alkaline phosphatase activity;β-glucosidase activity;plant diversity;plant richness</t>
  </si>
  <si>
    <t>alkaline phosphatase activity</t>
  </si>
  <si>
    <t>μmol p-NP g-1 dry soil</t>
  </si>
  <si>
    <t>pre-fire stand age;pre-fire management;aspect;pH;Electrical conductivity;total organic carbon;available water;soil water content;Basal Soil Respiration;cumulative basal soil respiration;Deshydrogenase activity;urease activity;β-glucosidase activity;plant diversity;plant richness</t>
  </si>
  <si>
    <t>pre-fire stand age;pre-fire management;aspect;pH;Electrical conductivity;total organic carbon;available water;soil water content;Basal Soil Respiration;cumulative basal soil respiration;Deshydrogenase activity;urease activity;alkaline phosphatase activity;plant diversity;plant richness</t>
  </si>
  <si>
    <t>transects within plots</t>
  </si>
  <si>
    <t>pre-fire stand age;pre-fire management;aspect;plant reproductive traits;life forms</t>
  </si>
  <si>
    <t>no. of species</t>
  </si>
  <si>
    <t>pre-fire stand age;pre-fire management;aspect;pH;Electrical conductivity;total organic carbon;available water;soil water content;Basal Soil Respiration;cumulative basal soil respiration;Deshydrogenase activity;urease activity;alkaline phosphatase activity;β-glucosidase activity;plant diversity</t>
  </si>
  <si>
    <t>pre-fire stand age;pre-fire management;aspect;pH;Electrical conductivity;total organic carbon;available water;soil water content;Basal Soil Respiration;cumulative basal soil respiration;Deshydrogenase activity;urease activity;alkaline phosphatase activity;β-glucosidase activity;plant diversity;plant richness</t>
  </si>
  <si>
    <t>3 samples per rectangular plots</t>
  </si>
  <si>
    <t>2018_12</t>
  </si>
  <si>
    <t>mulching treatment;silvicultural treatment</t>
  </si>
  <si>
    <t>results reported by site</t>
  </si>
  <si>
    <t>% by category</t>
  </si>
  <si>
    <t>linear transects in rectangular plots</t>
  </si>
  <si>
    <t>leave-covered shoot length</t>
  </si>
  <si>
    <t>root length</t>
  </si>
  <si>
    <t>leave-covered shoot dry weight</t>
  </si>
  <si>
    <t>stem dry weight</t>
  </si>
  <si>
    <t>root dry weight</t>
  </si>
  <si>
    <t>shoot:root ratio</t>
  </si>
  <si>
    <t>quadrats within subplots within plots</t>
  </si>
  <si>
    <t>time since fire;fire frequency;burn severity;cover of understory</t>
  </si>
  <si>
    <t>pine seedling cover</t>
  </si>
  <si>
    <t>pine seedlings height</t>
  </si>
  <si>
    <t>shrub species richness</t>
  </si>
  <si>
    <t>circular subplots within circular plots</t>
  </si>
  <si>
    <t>biogeographic region;forest type (mono-specific eucalypt plantation; mono-specific maritime pine plantation; mixed eucalypt-pine stand);occurrence of soil tillage;occurrence of tree harvesting;occurrence of shrub clearance;slope;elevation</t>
  </si>
  <si>
    <t>sites were samples between the winter of 2010 and the late spring of 2012</t>
  </si>
  <si>
    <t>shrub cover by reproductive functional group</t>
  </si>
  <si>
    <t>biogeographic region;forest type (mono-specific eucalypt plantation; mono-specific maritime pine plantation; mixed eucalypt-pine stand);occurrence of soil tillage;occurrence of tree harvesting;occurrence of shrub clearance;slope;elevation;reproductive functional group</t>
  </si>
  <si>
    <t>shrub cover by family</t>
  </si>
  <si>
    <t>biogeographic region;forest type (mono-specific eucalypt plantation; mono-specific maritime pine plantation; mixed eucalypt-pine stand);occurrence of soil tillage;occurrence of tree harvesting;occurrence of shrub clearance;slope;elevation;shrub family</t>
  </si>
  <si>
    <t>sphorocarp species richness</t>
  </si>
  <si>
    <t>rectangular plots</t>
  </si>
  <si>
    <t>sphorocarp species richness by nutritional mode</t>
  </si>
  <si>
    <t>time since fire;nutritional mode</t>
  </si>
  <si>
    <t>sphorocarp species richness by edibility</t>
  </si>
  <si>
    <t>time since fire;edibility</t>
  </si>
  <si>
    <t>sphorocarp fresh weight</t>
  </si>
  <si>
    <t>kg / ha-1</t>
  </si>
  <si>
    <t>sphorocarp fresh weight by nutritional mode</t>
  </si>
  <si>
    <t>sphorocarp fresh weight by edibility</t>
  </si>
  <si>
    <t>dry weight (kg /ha-1)</t>
  </si>
  <si>
    <t>squared plots in belt transects</t>
  </si>
  <si>
    <t>three-year long period, starting from April 2010 to September 2012. They record seedlings and sapling but then they analyze everything together. Also they do different models but I include all moderators in one row</t>
  </si>
  <si>
    <t>Land-use history;species family</t>
  </si>
  <si>
    <t>Land-use history;species</t>
  </si>
  <si>
    <t>measure_date: during the first two weeks after firesampling_type:Plot (25 m²) (nº pines whose needles were all consumed by fire). Duda: fire severity lo indico como vegetation porque mide severidad en funcion de afeccion a vegetacion. No se que subtipo poner.</t>
  </si>
  <si>
    <t>measure_date: during the first two weeks after firesampling_type:Plot (25 m²)  (shrub twigs). Duda: fire severity lo indico como vegetation porque mide severidad en funcion de afeccion a vegetacion. No se que subtipo poner.</t>
  </si>
  <si>
    <t>measure_date: during the first two weeks after firesampling_type:Plot (25 m²)  (tree trunks). Duda: fire severity lo indico como vegetation porque mide severidad en funcion de afeccion a vegetacion. No se que subtipo poner.</t>
  </si>
  <si>
    <t>sampling_type:Plot (25 m²). Duda: fire severity lo indico como vegetation porque mide severidad en funcion de afeccion a vegetacion. No se que subtipo poner.</t>
  </si>
  <si>
    <t>age after fire;distance to unburned patches;heat load index;number of mature surviving trees;height and dbh of mature surviving trees;no. of fires;vegetation cover (ferns, herbs, coarse woody debris, stones, bare soil and litter)</t>
  </si>
  <si>
    <t>Reported for open forest; no significant differences among fire scenarios, but relative changes noted. sampling_type: plot (5 m radius). 5_3.2.2_para1; 4_2.3.2_para2</t>
  </si>
  <si>
    <t>excludetype</t>
  </si>
  <si>
    <t>C4</t>
  </si>
  <si>
    <t>C1</t>
  </si>
  <si>
    <t>C5</t>
  </si>
  <si>
    <t>C3</t>
  </si>
  <si>
    <t>C2</t>
  </si>
  <si>
    <t>C6</t>
  </si>
  <si>
    <t xml:space="preserve">recompte </t>
  </si>
  <si>
    <t>Species mean coverage</t>
  </si>
  <si>
    <t>plant life form cover</t>
  </si>
  <si>
    <t>annual soil erosion rate</t>
  </si>
  <si>
    <t>2026_06_08</t>
  </si>
  <si>
    <t>2026_06_09</t>
  </si>
  <si>
    <t>oak forests; pine forests</t>
  </si>
  <si>
    <t>Quercus ilex, Pinus halepensis, Olea europaea var. Sylvestris. Scrub strata: Pistacia lentiscus, Ampelodesmus mauritanica, Chamaerops humilis, Erica multiflora, Cistus albidus, Cistus monspeliensis, Calicotome spinosa,  Rhamnus alaternus, Rosmarinus officinalis, Cneorum tricoccon, Phillyrea angustifolia.</t>
  </si>
  <si>
    <t>Dominated by evergreen holm oak (Quercus ilex L.), Aleppo pine (Pinus halepensis Mill.), and Spanish black pine (Pinus nigra subsp. salzmannii (Dunal) Franco), generally with an evergreen holm oak understory [</t>
  </si>
  <si>
    <t>spruce forests</t>
  </si>
  <si>
    <t>predominantly covered by 100 to 120 years old spruce trees affected by bark beetles</t>
  </si>
  <si>
    <t>—Scots pine (Pinus sylvestris L.) and Black pine (Pinus nigra Arn.).</t>
  </si>
  <si>
    <t>2015_11</t>
  </si>
  <si>
    <t>mixed forests</t>
  </si>
  <si>
    <t>mixed forests consist of Turkey oak (Quercus cerris L.), hornbeam (Quercus frainetto T e n), and Oriental hornbeam (Carpinus orientalis M i l l.)</t>
  </si>
  <si>
    <t>2016_07_29</t>
  </si>
  <si>
    <t>The main tree species were Scots pine (Pinus sylvestris L.) and Black pine (Pinus nigra Arn.).</t>
  </si>
  <si>
    <t>Pinus brutia woodland</t>
  </si>
  <si>
    <t>Pinus halepensis trees with a tall (sometimes over 4 m), dense understorey of evergreen sclerophyllous shrubs such as Arbutus unedo, A. andrachne, Erica arborea, Quercus coccifera and Phillyrea latifolia. Low shrubs and herbs such as Cistus creticus, Cistus salviifolius, Brachypodium retusum and Hypochoeris achyrophorus grow only in openings and forest margins</t>
  </si>
  <si>
    <t>1993_09_07</t>
  </si>
  <si>
    <t>7000 </t>
  </si>
  <si>
    <t>oak forests and pine forests</t>
  </si>
  <si>
    <t>dominated by pinus nigra; the ground vegetation is mainly composed by herbaceous (Eryngium campestre L., Geranium selvaticum L., Festuca rubra L., and Cirsium acaule L.) and small shrub (mainly Thymus bracteatus L.) species.</t>
  </si>
  <si>
    <t>Soil nutrients</t>
  </si>
  <si>
    <t xml:space="preserve">Electrical Conductivity </t>
  </si>
  <si>
    <t>Encymatic activity</t>
  </si>
  <si>
    <t>µmoles PNP g−1 dry soil h−1</t>
  </si>
  <si>
    <t xml:space="preserve">Mineralization coefficient </t>
  </si>
  <si>
    <t>mg C−CO2​ g−1 C h−1</t>
  </si>
  <si>
    <t>Shannon Index</t>
  </si>
  <si>
    <t>Unitless index</t>
  </si>
  <si>
    <t>Index of connectivity</t>
  </si>
  <si>
    <t>cover of branches</t>
  </si>
  <si>
    <t>herbaceous cover</t>
  </si>
  <si>
    <t>small mammals abundance</t>
  </si>
  <si>
    <t>Individuals per plot</t>
  </si>
  <si>
    <t>post-fire treatment;post-fire treatment;time since fire; species</t>
  </si>
  <si>
    <t xml:space="preserve">categorical </t>
  </si>
  <si>
    <t>remote sensing; plot</t>
  </si>
  <si>
    <t>2013_08</t>
  </si>
  <si>
    <t xml:space="preserve">Re-growth intensity </t>
  </si>
  <si>
    <t>fire site; time since fire</t>
  </si>
  <si>
    <t>grouped response variable ( NBR, NDVI, Disturbance Index)</t>
  </si>
  <si>
    <t>Vegetation recovery</t>
  </si>
  <si>
    <t xml:space="preserve">time since fire; slope aspect; </t>
  </si>
  <si>
    <t>grouped response variable ( NDVI, Greenness dynamics , Wetness dynamics, Chlorophyll content, Canopy moisture stress, Disturbance Level)</t>
  </si>
  <si>
    <t>Tree cover density</t>
  </si>
  <si>
    <t>forest type; forest intensity; time since fire</t>
  </si>
  <si>
    <t>Vegetation changes</t>
  </si>
  <si>
    <t xml:space="preserve">vegetation type; pre-fire vegetation; altitude;slope; aspect; solar radiation; distance from unburned sites; distance from unburned P. brutia forest; ; soil depth; bedrock type; </t>
  </si>
  <si>
    <t xml:space="preserve"> variable subtype: thematic maps</t>
  </si>
  <si>
    <t>vegetation recovery probability</t>
  </si>
  <si>
    <t>binary(0-1)</t>
  </si>
  <si>
    <t xml:space="preserve">time since fire; altitude;slope; aspect; solar radiation; distance from unburned sites; distance from unburned P. brutia forest; ; soil depth; bedrock type; pre-fire vegetation; </t>
  </si>
  <si>
    <t>grouped response variable (NDVI, NBR)</t>
  </si>
  <si>
    <t>Vegetation index change</t>
  </si>
  <si>
    <t xml:space="preserve">Unitless </t>
  </si>
  <si>
    <t>grouped response variable (NDVI, NBR);</t>
  </si>
  <si>
    <t>Life-form spectra</t>
  </si>
  <si>
    <t>Plant family abundance</t>
  </si>
  <si>
    <t xml:space="preserve">Shannon’s Diversity Index </t>
  </si>
  <si>
    <t>Evenness Index</t>
  </si>
  <si>
    <t xml:space="preserve">Vegeration regrowth </t>
  </si>
  <si>
    <t xml:space="preserve">time since fire </t>
  </si>
  <si>
    <t xml:space="preserve">Using NDVI </t>
  </si>
  <si>
    <t>vegetation changes</t>
  </si>
  <si>
    <t xml:space="preserve">pixel </t>
  </si>
  <si>
    <t>time since fire; vegetation index; vegetation type</t>
  </si>
  <si>
    <t xml:space="preserve">Tree cover </t>
  </si>
  <si>
    <t>Diversity change</t>
  </si>
  <si>
    <t>Seedling emergence rate</t>
  </si>
  <si>
    <t>2010_01</t>
  </si>
  <si>
    <t>Seedling survival rate</t>
  </si>
  <si>
    <t>Slope; post-management treatment; seed protection; year</t>
  </si>
  <si>
    <t>time since fire; life form type</t>
  </si>
  <si>
    <t>fire occurrence; presence of terraces</t>
  </si>
  <si>
    <t>Altitude; slope;</t>
  </si>
  <si>
    <t>time since fire; diversity type (Shannon-Wiener diversity, Simpson diversity, and species richness); species type (Ulex parviflorus, Rosmarinus officinalis y Cistus clusi, Ulex  parviflorus)</t>
  </si>
  <si>
    <t>capitulo de libro</t>
  </si>
  <si>
    <r>
      <rPr>
        <b/>
        <sz val="11"/>
        <color theme="1"/>
        <rFont val="Calibri"/>
        <family val="2"/>
        <scheme val="minor"/>
      </rPr>
      <t>Duda</t>
    </r>
    <r>
      <rPr>
        <sz val="11"/>
        <color theme="1"/>
        <rFont val="Calibri"/>
        <family val="2"/>
        <scheme val="minor"/>
      </rPr>
      <t xml:space="preserve"> - artículo en francés</t>
    </r>
  </si>
  <si>
    <r>
      <rPr>
        <b/>
        <sz val="11"/>
        <color theme="1"/>
        <rFont val="Calibri"/>
        <family val="2"/>
        <scheme val="minor"/>
      </rPr>
      <t>Duda</t>
    </r>
    <r>
      <rPr>
        <sz val="11"/>
        <color theme="1"/>
        <rFont val="Calibri"/>
        <family val="2"/>
        <scheme val="minor"/>
      </rPr>
      <t xml:space="preserve"> - no analiza exactamente el efecto de los incendios, sino la distribucion de especies a lo largo de gradientes de perturbacion, entre elos zonas urbanizadas, cultivos, y dos zonas que sgún dice han sido repetidamente incendiadas. </t>
    </r>
  </si>
  <si>
    <t>acid phosphatases</t>
  </si>
  <si>
    <t>bacteria G+/G- ratio</t>
  </si>
  <si>
    <t>cumulative basal soil respiration</t>
  </si>
  <si>
    <t>Bulgaria</t>
  </si>
  <si>
    <t>the measures are in a stream</t>
  </si>
  <si>
    <t>dry weight of fungus</t>
  </si>
  <si>
    <t>colonized seedlings by the EMS</t>
  </si>
  <si>
    <t>shrubland</t>
  </si>
  <si>
    <t>experimental conditions</t>
  </si>
  <si>
    <t>silvicultural;reforestation</t>
  </si>
  <si>
    <t>erosion control;reforestation</t>
  </si>
  <si>
    <t xml:space="preserve">                study_type</t>
  </si>
  <si>
    <t>study_level              field field;remote sensing palaeoecology remote sensing</t>
  </si>
  <si>
    <t xml:space="preserve">  community         27.8026906            8.9686099     0.4484305     13.0044843</t>
  </si>
  <si>
    <t xml:space="preserve">  community;species 19.7309417            4.0358744     0.0000000      0.4484305</t>
  </si>
  <si>
    <t xml:space="preserve">  species           23.7668161            0.8968610     0.8968610      0.0000000</t>
  </si>
  <si>
    <t>Paleoecología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</si>
</sst>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
    <numFmt numFmtId="166" formatCode="#,##0.000"/>
    <numFmt numFmtId="167" formatCode="yyyy\-mm\-dd"/>
  </numFmts>
  <fonts count="17" x14ac:knownFonts="1">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theme="1"/>
      <name val="Calibri"/>
      <family val="2"/>
    </font>
    <font>
      <sz val="11"/>
      <color theme="1"/>
      <name val="Arial"/>
      <family val="2"/>
    </font>
    <font>
      <b/>
      <sz val="11"/>
      <color rgb="FFFF0000"/>
      <name val="Calibri"/>
      <family val="2"/>
      <scheme val="minor"/>
    </font>
    <font>
      <sz val="11"/>
      <color rgb="FFFF0000"/>
      <name val="Calibri"/>
      <family val="2"/>
      <scheme val="minor"/>
    </font>
    <font>
      <sz val="11"/>
      <color theme="1"/>
      <name val="Calibri"/>
      <family val="2"/>
      <scheme val="minor"/>
    </font>
    <font>
      <b/>
      <sz val="11"/>
      <color theme="0"/>
      <name val="Calibri"/>
      <family val="2"/>
      <scheme val="minor"/>
    </font>
    <font>
      <sz val="7"/>
      <color rgb="FF000000"/>
      <name val="Lucida Console"/>
      <family val="3"/>
    </font>
    <font>
      <b/>
      <sz val="11"/>
      <color theme="1"/>
      <name val="Arial"/>
      <family val="2"/>
    </font>
    <font>
      <sz val="11"/>
      <color rgb="FF000000"/>
      <name val="Calibri"/>
      <family val="2"/>
      <scheme val="minor"/>
    </font>
    <font>
      <sz val="11"/>
      <color rgb="FF000000"/>
      <name val="Calibri"/>
      <family val="2"/>
    </font>
    <font>
      <vertAlign val="subscript"/>
      <sz val="11"/>
      <color theme="1"/>
      <name val="Calibri"/>
      <family val="2"/>
      <scheme val="minor"/>
    </font>
    <font>
      <vertAlign val="superscript"/>
      <sz val="11"/>
      <color theme="1"/>
      <name val="Calibri"/>
      <family val="2"/>
      <scheme val="minor"/>
    </font>
    <font>
      <sz val="11"/>
      <color theme="1"/>
      <name val="Aptos Narrow"/>
      <family val="2"/>
    </font>
  </fonts>
  <fills count="1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bgColor theme="9"/>
      </patternFill>
    </fill>
    <fill>
      <patternFill patternType="solid">
        <fgColor rgb="FFFFFF00"/>
        <bgColor rgb="FFFFFF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theme="9" tint="0.39997558519241921"/>
      </top>
      <bottom style="thin">
        <color theme="9" tint="0.39997558519241921"/>
      </bottom>
      <diagonal/>
    </border>
    <border>
      <left/>
      <right/>
      <top/>
      <bottom style="thin">
        <color indexed="64"/>
      </bottom>
      <diagonal/>
    </border>
    <border>
      <left/>
      <right/>
      <top style="thin">
        <color indexed="64"/>
      </top>
      <bottom/>
      <diagonal/>
    </border>
  </borders>
  <cellStyleXfs count="2">
    <xf numFmtId="0" fontId="0" fillId="0" borderId="0"/>
    <xf numFmtId="9" fontId="8" fillId="0" borderId="0" applyFont="0" applyFill="0" applyBorder="0" applyAlignment="0" applyProtection="0"/>
  </cellStyleXfs>
  <cellXfs count="96">
    <xf numFmtId="0" fontId="0" fillId="0" borderId="0" xfId="0"/>
    <xf numFmtId="0" fontId="0" fillId="2" borderId="0" xfId="0" applyFill="1"/>
    <xf numFmtId="0" fontId="1" fillId="3" borderId="1" xfId="0" applyFont="1" applyFill="1" applyBorder="1"/>
    <xf numFmtId="0" fontId="0" fillId="5" borderId="1" xfId="0" applyFill="1" applyBorder="1" applyAlignment="1">
      <alignment wrapText="1"/>
    </xf>
    <xf numFmtId="0" fontId="1" fillId="4" borderId="1" xfId="0" applyFont="1" applyFill="1" applyBorder="1"/>
    <xf numFmtId="0" fontId="1" fillId="4" borderId="1" xfId="0" applyFont="1" applyFill="1" applyBorder="1" applyAlignment="1">
      <alignment horizontal="left" vertical="center"/>
    </xf>
    <xf numFmtId="0" fontId="1" fillId="6" borderId="2" xfId="0" applyFont="1" applyFill="1" applyBorder="1"/>
    <xf numFmtId="0" fontId="1" fillId="7" borderId="1" xfId="0" applyFont="1" applyFill="1" applyBorder="1"/>
    <xf numFmtId="0" fontId="0" fillId="8" borderId="1" xfId="0" applyFill="1" applyBorder="1" applyAlignment="1">
      <alignment wrapText="1"/>
    </xf>
    <xf numFmtId="0" fontId="1" fillId="10" borderId="1" xfId="0" applyFont="1" applyFill="1" applyBorder="1"/>
    <xf numFmtId="0" fontId="1" fillId="4"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2" borderId="2" xfId="0" applyFont="1" applyFill="1" applyBorder="1"/>
    <xf numFmtId="0" fontId="1" fillId="12" borderId="1" xfId="0" applyFont="1" applyFill="1" applyBorder="1"/>
    <xf numFmtId="0" fontId="0" fillId="0" borderId="0" xfId="0" applyAlignment="1">
      <alignment horizontal="center"/>
    </xf>
    <xf numFmtId="0" fontId="0" fillId="0" borderId="0" xfId="0" applyAlignment="1">
      <alignment horizontal="right"/>
    </xf>
    <xf numFmtId="0" fontId="0" fillId="0" borderId="0" xfId="0" applyAlignment="1">
      <alignment horizontal="right" vertical="top"/>
    </xf>
    <xf numFmtId="0" fontId="1" fillId="4" borderId="3" xfId="0" applyFont="1" applyFill="1" applyBorder="1" applyAlignment="1">
      <alignment horizontal="center" vertical="center"/>
    </xf>
    <xf numFmtId="0" fontId="1" fillId="10" borderId="1" xfId="0" applyFont="1" applyFill="1" applyBorder="1" applyAlignment="1">
      <alignment horizontal="left" vertical="center"/>
    </xf>
    <xf numFmtId="0" fontId="1" fillId="12" borderId="1" xfId="0" applyFont="1" applyFill="1" applyBorder="1" applyAlignment="1">
      <alignment horizontal="center"/>
    </xf>
    <xf numFmtId="0" fontId="0" fillId="0" borderId="0" xfId="0" applyAlignment="1">
      <alignment wrapText="1"/>
    </xf>
    <xf numFmtId="0" fontId="0" fillId="11" borderId="1" xfId="0" applyFill="1" applyBorder="1" applyAlignment="1">
      <alignment wrapText="1"/>
    </xf>
    <xf numFmtId="0" fontId="2" fillId="11" borderId="1" xfId="0" applyFont="1" applyFill="1" applyBorder="1" applyAlignment="1">
      <alignment wrapText="1"/>
    </xf>
    <xf numFmtId="0" fontId="0" fillId="13" borderId="1" xfId="0" applyFill="1" applyBorder="1" applyAlignment="1">
      <alignment wrapText="1"/>
    </xf>
    <xf numFmtId="0" fontId="1" fillId="9" borderId="4" xfId="0" applyFont="1" applyFill="1" applyBorder="1"/>
    <xf numFmtId="0" fontId="6" fillId="0" borderId="0" xfId="0" applyFont="1"/>
    <xf numFmtId="0" fontId="2" fillId="0" borderId="0" xfId="0" applyFont="1" applyAlignment="1">
      <alignment horizontal="right"/>
    </xf>
    <xf numFmtId="0" fontId="1" fillId="0" borderId="0" xfId="0" applyFont="1"/>
    <xf numFmtId="0" fontId="2" fillId="0" borderId="0" xfId="0" applyFont="1"/>
    <xf numFmtId="0" fontId="2" fillId="15" borderId="0" xfId="0" applyFont="1" applyFill="1"/>
    <xf numFmtId="0" fontId="0" fillId="16" borderId="0" xfId="0" applyFill="1"/>
    <xf numFmtId="0" fontId="1" fillId="16" borderId="0" xfId="0" applyFont="1" applyFill="1"/>
    <xf numFmtId="0" fontId="1" fillId="0" borderId="1" xfId="0" applyFont="1" applyBorder="1"/>
    <xf numFmtId="0" fontId="0" fillId="0" borderId="1" xfId="0" applyBorder="1"/>
    <xf numFmtId="0" fontId="10" fillId="0" borderId="0" xfId="0" applyFont="1" applyAlignment="1">
      <alignment vertical="center"/>
    </xf>
    <xf numFmtId="9" fontId="0" fillId="0" borderId="0" xfId="1" applyFont="1" applyFill="1" applyBorder="1"/>
    <xf numFmtId="1" fontId="0" fillId="0" borderId="0" xfId="0" applyNumberFormat="1"/>
    <xf numFmtId="0" fontId="12" fillId="0" borderId="0" xfId="0" applyFont="1" applyAlignment="1">
      <alignment horizontal="right"/>
    </xf>
    <xf numFmtId="3" fontId="12" fillId="0" borderId="0" xfId="0" applyNumberFormat="1" applyFont="1" applyAlignment="1">
      <alignment horizontal="right"/>
    </xf>
    <xf numFmtId="0" fontId="12" fillId="0" borderId="0" xfId="0" applyFont="1" applyAlignment="1">
      <alignment horizontal="right" wrapText="1"/>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wrapText="1"/>
    </xf>
    <xf numFmtId="1" fontId="0" fillId="0" borderId="0" xfId="0" applyNumberFormat="1" applyAlignment="1">
      <alignment horizontal="right" vertical="top"/>
    </xf>
    <xf numFmtId="166" fontId="0" fillId="0" borderId="0" xfId="0" applyNumberFormat="1" applyAlignment="1">
      <alignment horizontal="right" vertical="top"/>
    </xf>
    <xf numFmtId="3" fontId="0" fillId="0" borderId="0" xfId="0" applyNumberFormat="1" applyAlignment="1">
      <alignment horizontal="right" vertical="top"/>
    </xf>
    <xf numFmtId="166" fontId="0" fillId="0" borderId="0" xfId="0" applyNumberFormat="1" applyAlignment="1">
      <alignment horizontal="right"/>
    </xf>
    <xf numFmtId="0" fontId="0" fillId="5" borderId="0" xfId="0" applyFill="1" applyAlignment="1">
      <alignment horizontal="right" vertical="top"/>
    </xf>
    <xf numFmtId="0" fontId="0" fillId="2" borderId="0" xfId="0" applyFill="1" applyAlignment="1">
      <alignment horizontal="right" vertical="top"/>
    </xf>
    <xf numFmtId="164" fontId="0" fillId="0" borderId="0" xfId="0" applyNumberFormat="1" applyAlignment="1">
      <alignment horizontal="right"/>
    </xf>
    <xf numFmtId="0" fontId="0" fillId="0" borderId="0" xfId="0" applyAlignment="1">
      <alignment horizontal="right" wrapText="1"/>
    </xf>
    <xf numFmtId="49" fontId="0" fillId="0" borderId="0" xfId="0" applyNumberFormat="1" applyAlignment="1">
      <alignment horizontal="right"/>
    </xf>
    <xf numFmtId="0" fontId="0" fillId="2" borderId="0" xfId="0" applyFill="1" applyAlignment="1">
      <alignment horizontal="right"/>
    </xf>
    <xf numFmtId="49" fontId="0" fillId="2" borderId="0" xfId="0" applyNumberFormat="1" applyFill="1" applyAlignment="1">
      <alignment horizontal="right"/>
    </xf>
    <xf numFmtId="0" fontId="0" fillId="14" borderId="0" xfId="0" applyFill="1" applyAlignment="1">
      <alignment horizontal="right"/>
    </xf>
    <xf numFmtId="16" fontId="0" fillId="0" borderId="0" xfId="0" applyNumberFormat="1" applyAlignment="1">
      <alignment horizontal="right"/>
    </xf>
    <xf numFmtId="0" fontId="1" fillId="7" borderId="1" xfId="0" applyFont="1" applyFill="1" applyBorder="1" applyAlignment="1">
      <alignment horizontal="center" vertical="top"/>
    </xf>
    <xf numFmtId="0" fontId="0" fillId="0" borderId="0" xfId="0" applyAlignment="1">
      <alignment horizontal="center" vertical="top"/>
    </xf>
    <xf numFmtId="0" fontId="5" fillId="2" borderId="6" xfId="0" applyFont="1" applyFill="1" applyBorder="1"/>
    <xf numFmtId="0" fontId="5" fillId="2" borderId="0" xfId="0" applyFont="1" applyFill="1"/>
    <xf numFmtId="9" fontId="5" fillId="2" borderId="0" xfId="0" applyNumberFormat="1" applyFont="1" applyFill="1"/>
    <xf numFmtId="1" fontId="5" fillId="2" borderId="0" xfId="0" applyNumberFormat="1" applyFont="1" applyFill="1" applyAlignment="1">
      <alignment horizontal="center"/>
    </xf>
    <xf numFmtId="0" fontId="1" fillId="0" borderId="1" xfId="0" applyFont="1" applyBorder="1" applyAlignment="1">
      <alignment horizontal="center"/>
    </xf>
    <xf numFmtId="9" fontId="0" fillId="0" borderId="1" xfId="1" applyFont="1" applyBorder="1"/>
    <xf numFmtId="0" fontId="1" fillId="2" borderId="0" xfId="0" applyFont="1" applyFill="1"/>
    <xf numFmtId="0" fontId="0" fillId="2" borderId="0" xfId="0" applyFill="1" applyAlignment="1">
      <alignment horizontal="left"/>
    </xf>
    <xf numFmtId="0" fontId="1" fillId="9" borderId="0" xfId="0" applyFont="1" applyFill="1"/>
    <xf numFmtId="164" fontId="0" fillId="14" borderId="0" xfId="0" applyNumberFormat="1" applyFill="1" applyAlignment="1">
      <alignment horizontal="right"/>
    </xf>
    <xf numFmtId="0" fontId="0" fillId="14" borderId="0" xfId="0" applyFill="1"/>
    <xf numFmtId="0" fontId="1" fillId="0" borderId="0" xfId="0" applyFont="1" applyAlignment="1">
      <alignment horizontal="left"/>
    </xf>
    <xf numFmtId="0" fontId="8" fillId="0" borderId="0" xfId="0" applyFont="1"/>
    <xf numFmtId="0" fontId="4" fillId="0" borderId="0" xfId="0" applyFont="1" applyAlignment="1">
      <alignment horizontal="right"/>
    </xf>
    <xf numFmtId="0" fontId="7" fillId="0" borderId="0" xfId="0" applyFont="1"/>
    <xf numFmtId="0" fontId="13" fillId="0" borderId="0" xfId="0" applyFont="1"/>
    <xf numFmtId="14" fontId="13" fillId="0" borderId="0" xfId="0" applyNumberFormat="1" applyFont="1"/>
    <xf numFmtId="0" fontId="13" fillId="14" borderId="0" xfId="0" applyFont="1" applyFill="1"/>
    <xf numFmtId="0" fontId="12" fillId="0" borderId="0" xfId="0" applyFont="1"/>
    <xf numFmtId="167" fontId="4" fillId="0" borderId="0" xfId="0" applyNumberFormat="1" applyFont="1" applyAlignment="1">
      <alignment horizontal="right"/>
    </xf>
    <xf numFmtId="0" fontId="4" fillId="0" borderId="0" xfId="0" applyFont="1" applyAlignment="1">
      <alignment horizontal="left"/>
    </xf>
    <xf numFmtId="167" fontId="4" fillId="0" borderId="0" xfId="0" applyNumberFormat="1" applyFont="1" applyAlignment="1">
      <alignment horizontal="left"/>
    </xf>
    <xf numFmtId="0" fontId="4" fillId="18" borderId="0" xfId="0" applyFont="1" applyFill="1" applyAlignment="1">
      <alignment horizontal="right"/>
    </xf>
    <xf numFmtId="0" fontId="4" fillId="14" borderId="0" xfId="0" applyFont="1" applyFill="1" applyAlignment="1">
      <alignment horizontal="right"/>
    </xf>
    <xf numFmtId="0" fontId="8" fillId="14" borderId="0" xfId="0" applyFont="1" applyFill="1"/>
    <xf numFmtId="0" fontId="8" fillId="0" borderId="0" xfId="0" applyFont="1" applyAlignment="1">
      <alignment horizontal="right"/>
    </xf>
    <xf numFmtId="0" fontId="0" fillId="0" borderId="7" xfId="0" applyBorder="1" applyAlignment="1">
      <alignment horizontal="right"/>
    </xf>
    <xf numFmtId="164" fontId="0" fillId="0" borderId="7" xfId="0" applyNumberFormat="1" applyBorder="1" applyAlignment="1">
      <alignment horizontal="right"/>
    </xf>
    <xf numFmtId="0" fontId="0" fillId="0" borderId="7" xfId="0" applyBorder="1" applyAlignment="1">
      <alignment horizontal="left"/>
    </xf>
    <xf numFmtId="0" fontId="0" fillId="0" borderId="7" xfId="0" applyBorder="1"/>
    <xf numFmtId="0" fontId="0" fillId="0" borderId="0" xfId="0" applyAlignment="1">
      <alignment horizontal="left"/>
    </xf>
    <xf numFmtId="9" fontId="0" fillId="0" borderId="0" xfId="1" applyFont="1"/>
    <xf numFmtId="0" fontId="9" fillId="17" borderId="5" xfId="0" applyFont="1" applyFill="1" applyBorder="1" applyAlignment="1">
      <alignment horizontal="center"/>
    </xf>
    <xf numFmtId="0" fontId="11" fillId="2" borderId="7" xfId="0" applyFont="1" applyFill="1" applyBorder="1" applyAlignment="1">
      <alignment horizontal="left"/>
    </xf>
    <xf numFmtId="0" fontId="11" fillId="2" borderId="6" xfId="0" applyFont="1" applyFill="1" applyBorder="1" applyAlignment="1">
      <alignment horizontal="left"/>
    </xf>
    <xf numFmtId="0" fontId="1" fillId="2" borderId="0" xfId="0" applyFont="1" applyFill="1" applyAlignment="1">
      <alignment horizontal="center" vertical="center"/>
    </xf>
    <xf numFmtId="0" fontId="11" fillId="2" borderId="0" xfId="0" applyFont="1" applyFill="1" applyBorder="1" applyAlignment="1">
      <alignment horizontal="center"/>
    </xf>
  </cellXfs>
  <cellStyles count="2">
    <cellStyle name="Normal" xfId="0" builtinId="0"/>
    <cellStyle name="Percentatge" xfId="1" builtinId="5"/>
  </cellStyles>
  <dxfs count="9">
    <dxf>
      <font>
        <color rgb="FF9C0006"/>
      </font>
      <fill>
        <patternFill>
          <bgColor rgb="FFFFC7CE"/>
        </patternFill>
      </fill>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0" formatCode="General"/>
    </dxf>
  </dxfs>
  <tableStyles count="0" defaultTableStyle="TableStyleMedium2" defaultPivotStyle="PivotStyleLight16"/>
  <colors>
    <mruColors>
      <color rgb="FFFFCCFF"/>
      <color rgb="FFFFFFCC"/>
      <color rgb="FFCCFFFF"/>
      <color rgb="FF9737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0.13962877030162416"/>
          <c:w val="0.89019685039370078"/>
          <c:h val="0.72024005699983562"/>
        </c:manualLayout>
      </c:layout>
      <c:barChart>
        <c:barDir val="col"/>
        <c:grouping val="clustered"/>
        <c:varyColors val="0"/>
        <c:ser>
          <c:idx val="0"/>
          <c:order val="0"/>
          <c:tx>
            <c:strRef>
              <c:f>'1_study_resumen'!$B$1</c:f>
              <c:strCache>
                <c:ptCount val="1"/>
                <c:pt idx="0">
                  <c:v>recuento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'1_study_resumen'!$A$2:$A$5</c:f>
              <c:strCache>
                <c:ptCount val="4"/>
                <c:pt idx="0">
                  <c:v>field</c:v>
                </c:pt>
                <c:pt idx="1">
                  <c:v>remote sensing</c:v>
                </c:pt>
                <c:pt idx="2">
                  <c:v>field;remote sensing</c:v>
                </c:pt>
                <c:pt idx="3">
                  <c:v>palaeoecology</c:v>
                </c:pt>
              </c:strCache>
            </c:strRef>
          </c:cat>
          <c:val>
            <c:numRef>
              <c:f>'1_study_resumen'!$B$2:$B$5</c:f>
              <c:numCache>
                <c:formatCode>General</c:formatCode>
                <c:ptCount val="4"/>
                <c:pt idx="0">
                  <c:v>211</c:v>
                </c:pt>
                <c:pt idx="1">
                  <c:v>33</c:v>
                </c:pt>
                <c:pt idx="2">
                  <c:v>39</c:v>
                </c:pt>
                <c:pt idx="3">
                  <c:v>3</c:v>
                </c:pt>
              </c:numCache>
            </c:numRef>
          </c:val>
          <c:extLst>
            <c:ext xmlns:c16="http://schemas.microsoft.com/office/drawing/2014/chart" uri="{C3380CC4-5D6E-409C-BE32-E72D297353CC}">
              <c16:uniqueId val="{00000000-1A9A-45E8-AAB0-8B3A7F5D0332}"/>
            </c:ext>
          </c:extLst>
        </c:ser>
        <c:dLbls>
          <c:dLblPos val="outEnd"/>
          <c:showLegendKey val="0"/>
          <c:showVal val="1"/>
          <c:showCatName val="0"/>
          <c:showSerName val="0"/>
          <c:showPercent val="0"/>
          <c:showBubbleSize val="0"/>
        </c:dLbls>
        <c:gapWidth val="219"/>
        <c:overlap val="-27"/>
        <c:axId val="671210815"/>
        <c:axId val="671211295"/>
      </c:barChart>
      <c:catAx>
        <c:axId val="6712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1211295"/>
        <c:crosses val="autoZero"/>
        <c:auto val="1"/>
        <c:lblAlgn val="ctr"/>
        <c:lblOffset val="100"/>
        <c:noMultiLvlLbl val="0"/>
      </c:catAx>
      <c:valAx>
        <c:axId val="6712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1210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'3_measures_resumen'!$A$2:$A$5</c:f>
              <c:strCache>
                <c:ptCount val="1"/>
                <c:pt idx="0">
                  <c:v>vegetación</c:v>
                </c:pt>
              </c:strCache>
            </c:strRef>
          </c:cat>
          <c:val>
            <c:numRef>
              <c:f>'3_measures_resumen'!$C$2:$C$5</c:f>
              <c:numCache>
                <c:formatCode>0%</c:formatCode>
                <c:ptCount val="1"/>
                <c:pt idx="0">
                  <c:v>0.47869674185463656</c:v>
                </c:pt>
              </c:numCache>
            </c:numRef>
          </c:val>
          <c:extLst>
            <c:ext xmlns:c16="http://schemas.microsoft.com/office/drawing/2014/chart" uri="{C3380CC4-5D6E-409C-BE32-E72D297353CC}">
              <c16:uniqueId val="{00000000-6B61-4EE7-A4AB-49AC9365D362}"/>
            </c:ext>
          </c:extLst>
        </c:ser>
        <c:dLbls>
          <c:dLblPos val="outEnd"/>
          <c:showLegendKey val="0"/>
          <c:showVal val="1"/>
          <c:showCatName val="0"/>
          <c:showSerName val="0"/>
          <c:showPercent val="0"/>
          <c:showBubbleSize val="0"/>
        </c:dLbls>
        <c:gapWidth val="219"/>
        <c:overlap val="-27"/>
        <c:axId val="540297055"/>
        <c:axId val="540291295"/>
      </c:barChart>
      <c:catAx>
        <c:axId val="5402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91295"/>
        <c:crosses val="autoZero"/>
        <c:auto val="1"/>
        <c:lblAlgn val="ctr"/>
        <c:lblOffset val="100"/>
        <c:noMultiLvlLbl val="0"/>
      </c:catAx>
      <c:valAx>
        <c:axId val="5402912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97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434975</xdr:colOff>
      <xdr:row>7</xdr:row>
      <xdr:rowOff>179387</xdr:rowOff>
    </xdr:from>
    <xdr:to>
      <xdr:col>7</xdr:col>
      <xdr:colOff>34925</xdr:colOff>
      <xdr:row>23</xdr:row>
      <xdr:rowOff>17462</xdr:rowOff>
    </xdr:to>
    <xdr:graphicFrame macro="">
      <xdr:nvGraphicFramePr>
        <xdr:cNvPr id="2" name="Gràfic 1">
          <a:extLst>
            <a:ext uri="{FF2B5EF4-FFF2-40B4-BE49-F238E27FC236}">
              <a16:creationId xmlns:a16="http://schemas.microsoft.com/office/drawing/2014/main" id="{33CF4C44-255A-066B-EB53-AE703AAC2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406400</xdr:colOff>
      <xdr:row>7</xdr:row>
      <xdr:rowOff>122237</xdr:rowOff>
    </xdr:from>
    <xdr:to>
      <xdr:col>6</xdr:col>
      <xdr:colOff>282575</xdr:colOff>
      <xdr:row>22</xdr:row>
      <xdr:rowOff>144462</xdr:rowOff>
    </xdr:to>
    <xdr:graphicFrame macro="">
      <xdr:nvGraphicFramePr>
        <xdr:cNvPr id="3" name="Gràfic 2">
          <a:extLst>
            <a:ext uri="{FF2B5EF4-FFF2-40B4-BE49-F238E27FC236}">
              <a16:creationId xmlns:a16="http://schemas.microsoft.com/office/drawing/2014/main" id="{18992B3C-5665-276C-3768-62457A387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rrión Megías Anna" id="{92925E79-2BD8-4F4F-B64B-7F462A815C21}" userId="S::anna.carrion@edu.uah.es::c40237dd-f486-4d7d-b778-fcab87fcf5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esExternes_1" connectionId="2" xr16:uid="{D5E262CA-7F0F-4833-B183-1A6BABBF1446}" autoFormatId="16" applyNumberFormats="0" applyBorderFormats="0" applyFontFormats="0" applyPatternFormats="0" applyAlignmentFormats="0" applyWidthHeightFormats="0">
  <queryTableRefresh nextId="5">
    <queryTableFields count="4">
      <queryTableField id="1" name="Column1" tableColumnId="1"/>
      <queryTableField id="2" name="field" tableColumnId="2"/>
      <queryTableField id="3" name="remote sensing" tableColumnId="3"/>
      <queryTableField id="4" name="field;remote sensing"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esExternes_2" connectionId="4" xr16:uid="{A1E3E571-5B7F-4CB5-AC07-A39A958011F8}" autoFormatId="16" applyNumberFormats="0" applyBorderFormats="0" applyFontFormats="0" applyPatternFormats="0" applyAlignmentFormats="0" applyWidthHeightFormats="0">
  <queryTableRefresh nextId="5">
    <queryTableFields count="4">
      <queryTableField id="1" name="Column1" tableColumnId="1"/>
      <queryTableField id="2" name="field" tableColumnId="2"/>
      <queryTableField id="3" name="remote sensing" tableColumnId="3"/>
      <queryTableField id="4" name="field;remote sensing"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D89300-C78F-4A22-8084-079922973E62}" name="OE1_3" displayName="OE1_3" ref="J18:M21" tableType="queryTable" totalsRowShown="0">
  <tableColumns count="4">
    <tableColumn id="1" xr3:uid="{139CFBA7-0567-4BCC-AD49-320A8F375A18}" uniqueName="1" name="Nivel de estudio" queryTableFieldId="1" dataDxfId="8"/>
    <tableColumn id="2" xr3:uid="{746D45F3-4F98-4BA9-91CD-DB12505703C1}" uniqueName="2" name="Campo" queryTableFieldId="2" dataDxfId="7"/>
    <tableColumn id="3" xr3:uid="{AC86A5DA-FDC7-4B55-89EF-2E7DC0E18825}" uniqueName="3" name="Teledetección" queryTableFieldId="3" dataDxfId="6"/>
    <tableColumn id="4" xr3:uid="{BAAFA9D9-FB5E-4327-A192-07F804C5B5E1}" uniqueName="4" name="Campo + Teledetección" queryTableFieldId="4"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39A37E-40CD-47A7-9CF1-29D8B4702C5D}" name="OE1__35" displayName="OE1__35" ref="J24:M27" tableType="queryTable" totalsRowShown="0">
  <tableColumns count="4">
    <tableColumn id="1" xr3:uid="{0D57C7B4-914E-4BEA-A67C-BBE8A004F0DF}" uniqueName="1" name="Nivel de estudio" queryTableFieldId="1" dataDxfId="4"/>
    <tableColumn id="2" xr3:uid="{60E3C8B6-7165-4B95-A8C9-941AE5425EBD}" uniqueName="2" name="Campo" queryTableFieldId="2" dataDxfId="3"/>
    <tableColumn id="3" xr3:uid="{BB3DEA86-67E4-4E42-AD13-BB98B2D66E3C}" uniqueName="3" name="Teledetección" queryTableFieldId="3" dataDxfId="2"/>
    <tableColumn id="4" xr3:uid="{91D96280-FCEA-4725-8E58-29AC815BA009}" uniqueName="4" name="Campo + Teledetección"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6-03-27T11:36:03.66" personId="{92925E79-2BD8-4F4F-B64B-7F462A815C21}" id="{EA178136-5B07-4E78-B739-5FFA6740D138}" done="1">
    <text>Corregir: Poner fecha que dicen los autores aunque no sea completa, no buscar incendio por internet!</text>
  </threadedComment>
  <threadedComment ref="A363" dT="2026-04-21T07:34:13.43" personId="{92925E79-2BD8-4F4F-B64B-7F462A815C21}" id="{1E7CDE4C-A857-4915-ADD5-A7956E575E94}" done="1">
    <text>Ejemplo severidad no explícita</text>
  </threadedComment>
  <threadedComment ref="A369" dT="2026-04-21T10:56:03.34" personId="{92925E79-2BD8-4F4F-B64B-7F462A815C21}" id="{087E332B-A760-433B-9AD1-8AE18539088B}" done="1">
    <text>Severidad no explícita ejemplo</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6-03-27T11:36:23.93" personId="{92925E79-2BD8-4F4F-B64B-7F462A815C21}" id="{1300ECB3-88AC-456C-AF2E-C6D95EBB47EB}" done="1">
    <text>Corregir: poner fecha aunque no completa la definida por los autores</text>
  </threadedComment>
  <threadedComment ref="G415" dT="2026-04-18T10:58:12.86" personId="{92925E79-2BD8-4F4F-B64B-7F462A815C21}" id="{09E03171-CF6A-4FD5-8C01-48AA08A9CDED}" done="1">
    <text>Duda - postfire starting sampling date</text>
  </threadedComment>
  <threadedComment ref="G415" dT="2026-05-19T11:45:34.90" personId="{92925E79-2BD8-4F4F-B64B-7F462A815C21}" id="{DB0B8B44-B980-48A1-BC16-5C6332FF23FA}" parentId="{09E03171-CF6A-4FD5-8C01-48AA08A9CDED}">
    <text>En results se ve como el inicio de medidas postincendio es en enero-febrero del 17. Está okay</text>
  </threadedComment>
  <threadedComment ref="A491" dT="2026-04-19T09:17:39.25" personId="{92925E79-2BD8-4F4F-B64B-7F462A815C21}" id="{1038AA54-721B-40AD-9286-A658566B82AD}" done="1">
    <text>Duda - figura 3 no entiendo</text>
  </threadedComment>
</ThreadedComments>
</file>

<file path=xl/threadedComments/threadedComment3.xml><?xml version="1.0" encoding="utf-8"?>
<ThreadedComments xmlns="http://schemas.microsoft.com/office/spreadsheetml/2018/threadedcomments" xmlns:x="http://schemas.openxmlformats.org/spreadsheetml/2006/main">
  <threadedComment ref="H21" dT="2026-05-19T14:30:17.36" personId="{92925E79-2BD8-4F4F-B64B-7F462A815C21}" id="{BFF85C91-CD64-4460-A1C5-002FD1E9B791}">
    <text>Tal vez convendría crear categoría "functional traits", muy importante acuerdate de PERE en restauración. Decía el profe que la restauración basada en rasgos funcionales era importante. Tal vez puede quedar guay tener en cuenta si la literatura habla de esto y citar su importancia en el TFM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64F0-179D-4B60-B4F7-49877C465B06}">
  <dimension ref="A1:C40"/>
  <sheetViews>
    <sheetView topLeftCell="A12" zoomScale="85" zoomScaleNormal="85" workbookViewId="0">
      <selection activeCell="C30" sqref="C30"/>
    </sheetView>
  </sheetViews>
  <sheetFormatPr defaultColWidth="8.81640625" defaultRowHeight="14.5" x14ac:dyDescent="0.35"/>
  <cols>
    <col min="1" max="1" width="9.81640625" bestFit="1" customWidth="1"/>
    <col min="2" max="2" width="24.54296875" bestFit="1" customWidth="1"/>
    <col min="3" max="3" width="162.1796875" customWidth="1"/>
  </cols>
  <sheetData>
    <row r="1" spans="1:3" x14ac:dyDescent="0.35">
      <c r="B1" s="26" t="s">
        <v>0</v>
      </c>
    </row>
    <row r="3" spans="1:3" x14ac:dyDescent="0.35">
      <c r="A3" s="2">
        <v>1</v>
      </c>
      <c r="B3" s="4" t="s">
        <v>1</v>
      </c>
      <c r="C3" s="3" t="s">
        <v>2</v>
      </c>
    </row>
    <row r="4" spans="1:3" x14ac:dyDescent="0.35">
      <c r="A4" s="1"/>
      <c r="B4" s="5" t="s">
        <v>3</v>
      </c>
      <c r="C4" s="3" t="s">
        <v>429</v>
      </c>
    </row>
    <row r="5" spans="1:3" ht="29" x14ac:dyDescent="0.35">
      <c r="B5" s="5" t="s">
        <v>4</v>
      </c>
      <c r="C5" s="3" t="s">
        <v>721</v>
      </c>
    </row>
    <row r="6" spans="1:3" x14ac:dyDescent="0.35">
      <c r="A6" s="1"/>
      <c r="B6" s="4" t="s">
        <v>5</v>
      </c>
      <c r="C6" s="3" t="s">
        <v>6</v>
      </c>
    </row>
    <row r="7" spans="1:3" x14ac:dyDescent="0.35">
      <c r="A7" s="1"/>
      <c r="B7" s="4" t="s">
        <v>1338</v>
      </c>
      <c r="C7" s="3" t="s">
        <v>1339</v>
      </c>
    </row>
    <row r="8" spans="1:3" x14ac:dyDescent="0.35">
      <c r="A8" s="1"/>
      <c r="B8" s="4" t="s">
        <v>435</v>
      </c>
      <c r="C8" s="3" t="s">
        <v>455</v>
      </c>
    </row>
    <row r="9" spans="1:3" x14ac:dyDescent="0.35">
      <c r="C9" s="21"/>
    </row>
    <row r="10" spans="1:3" x14ac:dyDescent="0.35">
      <c r="A10" s="6">
        <v>2</v>
      </c>
      <c r="B10" s="7" t="s">
        <v>1</v>
      </c>
      <c r="C10" s="8" t="s">
        <v>2</v>
      </c>
    </row>
    <row r="11" spans="1:3" x14ac:dyDescent="0.35">
      <c r="B11" s="7" t="s">
        <v>7</v>
      </c>
      <c r="C11" s="8" t="s">
        <v>8</v>
      </c>
    </row>
    <row r="12" spans="1:3" x14ac:dyDescent="0.35">
      <c r="A12" s="1"/>
      <c r="B12" s="7" t="s">
        <v>9</v>
      </c>
      <c r="C12" s="8" t="s">
        <v>1341</v>
      </c>
    </row>
    <row r="13" spans="1:3" x14ac:dyDescent="0.35">
      <c r="A13" s="1"/>
      <c r="B13" s="7" t="s">
        <v>719</v>
      </c>
      <c r="C13" s="8" t="s">
        <v>720</v>
      </c>
    </row>
    <row r="14" spans="1:3" x14ac:dyDescent="0.35">
      <c r="A14" s="1"/>
      <c r="B14" s="7" t="s">
        <v>10</v>
      </c>
      <c r="C14" s="8" t="s">
        <v>456</v>
      </c>
    </row>
    <row r="15" spans="1:3" ht="29" x14ac:dyDescent="0.35">
      <c r="A15" s="1"/>
      <c r="B15" s="7" t="s">
        <v>619</v>
      </c>
      <c r="C15" s="8" t="s">
        <v>1337</v>
      </c>
    </row>
    <row r="16" spans="1:3" x14ac:dyDescent="0.35">
      <c r="A16" s="1"/>
      <c r="B16" s="7" t="s">
        <v>11</v>
      </c>
      <c r="C16" s="8" t="s">
        <v>623</v>
      </c>
    </row>
    <row r="17" spans="1:3" x14ac:dyDescent="0.35">
      <c r="A17" s="1"/>
      <c r="B17" s="7" t="s">
        <v>12</v>
      </c>
      <c r="C17" s="8" t="s">
        <v>624</v>
      </c>
    </row>
    <row r="18" spans="1:3" x14ac:dyDescent="0.35">
      <c r="A18" s="1"/>
      <c r="B18" s="7" t="s">
        <v>13</v>
      </c>
      <c r="C18" s="8" t="s">
        <v>1333</v>
      </c>
    </row>
    <row r="19" spans="1:3" x14ac:dyDescent="0.35">
      <c r="A19" s="1"/>
      <c r="B19" s="7" t="s">
        <v>14</v>
      </c>
      <c r="C19" s="8" t="s">
        <v>1334</v>
      </c>
    </row>
    <row r="20" spans="1:3" ht="29" x14ac:dyDescent="0.35">
      <c r="A20" s="1"/>
      <c r="B20" s="7" t="s">
        <v>15</v>
      </c>
      <c r="C20" s="8" t="s">
        <v>1332</v>
      </c>
    </row>
    <row r="21" spans="1:3" x14ac:dyDescent="0.35">
      <c r="A21" s="1"/>
      <c r="B21" s="7" t="s">
        <v>16</v>
      </c>
      <c r="C21" s="8" t="s">
        <v>17</v>
      </c>
    </row>
    <row r="22" spans="1:3" x14ac:dyDescent="0.35">
      <c r="A22" s="1"/>
      <c r="B22" s="7" t="s">
        <v>18</v>
      </c>
      <c r="C22" s="8" t="s">
        <v>457</v>
      </c>
    </row>
    <row r="23" spans="1:3" x14ac:dyDescent="0.35">
      <c r="B23" s="7" t="s">
        <v>19</v>
      </c>
      <c r="C23" s="8" t="s">
        <v>20</v>
      </c>
    </row>
    <row r="24" spans="1:3" ht="43.5" x14ac:dyDescent="0.35">
      <c r="A24" s="1"/>
      <c r="B24" s="7" t="s">
        <v>21</v>
      </c>
      <c r="C24" s="8" t="s">
        <v>1335</v>
      </c>
    </row>
    <row r="25" spans="1:3" x14ac:dyDescent="0.35">
      <c r="A25" s="1"/>
      <c r="B25" s="7" t="s">
        <v>435</v>
      </c>
      <c r="C25" s="8" t="s">
        <v>455</v>
      </c>
    </row>
    <row r="26" spans="1:3" x14ac:dyDescent="0.35">
      <c r="C26" s="21"/>
    </row>
    <row r="27" spans="1:3" x14ac:dyDescent="0.35">
      <c r="A27" s="25">
        <v>3</v>
      </c>
      <c r="B27" s="9" t="s">
        <v>1</v>
      </c>
      <c r="C27" s="22" t="s">
        <v>2</v>
      </c>
    </row>
    <row r="28" spans="1:3" ht="101.5" x14ac:dyDescent="0.35">
      <c r="A28" s="1"/>
      <c r="B28" s="9" t="s">
        <v>25</v>
      </c>
      <c r="C28" s="22" t="s">
        <v>1550</v>
      </c>
    </row>
    <row r="29" spans="1:3" x14ac:dyDescent="0.35">
      <c r="A29" s="1"/>
      <c r="B29" s="9" t="s">
        <v>625</v>
      </c>
      <c r="C29" s="22" t="s">
        <v>1743</v>
      </c>
    </row>
    <row r="30" spans="1:3" ht="15" customHeight="1" x14ac:dyDescent="0.35">
      <c r="A30" s="1"/>
      <c r="B30" s="19" t="s">
        <v>121</v>
      </c>
      <c r="C30" s="22" t="s">
        <v>1331</v>
      </c>
    </row>
    <row r="31" spans="1:3" ht="58" x14ac:dyDescent="0.35">
      <c r="A31" s="1"/>
      <c r="B31" s="19" t="s">
        <v>427</v>
      </c>
      <c r="C31" s="22" t="s">
        <v>2251</v>
      </c>
    </row>
    <row r="32" spans="1:3" ht="15" customHeight="1" x14ac:dyDescent="0.35">
      <c r="A32" s="1"/>
      <c r="B32" s="9" t="s">
        <v>23</v>
      </c>
      <c r="C32" s="23" t="s">
        <v>1336</v>
      </c>
    </row>
    <row r="33" spans="1:3" x14ac:dyDescent="0.35">
      <c r="A33" s="1"/>
      <c r="B33" s="9" t="s">
        <v>22</v>
      </c>
      <c r="C33" s="22" t="s">
        <v>1342</v>
      </c>
    </row>
    <row r="34" spans="1:3" x14ac:dyDescent="0.35">
      <c r="A34" s="1"/>
      <c r="B34" s="9" t="s">
        <v>719</v>
      </c>
      <c r="C34" s="22" t="s">
        <v>720</v>
      </c>
    </row>
    <row r="35" spans="1:3" ht="130.5" x14ac:dyDescent="0.35">
      <c r="A35" s="1"/>
      <c r="B35" s="9" t="s">
        <v>24</v>
      </c>
      <c r="C35" s="22" t="s">
        <v>1549</v>
      </c>
    </row>
    <row r="36" spans="1:3" x14ac:dyDescent="0.35">
      <c r="B36" s="19" t="s">
        <v>435</v>
      </c>
      <c r="C36" s="22" t="s">
        <v>455</v>
      </c>
    </row>
    <row r="38" spans="1:3" x14ac:dyDescent="0.35">
      <c r="A38" s="13">
        <v>4</v>
      </c>
      <c r="B38" s="14" t="s">
        <v>1</v>
      </c>
      <c r="C38" s="24" t="s">
        <v>2</v>
      </c>
    </row>
    <row r="39" spans="1:3" x14ac:dyDescent="0.35">
      <c r="A39" s="1"/>
      <c r="B39" s="14" t="s">
        <v>26</v>
      </c>
      <c r="C39" s="24" t="s">
        <v>27</v>
      </c>
    </row>
    <row r="40" spans="1:3" x14ac:dyDescent="0.35">
      <c r="A40" s="1"/>
      <c r="B40" s="14" t="s">
        <v>435</v>
      </c>
      <c r="C40" s="24" t="s">
        <v>455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4" tint="0.39997558519241921"/>
  </sheetPr>
  <dimension ref="A1:H296"/>
  <sheetViews>
    <sheetView zoomScale="85" workbookViewId="0">
      <pane ySplit="1" topLeftCell="A53" activePane="bottomLeft" state="frozen"/>
      <selection pane="bottomLeft" activeCell="F302" sqref="F302"/>
    </sheetView>
  </sheetViews>
  <sheetFormatPr defaultColWidth="8.81640625" defaultRowHeight="14.5" x14ac:dyDescent="0.35"/>
  <cols>
    <col min="1" max="1" width="6.54296875" style="16" bestFit="1" customWidth="1"/>
    <col min="2" max="2" width="20.1796875" style="16" bestFit="1" customWidth="1"/>
    <col min="3" max="3" width="16.81640625" style="16" bestFit="1" customWidth="1"/>
    <col min="4" max="4" width="8.81640625" style="16" customWidth="1"/>
    <col min="5" max="5" width="13.26953125" style="16" bestFit="1" customWidth="1"/>
    <col min="6" max="6" width="25.81640625" style="16" customWidth="1"/>
    <col min="7" max="16384" width="8.81640625" style="16"/>
  </cols>
  <sheetData>
    <row r="1" spans="1:7" s="15" customFormat="1" x14ac:dyDescent="0.35">
      <c r="A1" s="10" t="s">
        <v>1</v>
      </c>
      <c r="B1" s="10" t="s">
        <v>3</v>
      </c>
      <c r="C1" s="10" t="s">
        <v>4</v>
      </c>
      <c r="D1" s="10" t="s">
        <v>5</v>
      </c>
      <c r="E1" s="18" t="s">
        <v>1338</v>
      </c>
      <c r="F1" s="18" t="s">
        <v>435</v>
      </c>
      <c r="G1" s="18" t="s">
        <v>1773</v>
      </c>
    </row>
    <row r="2" spans="1:7" hidden="1" x14ac:dyDescent="0.35">
      <c r="A2" s="16">
        <v>4</v>
      </c>
      <c r="B2" s="16" t="s">
        <v>431</v>
      </c>
      <c r="C2" s="16" t="s">
        <v>436</v>
      </c>
      <c r="D2" s="16">
        <v>1</v>
      </c>
      <c r="G2" s="16" t="s">
        <v>1774</v>
      </c>
    </row>
    <row r="3" spans="1:7" hidden="1" x14ac:dyDescent="0.35">
      <c r="A3" s="16">
        <v>16</v>
      </c>
      <c r="B3" s="16" t="s">
        <v>28</v>
      </c>
      <c r="C3" s="16" t="s">
        <v>436</v>
      </c>
      <c r="D3" s="16">
        <v>1</v>
      </c>
      <c r="G3" s="16" t="s">
        <v>1774</v>
      </c>
    </row>
    <row r="4" spans="1:7" hidden="1" x14ac:dyDescent="0.35">
      <c r="A4" s="16">
        <v>17</v>
      </c>
      <c r="B4" s="16" t="s">
        <v>29</v>
      </c>
      <c r="C4" s="16" t="s">
        <v>436</v>
      </c>
      <c r="D4" s="16">
        <v>1</v>
      </c>
      <c r="G4" s="16" t="s">
        <v>1774</v>
      </c>
    </row>
    <row r="5" spans="1:7" hidden="1" x14ac:dyDescent="0.35">
      <c r="A5" s="16">
        <v>29</v>
      </c>
      <c r="B5" s="16" t="s">
        <v>29</v>
      </c>
      <c r="C5" s="16" t="s">
        <v>436</v>
      </c>
      <c r="D5" s="16">
        <v>1</v>
      </c>
      <c r="G5" s="16" t="s">
        <v>1774</v>
      </c>
    </row>
    <row r="6" spans="1:7" hidden="1" x14ac:dyDescent="0.35">
      <c r="A6" s="16">
        <v>78</v>
      </c>
      <c r="B6" s="16" t="s">
        <v>29</v>
      </c>
      <c r="C6" s="16" t="s">
        <v>436</v>
      </c>
      <c r="D6" s="16">
        <v>1</v>
      </c>
      <c r="G6" s="16" t="s">
        <v>1774</v>
      </c>
    </row>
    <row r="7" spans="1:7" hidden="1" x14ac:dyDescent="0.35">
      <c r="A7" s="16">
        <v>84</v>
      </c>
      <c r="B7" s="16" t="s">
        <v>29</v>
      </c>
      <c r="C7" s="16" t="s">
        <v>436</v>
      </c>
      <c r="D7" s="16">
        <v>4</v>
      </c>
      <c r="G7" s="16" t="s">
        <v>1774</v>
      </c>
    </row>
    <row r="8" spans="1:7" hidden="1" x14ac:dyDescent="0.35">
      <c r="A8" s="16">
        <v>103</v>
      </c>
      <c r="B8" s="16" t="s">
        <v>29</v>
      </c>
      <c r="C8" s="16" t="s">
        <v>436</v>
      </c>
      <c r="D8" s="16">
        <v>1</v>
      </c>
      <c r="G8" s="16" t="s">
        <v>1774</v>
      </c>
    </row>
    <row r="9" spans="1:7" hidden="1" x14ac:dyDescent="0.35">
      <c r="A9" s="16">
        <v>111</v>
      </c>
      <c r="B9" s="16" t="s">
        <v>29</v>
      </c>
      <c r="C9" s="16" t="s">
        <v>436</v>
      </c>
      <c r="D9" s="16">
        <v>1</v>
      </c>
      <c r="G9" s="16" t="s">
        <v>1774</v>
      </c>
    </row>
    <row r="10" spans="1:7" hidden="1" x14ac:dyDescent="0.35">
      <c r="A10" s="16">
        <v>142</v>
      </c>
      <c r="B10" s="16" t="s">
        <v>29</v>
      </c>
      <c r="C10" s="16" t="s">
        <v>436</v>
      </c>
      <c r="D10" s="16">
        <v>2</v>
      </c>
      <c r="G10" s="16" t="s">
        <v>1774</v>
      </c>
    </row>
    <row r="11" spans="1:7" hidden="1" x14ac:dyDescent="0.35">
      <c r="A11" s="16">
        <v>145</v>
      </c>
      <c r="B11" s="16" t="s">
        <v>29</v>
      </c>
      <c r="C11" s="16" t="s">
        <v>436</v>
      </c>
      <c r="D11" s="16">
        <v>7</v>
      </c>
      <c r="G11" s="16" t="s">
        <v>1774</v>
      </c>
    </row>
    <row r="12" spans="1:7" hidden="1" x14ac:dyDescent="0.35">
      <c r="A12" s="16">
        <v>152</v>
      </c>
      <c r="B12" s="16" t="s">
        <v>28</v>
      </c>
      <c r="C12" s="16" t="s">
        <v>436</v>
      </c>
      <c r="D12" s="16">
        <v>2</v>
      </c>
      <c r="G12" s="16" t="s">
        <v>1774</v>
      </c>
    </row>
    <row r="13" spans="1:7" hidden="1" x14ac:dyDescent="0.35">
      <c r="A13" s="16">
        <v>168</v>
      </c>
      <c r="B13" s="16" t="s">
        <v>28</v>
      </c>
      <c r="C13" s="16" t="s">
        <v>436</v>
      </c>
      <c r="D13" s="16">
        <v>2</v>
      </c>
      <c r="G13" s="16" t="s">
        <v>1774</v>
      </c>
    </row>
    <row r="14" spans="1:7" hidden="1" x14ac:dyDescent="0.35">
      <c r="A14" s="16">
        <v>177</v>
      </c>
      <c r="B14" s="16" t="s">
        <v>29</v>
      </c>
      <c r="C14" s="16" t="s">
        <v>436</v>
      </c>
      <c r="D14" s="16">
        <v>1</v>
      </c>
      <c r="G14" s="16" t="s">
        <v>1774</v>
      </c>
    </row>
    <row r="15" spans="1:7" hidden="1" x14ac:dyDescent="0.35">
      <c r="A15" s="16">
        <v>187</v>
      </c>
      <c r="B15" s="16" t="s">
        <v>29</v>
      </c>
      <c r="C15" s="16" t="s">
        <v>1330</v>
      </c>
      <c r="D15" s="16">
        <v>1</v>
      </c>
      <c r="G15" s="16" t="s">
        <v>1774</v>
      </c>
    </row>
    <row r="16" spans="1:7" hidden="1" x14ac:dyDescent="0.35">
      <c r="A16" s="16">
        <v>190</v>
      </c>
      <c r="B16" s="16" t="s">
        <v>28</v>
      </c>
      <c r="C16" s="16" t="s">
        <v>436</v>
      </c>
      <c r="D16" s="16">
        <v>1</v>
      </c>
      <c r="G16" s="16" t="s">
        <v>1774</v>
      </c>
    </row>
    <row r="17" spans="1:7" hidden="1" x14ac:dyDescent="0.35">
      <c r="A17" s="16">
        <v>200</v>
      </c>
      <c r="B17" s="16" t="s">
        <v>29</v>
      </c>
      <c r="C17" s="16" t="s">
        <v>243</v>
      </c>
      <c r="D17" s="16">
        <v>1</v>
      </c>
      <c r="G17" s="16" t="s">
        <v>1774</v>
      </c>
    </row>
    <row r="18" spans="1:7" hidden="1" x14ac:dyDescent="0.35">
      <c r="A18" s="16">
        <v>208</v>
      </c>
      <c r="B18" s="16" t="s">
        <v>29</v>
      </c>
      <c r="C18" s="16" t="s">
        <v>436</v>
      </c>
      <c r="D18" s="16">
        <v>3</v>
      </c>
      <c r="G18" s="16" t="s">
        <v>1774</v>
      </c>
    </row>
    <row r="19" spans="1:7" hidden="1" x14ac:dyDescent="0.35">
      <c r="A19" s="16">
        <v>209</v>
      </c>
      <c r="B19" s="16" t="s">
        <v>29</v>
      </c>
      <c r="C19" s="16" t="s">
        <v>436</v>
      </c>
      <c r="D19" s="16">
        <v>1</v>
      </c>
      <c r="G19" s="16" t="s">
        <v>1774</v>
      </c>
    </row>
    <row r="20" spans="1:7" hidden="1" x14ac:dyDescent="0.35">
      <c r="A20" s="16">
        <v>215</v>
      </c>
      <c r="B20" s="16" t="s">
        <v>29</v>
      </c>
      <c r="C20" s="16" t="s">
        <v>436</v>
      </c>
      <c r="D20" s="16">
        <v>2</v>
      </c>
      <c r="G20" s="16" t="s">
        <v>1774</v>
      </c>
    </row>
    <row r="21" spans="1:7" hidden="1" x14ac:dyDescent="0.35">
      <c r="A21" s="16">
        <v>222</v>
      </c>
      <c r="B21" s="16" t="s">
        <v>28</v>
      </c>
      <c r="C21" s="16" t="s">
        <v>436</v>
      </c>
      <c r="D21" s="16">
        <v>3</v>
      </c>
      <c r="G21" s="16" t="s">
        <v>1774</v>
      </c>
    </row>
    <row r="22" spans="1:7" hidden="1" x14ac:dyDescent="0.35">
      <c r="A22" s="16">
        <v>240</v>
      </c>
      <c r="B22" s="16" t="s">
        <v>29</v>
      </c>
      <c r="C22" s="16" t="s">
        <v>243</v>
      </c>
      <c r="D22" s="16">
        <v>1</v>
      </c>
      <c r="G22" s="16" t="s">
        <v>1774</v>
      </c>
    </row>
    <row r="23" spans="1:7" hidden="1" x14ac:dyDescent="0.35">
      <c r="A23" s="16">
        <v>245</v>
      </c>
      <c r="B23" s="16" t="s">
        <v>29</v>
      </c>
      <c r="C23" s="16" t="s">
        <v>436</v>
      </c>
      <c r="D23" s="16">
        <v>1</v>
      </c>
      <c r="G23" s="16" t="s">
        <v>1774</v>
      </c>
    </row>
    <row r="24" spans="1:7" hidden="1" x14ac:dyDescent="0.35">
      <c r="A24" s="16">
        <v>266</v>
      </c>
      <c r="B24" s="16" t="s">
        <v>29</v>
      </c>
      <c r="C24" s="16" t="s">
        <v>436</v>
      </c>
      <c r="D24" s="16">
        <v>2</v>
      </c>
      <c r="G24" s="16" t="s">
        <v>1774</v>
      </c>
    </row>
    <row r="25" spans="1:7" hidden="1" x14ac:dyDescent="0.35">
      <c r="A25" s="16">
        <v>270</v>
      </c>
      <c r="B25" s="16" t="s">
        <v>29</v>
      </c>
      <c r="C25" s="16" t="s">
        <v>243</v>
      </c>
      <c r="D25" s="16">
        <v>22</v>
      </c>
      <c r="G25" s="16" t="s">
        <v>1774</v>
      </c>
    </row>
    <row r="26" spans="1:7" hidden="1" x14ac:dyDescent="0.35">
      <c r="A26" s="16">
        <v>271</v>
      </c>
      <c r="B26" s="16" t="s">
        <v>29</v>
      </c>
      <c r="C26" s="16" t="s">
        <v>243</v>
      </c>
      <c r="D26" s="16">
        <v>3</v>
      </c>
      <c r="G26" s="16" t="s">
        <v>1774</v>
      </c>
    </row>
    <row r="27" spans="1:7" hidden="1" x14ac:dyDescent="0.35">
      <c r="A27" s="16">
        <v>280</v>
      </c>
      <c r="B27" s="16" t="s">
        <v>431</v>
      </c>
      <c r="C27" s="16" t="s">
        <v>436</v>
      </c>
      <c r="D27" s="16">
        <v>72</v>
      </c>
      <c r="G27" s="16" t="s">
        <v>1774</v>
      </c>
    </row>
    <row r="28" spans="1:7" hidden="1" x14ac:dyDescent="0.35">
      <c r="A28" s="16">
        <v>282</v>
      </c>
      <c r="B28" s="16" t="s">
        <v>29</v>
      </c>
      <c r="C28" s="16" t="s">
        <v>436</v>
      </c>
      <c r="D28" s="16">
        <v>1</v>
      </c>
      <c r="G28" s="16" t="s">
        <v>1774</v>
      </c>
    </row>
    <row r="29" spans="1:7" hidden="1" x14ac:dyDescent="0.35">
      <c r="A29" s="16">
        <v>287</v>
      </c>
      <c r="B29" s="16" t="s">
        <v>29</v>
      </c>
      <c r="C29" s="16" t="s">
        <v>1330</v>
      </c>
      <c r="D29" s="16">
        <v>1</v>
      </c>
      <c r="G29" s="16" t="s">
        <v>1774</v>
      </c>
    </row>
    <row r="30" spans="1:7" hidden="1" x14ac:dyDescent="0.35">
      <c r="A30" s="16">
        <v>289</v>
      </c>
      <c r="B30" s="16" t="s">
        <v>28</v>
      </c>
      <c r="C30" s="16" t="s">
        <v>436</v>
      </c>
      <c r="D30" s="16">
        <v>2</v>
      </c>
      <c r="G30" s="16" t="s">
        <v>1774</v>
      </c>
    </row>
    <row r="31" spans="1:7" hidden="1" x14ac:dyDescent="0.35">
      <c r="A31" s="16">
        <v>295</v>
      </c>
      <c r="B31" s="16" t="s">
        <v>29</v>
      </c>
      <c r="C31" s="16" t="s">
        <v>243</v>
      </c>
      <c r="D31" s="16">
        <v>1</v>
      </c>
      <c r="G31" s="16" t="s">
        <v>1774</v>
      </c>
    </row>
    <row r="32" spans="1:7" hidden="1" x14ac:dyDescent="0.35">
      <c r="A32" s="16">
        <v>334</v>
      </c>
      <c r="B32" s="16" t="s">
        <v>431</v>
      </c>
      <c r="C32" s="16" t="s">
        <v>436</v>
      </c>
      <c r="D32" s="16">
        <v>4</v>
      </c>
      <c r="G32" s="16" t="s">
        <v>1774</v>
      </c>
    </row>
    <row r="33" spans="1:7" hidden="1" x14ac:dyDescent="0.35">
      <c r="A33" s="16">
        <v>342</v>
      </c>
      <c r="B33" s="16" t="s">
        <v>431</v>
      </c>
      <c r="C33" s="16" t="s">
        <v>436</v>
      </c>
      <c r="D33" s="16">
        <v>6</v>
      </c>
      <c r="G33" s="16" t="s">
        <v>1774</v>
      </c>
    </row>
    <row r="34" spans="1:7" hidden="1" x14ac:dyDescent="0.35">
      <c r="A34" s="16">
        <v>346</v>
      </c>
      <c r="B34" s="16" t="s">
        <v>431</v>
      </c>
      <c r="C34" s="16" t="s">
        <v>243</v>
      </c>
      <c r="D34" s="16">
        <v>1</v>
      </c>
      <c r="G34" s="16" t="s">
        <v>1774</v>
      </c>
    </row>
    <row r="35" spans="1:7" hidden="1" x14ac:dyDescent="0.35">
      <c r="A35" s="16">
        <v>375</v>
      </c>
      <c r="B35" s="16" t="s">
        <v>431</v>
      </c>
      <c r="C35" s="16" t="s">
        <v>436</v>
      </c>
      <c r="D35" s="16">
        <v>2</v>
      </c>
      <c r="G35" s="16" t="s">
        <v>1774</v>
      </c>
    </row>
    <row r="36" spans="1:7" hidden="1" x14ac:dyDescent="0.35">
      <c r="A36" s="16">
        <v>378</v>
      </c>
      <c r="B36" s="16" t="s">
        <v>28</v>
      </c>
      <c r="C36" s="16" t="s">
        <v>436</v>
      </c>
      <c r="D36" s="16">
        <v>2</v>
      </c>
      <c r="G36" s="16" t="s">
        <v>1774</v>
      </c>
    </row>
    <row r="37" spans="1:7" hidden="1" x14ac:dyDescent="0.35">
      <c r="A37" s="16">
        <v>381</v>
      </c>
      <c r="B37" s="16" t="s">
        <v>29</v>
      </c>
      <c r="C37" s="16" t="s">
        <v>436</v>
      </c>
      <c r="D37" s="16">
        <v>1</v>
      </c>
      <c r="G37" s="16" t="s">
        <v>1774</v>
      </c>
    </row>
    <row r="38" spans="1:7" hidden="1" x14ac:dyDescent="0.35">
      <c r="A38" s="16">
        <v>398</v>
      </c>
      <c r="B38" s="16" t="s">
        <v>29</v>
      </c>
      <c r="C38" s="16" t="s">
        <v>436</v>
      </c>
      <c r="D38" s="16">
        <v>1</v>
      </c>
      <c r="G38" s="16" t="s">
        <v>1774</v>
      </c>
    </row>
    <row r="39" spans="1:7" hidden="1" x14ac:dyDescent="0.35">
      <c r="A39" s="16">
        <v>419</v>
      </c>
      <c r="B39" s="16" t="s">
        <v>28</v>
      </c>
      <c r="C39" s="16" t="s">
        <v>436</v>
      </c>
      <c r="D39" s="16">
        <v>1</v>
      </c>
      <c r="G39" s="16" t="s">
        <v>1774</v>
      </c>
    </row>
    <row r="40" spans="1:7" hidden="1" x14ac:dyDescent="0.35">
      <c r="A40" s="16">
        <v>426</v>
      </c>
      <c r="B40" s="16" t="s">
        <v>28</v>
      </c>
      <c r="C40" s="16" t="s">
        <v>436</v>
      </c>
      <c r="D40" s="16">
        <v>4131</v>
      </c>
      <c r="G40" s="16" t="s">
        <v>1774</v>
      </c>
    </row>
    <row r="41" spans="1:7" hidden="1" x14ac:dyDescent="0.35">
      <c r="A41" s="16">
        <v>429</v>
      </c>
      <c r="B41" s="16" t="s">
        <v>431</v>
      </c>
      <c r="C41" s="16" t="s">
        <v>436</v>
      </c>
      <c r="D41" s="16">
        <v>3</v>
      </c>
      <c r="G41" s="16" t="s">
        <v>1774</v>
      </c>
    </row>
    <row r="42" spans="1:7" hidden="1" x14ac:dyDescent="0.35">
      <c r="A42" s="16">
        <v>438</v>
      </c>
      <c r="B42" s="16" t="s">
        <v>431</v>
      </c>
      <c r="C42" s="16" t="s">
        <v>436</v>
      </c>
      <c r="D42" s="16">
        <v>3</v>
      </c>
      <c r="G42" s="16" t="s">
        <v>1774</v>
      </c>
    </row>
    <row r="43" spans="1:7" hidden="1" x14ac:dyDescent="0.35">
      <c r="A43" s="16">
        <v>443</v>
      </c>
      <c r="B43" s="16" t="s">
        <v>29</v>
      </c>
      <c r="C43" s="16" t="s">
        <v>243</v>
      </c>
      <c r="D43" s="16">
        <v>43</v>
      </c>
      <c r="G43" s="16" t="s">
        <v>1774</v>
      </c>
    </row>
    <row r="44" spans="1:7" hidden="1" x14ac:dyDescent="0.35">
      <c r="A44" s="16">
        <v>505</v>
      </c>
      <c r="B44" s="16" t="s">
        <v>29</v>
      </c>
      <c r="C44" s="16" t="s">
        <v>436</v>
      </c>
      <c r="D44" s="16">
        <v>2</v>
      </c>
      <c r="G44" s="16" t="s">
        <v>1774</v>
      </c>
    </row>
    <row r="45" spans="1:7" hidden="1" x14ac:dyDescent="0.35">
      <c r="A45" s="16">
        <v>509</v>
      </c>
      <c r="B45" s="16" t="s">
        <v>29</v>
      </c>
      <c r="C45" s="16" t="s">
        <v>243</v>
      </c>
      <c r="D45" s="16">
        <v>1</v>
      </c>
      <c r="G45" s="16" t="s">
        <v>1774</v>
      </c>
    </row>
    <row r="46" spans="1:7" hidden="1" x14ac:dyDescent="0.35">
      <c r="A46" s="16">
        <v>523</v>
      </c>
      <c r="B46" s="16" t="s">
        <v>29</v>
      </c>
      <c r="C46" s="16" t="s">
        <v>436</v>
      </c>
      <c r="D46" s="16">
        <v>3</v>
      </c>
      <c r="G46" s="16" t="s">
        <v>1774</v>
      </c>
    </row>
    <row r="47" spans="1:7" hidden="1" x14ac:dyDescent="0.35">
      <c r="A47" s="16">
        <v>532</v>
      </c>
      <c r="B47" s="16" t="s">
        <v>431</v>
      </c>
      <c r="C47" s="16" t="s">
        <v>436</v>
      </c>
      <c r="D47" s="16" t="s">
        <v>1330</v>
      </c>
      <c r="G47" s="16" t="s">
        <v>1774</v>
      </c>
    </row>
    <row r="48" spans="1:7" hidden="1" x14ac:dyDescent="0.35">
      <c r="A48" s="16">
        <v>533</v>
      </c>
      <c r="B48" s="16" t="s">
        <v>29</v>
      </c>
      <c r="C48" s="16" t="s">
        <v>436</v>
      </c>
      <c r="D48" s="16">
        <v>9</v>
      </c>
      <c r="G48" s="16" t="s">
        <v>1774</v>
      </c>
    </row>
    <row r="49" spans="1:7" hidden="1" x14ac:dyDescent="0.35">
      <c r="A49" s="16">
        <v>550</v>
      </c>
      <c r="B49" s="16" t="s">
        <v>431</v>
      </c>
      <c r="C49" s="16" t="s">
        <v>436</v>
      </c>
      <c r="D49" s="16">
        <v>1</v>
      </c>
      <c r="G49" s="16" t="s">
        <v>1774</v>
      </c>
    </row>
    <row r="50" spans="1:7" hidden="1" x14ac:dyDescent="0.35">
      <c r="A50" s="16">
        <v>553</v>
      </c>
      <c r="B50" s="16" t="s">
        <v>29</v>
      </c>
      <c r="C50" s="16" t="s">
        <v>436</v>
      </c>
      <c r="D50" s="16">
        <v>5</v>
      </c>
      <c r="G50" s="16" t="s">
        <v>1774</v>
      </c>
    </row>
    <row r="51" spans="1:7" hidden="1" x14ac:dyDescent="0.35">
      <c r="A51" s="16">
        <v>561</v>
      </c>
      <c r="B51" s="16" t="s">
        <v>29</v>
      </c>
      <c r="C51" s="16" t="s">
        <v>436</v>
      </c>
      <c r="D51" s="16">
        <v>1</v>
      </c>
      <c r="G51" s="16" t="s">
        <v>1774</v>
      </c>
    </row>
    <row r="52" spans="1:7" hidden="1" x14ac:dyDescent="0.35">
      <c r="A52" s="16">
        <v>566</v>
      </c>
      <c r="B52" s="16" t="s">
        <v>29</v>
      </c>
      <c r="C52" s="16" t="s">
        <v>436</v>
      </c>
      <c r="D52" s="16">
        <v>1</v>
      </c>
      <c r="G52" s="16" t="s">
        <v>1774</v>
      </c>
    </row>
    <row r="53" spans="1:7" x14ac:dyDescent="0.35">
      <c r="A53" s="16">
        <v>597</v>
      </c>
      <c r="B53" s="16" t="s">
        <v>31</v>
      </c>
      <c r="C53" s="16" t="s">
        <v>243</v>
      </c>
      <c r="D53" s="16">
        <v>2</v>
      </c>
      <c r="G53" s="16" t="s">
        <v>1774</v>
      </c>
    </row>
    <row r="54" spans="1:7" hidden="1" x14ac:dyDescent="0.35">
      <c r="A54" s="16">
        <v>603</v>
      </c>
      <c r="B54" s="16" t="s">
        <v>29</v>
      </c>
      <c r="C54" s="16" t="s">
        <v>243</v>
      </c>
      <c r="D54" s="16">
        <v>1</v>
      </c>
      <c r="G54" s="16" t="s">
        <v>1774</v>
      </c>
    </row>
    <row r="55" spans="1:7" hidden="1" x14ac:dyDescent="0.35">
      <c r="A55" s="16">
        <v>604</v>
      </c>
      <c r="B55" s="16" t="s">
        <v>29</v>
      </c>
      <c r="C55" s="16" t="s">
        <v>436</v>
      </c>
      <c r="D55" s="16">
        <v>2</v>
      </c>
      <c r="G55" s="16" t="s">
        <v>1774</v>
      </c>
    </row>
    <row r="56" spans="1:7" x14ac:dyDescent="0.35">
      <c r="A56" s="16">
        <v>612</v>
      </c>
      <c r="B56" s="16" t="s">
        <v>31</v>
      </c>
      <c r="C56" s="16" t="s">
        <v>436</v>
      </c>
      <c r="D56" s="16">
        <v>22</v>
      </c>
      <c r="G56" s="16" t="s">
        <v>1774</v>
      </c>
    </row>
    <row r="57" spans="1:7" hidden="1" x14ac:dyDescent="0.35">
      <c r="A57" s="16">
        <v>617</v>
      </c>
      <c r="B57" s="16" t="s">
        <v>28</v>
      </c>
      <c r="C57" s="16" t="s">
        <v>436</v>
      </c>
      <c r="D57" s="16" t="s">
        <v>1330</v>
      </c>
      <c r="G57" s="16" t="s">
        <v>1774</v>
      </c>
    </row>
    <row r="58" spans="1:7" hidden="1" x14ac:dyDescent="0.35">
      <c r="A58" s="16">
        <v>621</v>
      </c>
      <c r="B58" s="16" t="s">
        <v>29</v>
      </c>
      <c r="C58" s="16" t="s">
        <v>436</v>
      </c>
      <c r="D58" s="16">
        <v>1</v>
      </c>
      <c r="G58" s="16" t="s">
        <v>1774</v>
      </c>
    </row>
    <row r="59" spans="1:7" hidden="1" x14ac:dyDescent="0.35">
      <c r="A59" s="16">
        <v>10</v>
      </c>
      <c r="B59" s="16" t="s">
        <v>28</v>
      </c>
      <c r="C59" s="16" t="s">
        <v>436</v>
      </c>
      <c r="D59" s="16">
        <v>1</v>
      </c>
      <c r="G59" s="16" t="s">
        <v>1775</v>
      </c>
    </row>
    <row r="60" spans="1:7" hidden="1" x14ac:dyDescent="0.35">
      <c r="A60" s="16">
        <v>12</v>
      </c>
      <c r="B60" s="16" t="s">
        <v>29</v>
      </c>
      <c r="C60" s="16" t="s">
        <v>436</v>
      </c>
      <c r="D60" s="16">
        <v>14</v>
      </c>
      <c r="G60" s="16" t="s">
        <v>1775</v>
      </c>
    </row>
    <row r="61" spans="1:7" hidden="1" x14ac:dyDescent="0.35">
      <c r="A61" s="16">
        <v>22</v>
      </c>
      <c r="B61" s="16" t="s">
        <v>29</v>
      </c>
      <c r="C61" s="16" t="s">
        <v>436</v>
      </c>
      <c r="D61" s="16">
        <v>1</v>
      </c>
      <c r="G61" s="16" t="s">
        <v>1775</v>
      </c>
    </row>
    <row r="62" spans="1:7" hidden="1" x14ac:dyDescent="0.35">
      <c r="A62" s="16">
        <v>32</v>
      </c>
      <c r="B62" s="16" t="s">
        <v>29</v>
      </c>
      <c r="C62" s="16" t="s">
        <v>243</v>
      </c>
      <c r="D62" s="16">
        <v>1</v>
      </c>
      <c r="G62" s="16" t="s">
        <v>1775</v>
      </c>
    </row>
    <row r="63" spans="1:7" hidden="1" x14ac:dyDescent="0.35">
      <c r="A63" s="16">
        <v>52</v>
      </c>
      <c r="B63" s="16" t="s">
        <v>29</v>
      </c>
      <c r="C63" s="16" t="s">
        <v>243</v>
      </c>
      <c r="D63" s="16">
        <v>5</v>
      </c>
      <c r="G63" s="16" t="s">
        <v>1775</v>
      </c>
    </row>
    <row r="64" spans="1:7" x14ac:dyDescent="0.35">
      <c r="A64" s="16">
        <v>65</v>
      </c>
      <c r="B64" s="16" t="s">
        <v>31</v>
      </c>
      <c r="C64" s="16" t="s">
        <v>243</v>
      </c>
      <c r="D64" s="16" t="s">
        <v>1330</v>
      </c>
      <c r="G64" s="16" t="s">
        <v>1775</v>
      </c>
    </row>
    <row r="65" spans="1:7" hidden="1" x14ac:dyDescent="0.35">
      <c r="A65" s="16">
        <v>75</v>
      </c>
      <c r="B65" s="16" t="s">
        <v>29</v>
      </c>
      <c r="C65" s="16" t="s">
        <v>243</v>
      </c>
      <c r="D65" s="16">
        <v>2</v>
      </c>
      <c r="G65" s="16" t="s">
        <v>1775</v>
      </c>
    </row>
    <row r="66" spans="1:7" hidden="1" x14ac:dyDescent="0.35">
      <c r="A66" s="16">
        <v>631</v>
      </c>
      <c r="B66" s="16" t="s">
        <v>29</v>
      </c>
      <c r="C66" s="16" t="s">
        <v>243</v>
      </c>
      <c r="D66" s="16">
        <v>3</v>
      </c>
      <c r="G66" s="16" t="s">
        <v>1774</v>
      </c>
    </row>
    <row r="67" spans="1:7" hidden="1" x14ac:dyDescent="0.35">
      <c r="A67" s="16">
        <v>634</v>
      </c>
      <c r="B67" s="16" t="s">
        <v>29</v>
      </c>
      <c r="C67" s="16" t="s">
        <v>436</v>
      </c>
      <c r="D67" s="16" t="s">
        <v>1330</v>
      </c>
      <c r="G67" s="16" t="s">
        <v>1774</v>
      </c>
    </row>
    <row r="68" spans="1:7" hidden="1" x14ac:dyDescent="0.35">
      <c r="A68" s="16">
        <v>647</v>
      </c>
      <c r="B68" s="16" t="s">
        <v>29</v>
      </c>
      <c r="C68" s="16" t="s">
        <v>436</v>
      </c>
      <c r="D68" s="16">
        <v>1</v>
      </c>
      <c r="G68" s="16" t="s">
        <v>1774</v>
      </c>
    </row>
    <row r="69" spans="1:7" hidden="1" x14ac:dyDescent="0.35">
      <c r="A69" s="16">
        <v>674</v>
      </c>
      <c r="B69" s="16" t="s">
        <v>431</v>
      </c>
      <c r="C69" s="16" t="s">
        <v>243</v>
      </c>
      <c r="D69" s="16">
        <v>1</v>
      </c>
      <c r="G69" s="16" t="s">
        <v>1774</v>
      </c>
    </row>
    <row r="70" spans="1:7" hidden="1" x14ac:dyDescent="0.35">
      <c r="A70" s="16">
        <v>683</v>
      </c>
      <c r="B70" s="16" t="s">
        <v>29</v>
      </c>
      <c r="C70" s="16" t="s">
        <v>458</v>
      </c>
      <c r="D70" s="16">
        <v>2</v>
      </c>
      <c r="G70" s="16" t="s">
        <v>1774</v>
      </c>
    </row>
    <row r="71" spans="1:7" hidden="1" x14ac:dyDescent="0.35">
      <c r="A71" s="16">
        <v>687</v>
      </c>
      <c r="B71" s="16" t="s">
        <v>29</v>
      </c>
      <c r="C71" s="16" t="s">
        <v>458</v>
      </c>
      <c r="D71" s="16" t="s">
        <v>1330</v>
      </c>
      <c r="G71" s="16" t="s">
        <v>1774</v>
      </c>
    </row>
    <row r="72" spans="1:7" hidden="1" x14ac:dyDescent="0.35">
      <c r="A72" s="16">
        <v>708</v>
      </c>
      <c r="B72" s="16" t="s">
        <v>431</v>
      </c>
      <c r="C72" s="16" t="s">
        <v>436</v>
      </c>
      <c r="D72" s="16">
        <v>15</v>
      </c>
      <c r="G72" s="16" t="s">
        <v>1774</v>
      </c>
    </row>
    <row r="73" spans="1:7" hidden="1" x14ac:dyDescent="0.35">
      <c r="A73" s="16">
        <v>724</v>
      </c>
      <c r="B73" s="16" t="s">
        <v>28</v>
      </c>
      <c r="C73" s="16" t="s">
        <v>436</v>
      </c>
      <c r="D73" s="16">
        <v>473</v>
      </c>
      <c r="G73" s="16" t="s">
        <v>1774</v>
      </c>
    </row>
    <row r="74" spans="1:7" hidden="1" x14ac:dyDescent="0.35">
      <c r="A74" s="16">
        <v>738</v>
      </c>
      <c r="B74" s="16" t="s">
        <v>29</v>
      </c>
      <c r="C74" s="16" t="s">
        <v>243</v>
      </c>
      <c r="D74" s="16">
        <v>1</v>
      </c>
      <c r="G74" s="16" t="s">
        <v>1774</v>
      </c>
    </row>
    <row r="75" spans="1:7" hidden="1" x14ac:dyDescent="0.35">
      <c r="A75" s="16">
        <v>743</v>
      </c>
      <c r="B75" s="16" t="s">
        <v>29</v>
      </c>
      <c r="C75" s="16" t="s">
        <v>243</v>
      </c>
      <c r="D75" s="16">
        <v>1</v>
      </c>
      <c r="G75" s="16" t="s">
        <v>1774</v>
      </c>
    </row>
    <row r="76" spans="1:7" hidden="1" x14ac:dyDescent="0.35">
      <c r="A76" s="16">
        <v>753</v>
      </c>
      <c r="B76" s="16" t="s">
        <v>29</v>
      </c>
      <c r="C76" s="16" t="s">
        <v>436</v>
      </c>
      <c r="D76" s="16">
        <v>2</v>
      </c>
      <c r="G76" s="16" t="s">
        <v>1774</v>
      </c>
    </row>
    <row r="77" spans="1:7" hidden="1" x14ac:dyDescent="0.35">
      <c r="A77" s="16">
        <v>778</v>
      </c>
      <c r="B77" s="16" t="s">
        <v>431</v>
      </c>
      <c r="C77" s="16" t="s">
        <v>458</v>
      </c>
      <c r="D77" s="16">
        <v>1</v>
      </c>
      <c r="G77" s="16" t="s">
        <v>1774</v>
      </c>
    </row>
    <row r="78" spans="1:7" hidden="1" x14ac:dyDescent="0.35">
      <c r="A78" s="16">
        <v>788</v>
      </c>
      <c r="B78" s="16" t="s">
        <v>431</v>
      </c>
      <c r="C78" s="16" t="s">
        <v>436</v>
      </c>
      <c r="D78" s="16">
        <v>1</v>
      </c>
      <c r="G78" s="16" t="s">
        <v>1774</v>
      </c>
    </row>
    <row r="79" spans="1:7" hidden="1" x14ac:dyDescent="0.35">
      <c r="A79" s="16">
        <v>803</v>
      </c>
      <c r="B79" s="16" t="s">
        <v>29</v>
      </c>
      <c r="C79" s="16" t="s">
        <v>458</v>
      </c>
      <c r="D79" s="16">
        <v>1</v>
      </c>
      <c r="G79" s="16" t="s">
        <v>1774</v>
      </c>
    </row>
    <row r="80" spans="1:7" hidden="1" x14ac:dyDescent="0.35">
      <c r="A80" s="16">
        <v>811</v>
      </c>
      <c r="B80" s="16" t="s">
        <v>29</v>
      </c>
      <c r="C80" s="16" t="s">
        <v>243</v>
      </c>
      <c r="D80" s="16">
        <v>1</v>
      </c>
      <c r="G80" s="16" t="s">
        <v>1774</v>
      </c>
    </row>
    <row r="81" spans="1:7" hidden="1" x14ac:dyDescent="0.35">
      <c r="A81" s="16">
        <v>824</v>
      </c>
      <c r="B81" s="16" t="s">
        <v>29</v>
      </c>
      <c r="C81" s="16" t="s">
        <v>243</v>
      </c>
      <c r="D81" s="16">
        <v>1</v>
      </c>
      <c r="G81" s="16" t="s">
        <v>1774</v>
      </c>
    </row>
    <row r="82" spans="1:7" hidden="1" x14ac:dyDescent="0.35">
      <c r="A82" s="16">
        <v>833</v>
      </c>
      <c r="B82" s="16" t="s">
        <v>28</v>
      </c>
      <c r="C82" s="16" t="s">
        <v>436</v>
      </c>
      <c r="D82" s="16" t="s">
        <v>1330</v>
      </c>
      <c r="G82" s="16" t="s">
        <v>1774</v>
      </c>
    </row>
    <row r="83" spans="1:7" hidden="1" x14ac:dyDescent="0.35">
      <c r="A83" s="16">
        <v>841</v>
      </c>
      <c r="B83" s="16" t="s">
        <v>29</v>
      </c>
      <c r="C83" s="16" t="s">
        <v>243</v>
      </c>
      <c r="D83" s="16">
        <v>1</v>
      </c>
      <c r="G83" s="16" t="s">
        <v>1774</v>
      </c>
    </row>
    <row r="84" spans="1:7" hidden="1" x14ac:dyDescent="0.35">
      <c r="A84" s="16">
        <v>849</v>
      </c>
      <c r="B84" s="16" t="s">
        <v>29</v>
      </c>
      <c r="C84" s="16" t="s">
        <v>436</v>
      </c>
      <c r="D84" s="16">
        <v>1</v>
      </c>
      <c r="G84" s="16" t="s">
        <v>1774</v>
      </c>
    </row>
    <row r="85" spans="1:7" hidden="1" x14ac:dyDescent="0.35">
      <c r="A85" s="16">
        <v>854</v>
      </c>
      <c r="B85" s="16" t="s">
        <v>28</v>
      </c>
      <c r="C85" s="16" t="s">
        <v>436</v>
      </c>
      <c r="D85" s="16">
        <v>1</v>
      </c>
      <c r="G85" s="16" t="s">
        <v>1774</v>
      </c>
    </row>
    <row r="86" spans="1:7" hidden="1" x14ac:dyDescent="0.35">
      <c r="A86" s="16">
        <v>866</v>
      </c>
      <c r="B86" s="16" t="s">
        <v>29</v>
      </c>
      <c r="C86" s="16" t="s">
        <v>458</v>
      </c>
      <c r="D86" s="16">
        <v>1</v>
      </c>
      <c r="G86" s="16" t="s">
        <v>1774</v>
      </c>
    </row>
    <row r="87" spans="1:7" hidden="1" x14ac:dyDescent="0.35">
      <c r="A87" s="16">
        <v>868</v>
      </c>
      <c r="B87" s="16" t="s">
        <v>431</v>
      </c>
      <c r="C87" s="16" t="s">
        <v>436</v>
      </c>
      <c r="D87" s="16">
        <v>1</v>
      </c>
      <c r="G87" s="16" t="s">
        <v>1774</v>
      </c>
    </row>
    <row r="88" spans="1:7" hidden="1" x14ac:dyDescent="0.35">
      <c r="A88" s="16">
        <v>871</v>
      </c>
      <c r="B88" s="16" t="s">
        <v>431</v>
      </c>
      <c r="C88" s="16" t="s">
        <v>436</v>
      </c>
      <c r="D88" s="16">
        <v>1</v>
      </c>
      <c r="G88" s="16" t="s">
        <v>1774</v>
      </c>
    </row>
    <row r="89" spans="1:7" hidden="1" x14ac:dyDescent="0.35">
      <c r="A89" s="16">
        <v>874</v>
      </c>
      <c r="B89" s="16" t="s">
        <v>28</v>
      </c>
      <c r="C89" s="16" t="s">
        <v>436</v>
      </c>
      <c r="D89" s="16">
        <v>1</v>
      </c>
      <c r="G89" s="16" t="s">
        <v>1774</v>
      </c>
    </row>
    <row r="90" spans="1:7" hidden="1" x14ac:dyDescent="0.35">
      <c r="A90" s="16">
        <v>875</v>
      </c>
      <c r="B90" s="16" t="s">
        <v>28</v>
      </c>
      <c r="C90" s="16" t="s">
        <v>436</v>
      </c>
      <c r="D90" s="16" t="s">
        <v>1330</v>
      </c>
      <c r="G90" s="16" t="s">
        <v>1774</v>
      </c>
    </row>
    <row r="91" spans="1:7" hidden="1" x14ac:dyDescent="0.35">
      <c r="A91" s="16">
        <v>882</v>
      </c>
      <c r="B91" s="16" t="s">
        <v>28</v>
      </c>
      <c r="C91" s="16" t="s">
        <v>436</v>
      </c>
      <c r="D91" s="16">
        <v>6</v>
      </c>
      <c r="G91" s="16" t="s">
        <v>1774</v>
      </c>
    </row>
    <row r="92" spans="1:7" hidden="1" x14ac:dyDescent="0.35">
      <c r="A92" s="16">
        <v>885</v>
      </c>
      <c r="B92" s="16" t="s">
        <v>28</v>
      </c>
      <c r="C92" s="16" t="s">
        <v>436</v>
      </c>
      <c r="D92" s="16">
        <v>1</v>
      </c>
      <c r="G92" s="16" t="s">
        <v>1774</v>
      </c>
    </row>
    <row r="93" spans="1:7" hidden="1" x14ac:dyDescent="0.35">
      <c r="A93" s="16">
        <v>892</v>
      </c>
      <c r="B93" s="16" t="s">
        <v>29</v>
      </c>
      <c r="C93" s="16" t="s">
        <v>243</v>
      </c>
      <c r="D93" s="16">
        <v>1</v>
      </c>
      <c r="G93" s="16" t="s">
        <v>1774</v>
      </c>
    </row>
    <row r="94" spans="1:7" hidden="1" x14ac:dyDescent="0.35">
      <c r="A94" s="16">
        <v>904</v>
      </c>
      <c r="B94" s="16" t="s">
        <v>29</v>
      </c>
      <c r="C94" s="16" t="s">
        <v>458</v>
      </c>
      <c r="D94" s="16">
        <v>2</v>
      </c>
      <c r="G94" s="16" t="s">
        <v>1774</v>
      </c>
    </row>
    <row r="95" spans="1:7" hidden="1" x14ac:dyDescent="0.35">
      <c r="A95" s="16">
        <v>911</v>
      </c>
      <c r="B95" s="16" t="s">
        <v>29</v>
      </c>
      <c r="C95" s="16" t="s">
        <v>458</v>
      </c>
      <c r="D95" s="16">
        <v>1</v>
      </c>
      <c r="G95" s="16" t="s">
        <v>1774</v>
      </c>
    </row>
    <row r="96" spans="1:7" hidden="1" x14ac:dyDescent="0.35">
      <c r="A96" s="16">
        <v>913</v>
      </c>
      <c r="B96" s="16" t="s">
        <v>29</v>
      </c>
      <c r="C96" s="16" t="s">
        <v>458</v>
      </c>
      <c r="D96" s="16">
        <v>3</v>
      </c>
      <c r="G96" s="16" t="s">
        <v>1774</v>
      </c>
    </row>
    <row r="97" spans="1:7" hidden="1" x14ac:dyDescent="0.35">
      <c r="A97" s="16">
        <v>914</v>
      </c>
      <c r="B97" s="16" t="s">
        <v>431</v>
      </c>
      <c r="C97" s="16" t="s">
        <v>458</v>
      </c>
      <c r="D97" s="16">
        <v>6</v>
      </c>
      <c r="G97" s="16" t="s">
        <v>1774</v>
      </c>
    </row>
    <row r="98" spans="1:7" hidden="1" x14ac:dyDescent="0.35">
      <c r="A98" s="16">
        <v>916</v>
      </c>
      <c r="B98" s="16" t="s">
        <v>431</v>
      </c>
      <c r="C98" s="16" t="s">
        <v>458</v>
      </c>
      <c r="D98" s="16">
        <v>7156</v>
      </c>
      <c r="G98" s="16" t="s">
        <v>1774</v>
      </c>
    </row>
    <row r="99" spans="1:7" hidden="1" x14ac:dyDescent="0.35">
      <c r="A99" s="16">
        <v>934</v>
      </c>
      <c r="B99" s="16" t="s">
        <v>29</v>
      </c>
      <c r="C99" s="16" t="s">
        <v>243</v>
      </c>
      <c r="D99" s="16">
        <v>1</v>
      </c>
      <c r="G99" s="16" t="s">
        <v>1774</v>
      </c>
    </row>
    <row r="100" spans="1:7" hidden="1" x14ac:dyDescent="0.35">
      <c r="A100" s="16">
        <v>939</v>
      </c>
      <c r="B100" s="16" t="s">
        <v>29</v>
      </c>
      <c r="C100" s="16" t="s">
        <v>458</v>
      </c>
      <c r="D100" s="16">
        <v>1</v>
      </c>
      <c r="G100" s="16" t="s">
        <v>1774</v>
      </c>
    </row>
    <row r="101" spans="1:7" hidden="1" x14ac:dyDescent="0.35">
      <c r="A101" s="16">
        <v>992</v>
      </c>
      <c r="B101" s="16" t="s">
        <v>29</v>
      </c>
      <c r="C101" s="16" t="s">
        <v>243</v>
      </c>
      <c r="D101" s="16">
        <v>3</v>
      </c>
      <c r="G101" s="16" t="s">
        <v>1774</v>
      </c>
    </row>
    <row r="102" spans="1:7" hidden="1" x14ac:dyDescent="0.35">
      <c r="A102" s="16">
        <v>1008</v>
      </c>
      <c r="B102" s="16" t="s">
        <v>29</v>
      </c>
      <c r="C102" s="16" t="s">
        <v>458</v>
      </c>
      <c r="D102" s="16">
        <v>1</v>
      </c>
      <c r="G102" s="16" t="s">
        <v>1774</v>
      </c>
    </row>
    <row r="103" spans="1:7" hidden="1" x14ac:dyDescent="0.35">
      <c r="A103" s="16">
        <v>98</v>
      </c>
      <c r="B103" s="16" t="s">
        <v>29</v>
      </c>
      <c r="C103" s="16" t="s">
        <v>458</v>
      </c>
      <c r="D103" s="16">
        <v>2</v>
      </c>
      <c r="G103" s="16" t="s">
        <v>1774</v>
      </c>
    </row>
    <row r="104" spans="1:7" hidden="1" x14ac:dyDescent="0.35">
      <c r="A104" s="16">
        <v>273</v>
      </c>
      <c r="B104" s="16" t="s">
        <v>29</v>
      </c>
      <c r="C104" s="16" t="s">
        <v>458</v>
      </c>
      <c r="D104" s="16">
        <v>5</v>
      </c>
      <c r="G104" s="16" t="s">
        <v>1774</v>
      </c>
    </row>
    <row r="105" spans="1:7" hidden="1" x14ac:dyDescent="0.35">
      <c r="A105" s="16">
        <v>275</v>
      </c>
      <c r="B105" s="16" t="s">
        <v>29</v>
      </c>
      <c r="C105" s="16" t="s">
        <v>243</v>
      </c>
      <c r="D105" s="16">
        <v>2</v>
      </c>
      <c r="G105" s="16" t="s">
        <v>1774</v>
      </c>
    </row>
    <row r="106" spans="1:7" hidden="1" x14ac:dyDescent="0.35">
      <c r="A106" s="16">
        <v>19</v>
      </c>
      <c r="B106" s="16" t="s">
        <v>29</v>
      </c>
      <c r="C106" s="16" t="s">
        <v>1330</v>
      </c>
      <c r="D106" s="16">
        <v>8</v>
      </c>
      <c r="G106" s="16" t="s">
        <v>1774</v>
      </c>
    </row>
    <row r="107" spans="1:7" hidden="1" x14ac:dyDescent="0.35">
      <c r="A107" s="16">
        <v>66</v>
      </c>
      <c r="B107" s="16" t="s">
        <v>29</v>
      </c>
      <c r="C107" s="16" t="s">
        <v>1330</v>
      </c>
      <c r="D107" s="16">
        <v>1</v>
      </c>
      <c r="G107" s="16" t="s">
        <v>1774</v>
      </c>
    </row>
    <row r="108" spans="1:7" hidden="1" x14ac:dyDescent="0.35">
      <c r="A108" s="16">
        <v>119</v>
      </c>
      <c r="B108" s="16" t="s">
        <v>29</v>
      </c>
      <c r="C108" s="16" t="s">
        <v>1330</v>
      </c>
      <c r="D108" s="16">
        <v>1</v>
      </c>
      <c r="G108" s="16" t="s">
        <v>1774</v>
      </c>
    </row>
    <row r="109" spans="1:7" hidden="1" x14ac:dyDescent="0.35">
      <c r="A109" s="16">
        <v>137</v>
      </c>
      <c r="B109" s="16" t="s">
        <v>29</v>
      </c>
      <c r="C109" s="16" t="s">
        <v>1330</v>
      </c>
      <c r="D109" s="16">
        <v>2</v>
      </c>
      <c r="G109" s="16" t="s">
        <v>1774</v>
      </c>
    </row>
    <row r="110" spans="1:7" hidden="1" x14ac:dyDescent="0.35">
      <c r="A110" s="16">
        <v>155</v>
      </c>
      <c r="B110" s="16" t="s">
        <v>29</v>
      </c>
      <c r="C110" s="16" t="s">
        <v>1330</v>
      </c>
      <c r="D110" s="16">
        <v>2</v>
      </c>
      <c r="G110" s="16" t="s">
        <v>1774</v>
      </c>
    </row>
    <row r="111" spans="1:7" hidden="1" x14ac:dyDescent="0.35">
      <c r="A111" s="16">
        <v>169</v>
      </c>
      <c r="B111" s="16" t="s">
        <v>29</v>
      </c>
      <c r="C111" s="16" t="s">
        <v>1330</v>
      </c>
      <c r="D111" s="16">
        <v>1</v>
      </c>
      <c r="G111" s="16" t="s">
        <v>1774</v>
      </c>
    </row>
    <row r="112" spans="1:7" hidden="1" x14ac:dyDescent="0.35">
      <c r="A112" s="16">
        <v>218</v>
      </c>
      <c r="B112" s="16" t="s">
        <v>29</v>
      </c>
      <c r="C112" s="16" t="s">
        <v>1330</v>
      </c>
      <c r="D112" s="16">
        <v>2</v>
      </c>
      <c r="G112" s="16" t="s">
        <v>1774</v>
      </c>
    </row>
    <row r="113" spans="1:8" hidden="1" x14ac:dyDescent="0.35">
      <c r="A113" s="16">
        <v>220</v>
      </c>
      <c r="B113" s="16" t="s">
        <v>431</v>
      </c>
      <c r="C113" s="16" t="s">
        <v>1330</v>
      </c>
      <c r="D113" s="16" t="s">
        <v>1330</v>
      </c>
      <c r="G113" s="16" t="s">
        <v>1774</v>
      </c>
    </row>
    <row r="114" spans="1:8" hidden="1" x14ac:dyDescent="0.35">
      <c r="A114" s="16">
        <v>258</v>
      </c>
      <c r="B114" s="16" t="s">
        <v>29</v>
      </c>
      <c r="C114" s="16" t="s">
        <v>1330</v>
      </c>
      <c r="D114" s="16">
        <v>1</v>
      </c>
      <c r="G114" s="16" t="s">
        <v>1774</v>
      </c>
    </row>
    <row r="115" spans="1:8" hidden="1" x14ac:dyDescent="0.35">
      <c r="A115" s="16">
        <v>259</v>
      </c>
      <c r="B115" s="16" t="s">
        <v>29</v>
      </c>
      <c r="C115" s="16" t="s">
        <v>1330</v>
      </c>
      <c r="D115" s="16">
        <v>10</v>
      </c>
      <c r="G115" s="16" t="s">
        <v>1774</v>
      </c>
    </row>
    <row r="116" spans="1:8" hidden="1" x14ac:dyDescent="0.35">
      <c r="A116" s="16">
        <v>285</v>
      </c>
      <c r="B116" s="16" t="s">
        <v>29</v>
      </c>
      <c r="C116" s="16" t="s">
        <v>1330</v>
      </c>
      <c r="D116" s="16">
        <v>1</v>
      </c>
      <c r="G116" s="16" t="s">
        <v>1774</v>
      </c>
    </row>
    <row r="117" spans="1:8" hidden="1" x14ac:dyDescent="0.35">
      <c r="A117" s="16">
        <v>314</v>
      </c>
      <c r="B117" s="16" t="s">
        <v>29</v>
      </c>
      <c r="C117" s="16" t="s">
        <v>1330</v>
      </c>
      <c r="D117" s="16">
        <v>1</v>
      </c>
      <c r="G117" s="16" t="s">
        <v>1774</v>
      </c>
    </row>
    <row r="118" spans="1:8" hidden="1" x14ac:dyDescent="0.35">
      <c r="A118" s="16">
        <v>315</v>
      </c>
      <c r="B118" s="16" t="s">
        <v>431</v>
      </c>
      <c r="C118" s="16" t="s">
        <v>1330</v>
      </c>
      <c r="D118" s="16">
        <v>1</v>
      </c>
      <c r="G118" s="16" t="s">
        <v>1774</v>
      </c>
    </row>
    <row r="119" spans="1:8" hidden="1" x14ac:dyDescent="0.35">
      <c r="A119" s="16">
        <v>337</v>
      </c>
      <c r="B119" s="16" t="s">
        <v>29</v>
      </c>
      <c r="C119" s="16" t="s">
        <v>1330</v>
      </c>
      <c r="D119" s="16">
        <v>1</v>
      </c>
      <c r="G119" s="16" t="s">
        <v>1774</v>
      </c>
    </row>
    <row r="120" spans="1:8" hidden="1" x14ac:dyDescent="0.35">
      <c r="A120" s="16">
        <v>388</v>
      </c>
      <c r="B120" s="16" t="s">
        <v>431</v>
      </c>
      <c r="C120" s="16" t="s">
        <v>1330</v>
      </c>
      <c r="D120" s="16">
        <v>1</v>
      </c>
      <c r="G120" s="16" t="s">
        <v>1774</v>
      </c>
    </row>
    <row r="121" spans="1:8" hidden="1" x14ac:dyDescent="0.35">
      <c r="A121" s="16">
        <v>399</v>
      </c>
      <c r="B121" s="16" t="s">
        <v>29</v>
      </c>
      <c r="C121" s="16" t="s">
        <v>1330</v>
      </c>
      <c r="D121" s="16">
        <v>1</v>
      </c>
      <c r="G121" s="16" t="s">
        <v>1774</v>
      </c>
    </row>
    <row r="122" spans="1:8" hidden="1" x14ac:dyDescent="0.35">
      <c r="A122" s="16">
        <v>752</v>
      </c>
      <c r="B122" s="16" t="s">
        <v>29</v>
      </c>
      <c r="C122" s="16" t="s">
        <v>243</v>
      </c>
      <c r="D122" s="16">
        <v>4</v>
      </c>
      <c r="E122" s="16" t="s">
        <v>1616</v>
      </c>
      <c r="G122" s="16" t="s">
        <v>1774</v>
      </c>
    </row>
    <row r="123" spans="1:8" hidden="1" x14ac:dyDescent="0.35">
      <c r="A123" s="55">
        <v>74</v>
      </c>
      <c r="B123" s="16" t="s">
        <v>29</v>
      </c>
      <c r="C123" s="16" t="s">
        <v>243</v>
      </c>
      <c r="D123" s="16">
        <v>3</v>
      </c>
      <c r="E123" s="16" t="s">
        <v>1616</v>
      </c>
      <c r="G123" s="16" t="s">
        <v>1774</v>
      </c>
      <c r="H123" s="70" t="s">
        <v>2663</v>
      </c>
    </row>
    <row r="124" spans="1:8" hidden="1" x14ac:dyDescent="0.35">
      <c r="A124" s="16">
        <v>69</v>
      </c>
      <c r="B124" s="16" t="s">
        <v>29</v>
      </c>
      <c r="C124" s="16" t="s">
        <v>436</v>
      </c>
      <c r="D124" s="16">
        <v>1</v>
      </c>
      <c r="E124" s="16" t="s">
        <v>1617</v>
      </c>
      <c r="G124" s="16" t="s">
        <v>1774</v>
      </c>
    </row>
    <row r="125" spans="1:8" hidden="1" x14ac:dyDescent="0.35">
      <c r="A125" s="16">
        <v>463</v>
      </c>
      <c r="B125" s="16" t="s">
        <v>29</v>
      </c>
      <c r="C125" s="16" t="s">
        <v>1330</v>
      </c>
      <c r="D125" s="16" t="s">
        <v>1330</v>
      </c>
      <c r="E125" s="16" t="s">
        <v>1618</v>
      </c>
      <c r="G125" s="16" t="s">
        <v>1774</v>
      </c>
    </row>
    <row r="126" spans="1:8" hidden="1" x14ac:dyDescent="0.35">
      <c r="A126" s="16">
        <v>555</v>
      </c>
      <c r="B126" s="16" t="s">
        <v>28</v>
      </c>
      <c r="C126" s="16" t="s">
        <v>436</v>
      </c>
      <c r="D126" s="16">
        <v>1</v>
      </c>
      <c r="E126" s="16" t="s">
        <v>1618</v>
      </c>
      <c r="G126" s="16" t="s">
        <v>1774</v>
      </c>
    </row>
    <row r="127" spans="1:8" hidden="1" x14ac:dyDescent="0.35">
      <c r="A127" s="16">
        <v>905</v>
      </c>
      <c r="B127" s="16" t="s">
        <v>28</v>
      </c>
      <c r="C127" s="16" t="s">
        <v>436</v>
      </c>
      <c r="D127" s="16" t="s">
        <v>1330</v>
      </c>
      <c r="E127" s="16" t="s">
        <v>1618</v>
      </c>
      <c r="G127" s="16" t="s">
        <v>1774</v>
      </c>
    </row>
    <row r="128" spans="1:8" hidden="1" x14ac:dyDescent="0.35">
      <c r="A128" s="16">
        <v>362</v>
      </c>
      <c r="B128" s="16" t="s">
        <v>29</v>
      </c>
      <c r="C128" s="16" t="s">
        <v>1330</v>
      </c>
      <c r="D128" s="16">
        <v>4</v>
      </c>
      <c r="E128" s="16" t="s">
        <v>1618</v>
      </c>
      <c r="G128" s="16" t="s">
        <v>1774</v>
      </c>
    </row>
    <row r="129" spans="1:7" hidden="1" x14ac:dyDescent="0.35">
      <c r="A129" s="16">
        <v>526</v>
      </c>
      <c r="B129" s="16" t="s">
        <v>29</v>
      </c>
      <c r="C129" s="16" t="s">
        <v>1330</v>
      </c>
      <c r="D129" s="16">
        <v>4</v>
      </c>
      <c r="E129" s="16" t="s">
        <v>1619</v>
      </c>
      <c r="G129" s="16" t="s">
        <v>1774</v>
      </c>
    </row>
    <row r="130" spans="1:7" hidden="1" x14ac:dyDescent="0.35">
      <c r="A130" s="16">
        <v>956</v>
      </c>
      <c r="B130" s="16" t="s">
        <v>29</v>
      </c>
      <c r="C130" s="16" t="s">
        <v>1330</v>
      </c>
      <c r="D130" s="16" t="s">
        <v>1330</v>
      </c>
      <c r="E130" s="16" t="s">
        <v>1619</v>
      </c>
      <c r="G130" s="16" t="s">
        <v>1774</v>
      </c>
    </row>
    <row r="131" spans="1:7" hidden="1" x14ac:dyDescent="0.35">
      <c r="A131" s="16">
        <v>309</v>
      </c>
      <c r="B131" s="16" t="s">
        <v>28</v>
      </c>
      <c r="C131" s="16" t="s">
        <v>436</v>
      </c>
      <c r="D131" s="16">
        <v>1</v>
      </c>
      <c r="E131" s="16" t="s">
        <v>1619</v>
      </c>
      <c r="G131" s="16" t="s">
        <v>1774</v>
      </c>
    </row>
    <row r="132" spans="1:7" hidden="1" x14ac:dyDescent="0.35">
      <c r="A132" s="16">
        <v>236</v>
      </c>
      <c r="B132" s="16" t="s">
        <v>431</v>
      </c>
      <c r="C132" s="16" t="s">
        <v>1330</v>
      </c>
      <c r="D132" s="16">
        <v>2</v>
      </c>
      <c r="E132" s="16" t="s">
        <v>1647</v>
      </c>
      <c r="G132" s="16" t="s">
        <v>1774</v>
      </c>
    </row>
    <row r="133" spans="1:7" hidden="1" x14ac:dyDescent="0.35">
      <c r="A133" s="16">
        <v>972</v>
      </c>
      <c r="B133" s="16" t="s">
        <v>29</v>
      </c>
      <c r="C133" s="16" t="s">
        <v>458</v>
      </c>
      <c r="D133" s="16">
        <v>1</v>
      </c>
      <c r="E133" s="16" t="s">
        <v>1647</v>
      </c>
      <c r="G133" s="16" t="s">
        <v>1774</v>
      </c>
    </row>
    <row r="134" spans="1:7" hidden="1" x14ac:dyDescent="0.35">
      <c r="A134" s="16">
        <v>212</v>
      </c>
      <c r="B134" s="16" t="s">
        <v>28</v>
      </c>
      <c r="C134" s="16" t="s">
        <v>436</v>
      </c>
      <c r="D134" s="16" t="s">
        <v>1330</v>
      </c>
      <c r="E134" s="16" t="s">
        <v>1647</v>
      </c>
      <c r="G134" s="16" t="s">
        <v>1774</v>
      </c>
    </row>
    <row r="135" spans="1:7" hidden="1" x14ac:dyDescent="0.35">
      <c r="A135" s="16">
        <v>785</v>
      </c>
      <c r="B135" s="16" t="s">
        <v>28</v>
      </c>
      <c r="C135" s="16" t="s">
        <v>1330</v>
      </c>
      <c r="D135" s="16">
        <v>2</v>
      </c>
      <c r="E135" s="16" t="s">
        <v>1647</v>
      </c>
      <c r="G135" s="16" t="s">
        <v>1774</v>
      </c>
    </row>
    <row r="136" spans="1:7" hidden="1" x14ac:dyDescent="0.35">
      <c r="A136" s="16">
        <v>814</v>
      </c>
      <c r="B136" s="16" t="s">
        <v>431</v>
      </c>
      <c r="C136" s="16" t="s">
        <v>1330</v>
      </c>
      <c r="D136" s="16">
        <v>1</v>
      </c>
      <c r="E136" s="16" t="s">
        <v>1647</v>
      </c>
      <c r="G136" s="16" t="s">
        <v>1774</v>
      </c>
    </row>
    <row r="137" spans="1:7" hidden="1" x14ac:dyDescent="0.35">
      <c r="A137" s="16">
        <v>581</v>
      </c>
      <c r="B137" s="16" t="s">
        <v>29</v>
      </c>
      <c r="C137" s="16" t="s">
        <v>1330</v>
      </c>
      <c r="D137" s="16">
        <v>1</v>
      </c>
      <c r="E137" s="16" t="s">
        <v>1647</v>
      </c>
      <c r="G137" s="16" t="s">
        <v>1774</v>
      </c>
    </row>
    <row r="138" spans="1:7" hidden="1" x14ac:dyDescent="0.35">
      <c r="A138" s="38">
        <v>452</v>
      </c>
      <c r="B138" s="38" t="s">
        <v>29</v>
      </c>
      <c r="C138" s="38" t="s">
        <v>436</v>
      </c>
      <c r="D138" s="38">
        <v>1</v>
      </c>
      <c r="E138" s="38" t="s">
        <v>1776</v>
      </c>
      <c r="G138" s="16" t="s">
        <v>1784</v>
      </c>
    </row>
    <row r="139" spans="1:7" hidden="1" x14ac:dyDescent="0.35">
      <c r="A139" s="38">
        <v>465</v>
      </c>
      <c r="B139" s="38" t="s">
        <v>28</v>
      </c>
      <c r="C139" s="38" t="s">
        <v>436</v>
      </c>
      <c r="D139" s="38">
        <v>6</v>
      </c>
      <c r="E139" s="38" t="s">
        <v>1776</v>
      </c>
      <c r="G139" s="16" t="s">
        <v>1784</v>
      </c>
    </row>
    <row r="140" spans="1:7" hidden="1" x14ac:dyDescent="0.35">
      <c r="A140" s="38">
        <v>496</v>
      </c>
      <c r="B140" s="38" t="s">
        <v>29</v>
      </c>
      <c r="C140" s="38" t="s">
        <v>436</v>
      </c>
      <c r="D140" s="38">
        <v>2</v>
      </c>
      <c r="E140" s="38" t="s">
        <v>1777</v>
      </c>
      <c r="G140" s="16" t="s">
        <v>1784</v>
      </c>
    </row>
    <row r="141" spans="1:7" hidden="1" x14ac:dyDescent="0.35">
      <c r="A141" s="38">
        <v>508</v>
      </c>
      <c r="B141" s="38" t="s">
        <v>29</v>
      </c>
      <c r="C141" s="38" t="s">
        <v>436</v>
      </c>
      <c r="D141" s="38">
        <v>1</v>
      </c>
      <c r="E141" s="38" t="s">
        <v>1777</v>
      </c>
      <c r="G141" s="16" t="s">
        <v>1784</v>
      </c>
    </row>
    <row r="142" spans="1:7" hidden="1" x14ac:dyDescent="0.35">
      <c r="A142" s="38">
        <v>560</v>
      </c>
      <c r="B142" s="38" t="s">
        <v>29</v>
      </c>
      <c r="C142" s="38" t="s">
        <v>458</v>
      </c>
      <c r="D142" s="38">
        <v>8</v>
      </c>
      <c r="E142" s="38" t="s">
        <v>1777</v>
      </c>
      <c r="G142" s="16" t="s">
        <v>1784</v>
      </c>
    </row>
    <row r="143" spans="1:7" hidden="1" x14ac:dyDescent="0.35">
      <c r="A143" s="38">
        <v>620</v>
      </c>
      <c r="B143" s="38" t="s">
        <v>29</v>
      </c>
      <c r="C143" s="38" t="s">
        <v>458</v>
      </c>
      <c r="D143" s="38">
        <v>1</v>
      </c>
      <c r="E143" s="38" t="s">
        <v>1777</v>
      </c>
      <c r="G143" s="16" t="s">
        <v>1784</v>
      </c>
    </row>
    <row r="144" spans="1:7" hidden="1" x14ac:dyDescent="0.35">
      <c r="A144" s="38">
        <v>629</v>
      </c>
      <c r="B144" s="38" t="s">
        <v>29</v>
      </c>
      <c r="C144" s="38" t="s">
        <v>458</v>
      </c>
      <c r="D144" s="38">
        <v>1</v>
      </c>
      <c r="E144" s="38" t="s">
        <v>1777</v>
      </c>
      <c r="G144" s="16" t="s">
        <v>1784</v>
      </c>
    </row>
    <row r="145" spans="1:7" hidden="1" x14ac:dyDescent="0.35">
      <c r="A145" s="38">
        <v>630</v>
      </c>
      <c r="B145" s="38" t="s">
        <v>29</v>
      </c>
      <c r="C145" s="38" t="s">
        <v>243</v>
      </c>
      <c r="D145" s="38">
        <v>1</v>
      </c>
      <c r="E145" s="38" t="s">
        <v>1777</v>
      </c>
      <c r="G145" s="16" t="s">
        <v>1784</v>
      </c>
    </row>
    <row r="146" spans="1:7" hidden="1" x14ac:dyDescent="0.35">
      <c r="A146" s="38">
        <v>640</v>
      </c>
      <c r="B146" s="38" t="s">
        <v>29</v>
      </c>
      <c r="C146" s="38" t="s">
        <v>243</v>
      </c>
      <c r="D146" s="38">
        <v>4</v>
      </c>
      <c r="E146" s="38" t="s">
        <v>1778</v>
      </c>
      <c r="G146" s="16" t="s">
        <v>1784</v>
      </c>
    </row>
    <row r="147" spans="1:7" hidden="1" x14ac:dyDescent="0.35">
      <c r="A147" s="38">
        <v>700</v>
      </c>
      <c r="B147" s="38" t="s">
        <v>29</v>
      </c>
      <c r="C147" s="38" t="s">
        <v>458</v>
      </c>
      <c r="D147" s="38">
        <v>1</v>
      </c>
      <c r="E147" s="38" t="s">
        <v>1778</v>
      </c>
      <c r="G147" s="16" t="s">
        <v>1784</v>
      </c>
    </row>
    <row r="148" spans="1:7" hidden="1" x14ac:dyDescent="0.35">
      <c r="A148" s="38">
        <v>706</v>
      </c>
      <c r="B148" s="38" t="s">
        <v>29</v>
      </c>
      <c r="C148" s="38" t="s">
        <v>436</v>
      </c>
      <c r="D148" s="38">
        <v>2</v>
      </c>
      <c r="E148" s="38" t="s">
        <v>1779</v>
      </c>
      <c r="G148" s="16" t="s">
        <v>1784</v>
      </c>
    </row>
    <row r="149" spans="1:7" hidden="1" x14ac:dyDescent="0.35">
      <c r="A149" s="38">
        <v>720</v>
      </c>
      <c r="B149" s="38" t="s">
        <v>28</v>
      </c>
      <c r="C149" s="38" t="s">
        <v>458</v>
      </c>
      <c r="D149" s="38">
        <v>4</v>
      </c>
      <c r="E149" s="38" t="s">
        <v>1779</v>
      </c>
      <c r="G149" s="16" t="s">
        <v>1784</v>
      </c>
    </row>
    <row r="150" spans="1:7" hidden="1" x14ac:dyDescent="0.35">
      <c r="A150" s="38">
        <v>748</v>
      </c>
      <c r="B150" s="38" t="s">
        <v>29</v>
      </c>
      <c r="C150" s="38" t="s">
        <v>243</v>
      </c>
      <c r="D150" s="38">
        <v>1</v>
      </c>
      <c r="E150" s="38" t="s">
        <v>1780</v>
      </c>
      <c r="G150" s="16" t="s">
        <v>1784</v>
      </c>
    </row>
    <row r="151" spans="1:7" hidden="1" x14ac:dyDescent="0.35">
      <c r="A151" s="38">
        <v>756</v>
      </c>
      <c r="B151" s="38" t="s">
        <v>29</v>
      </c>
      <c r="C151" s="38" t="s">
        <v>243</v>
      </c>
      <c r="D151" s="38">
        <v>8</v>
      </c>
      <c r="E151" s="38" t="s">
        <v>1780</v>
      </c>
      <c r="G151" s="16" t="s">
        <v>1784</v>
      </c>
    </row>
    <row r="152" spans="1:7" hidden="1" x14ac:dyDescent="0.35">
      <c r="A152" s="38">
        <v>767</v>
      </c>
      <c r="B152" s="38" t="s">
        <v>29</v>
      </c>
      <c r="C152" s="38" t="s">
        <v>243</v>
      </c>
      <c r="D152" s="38">
        <v>1</v>
      </c>
      <c r="E152" s="38" t="s">
        <v>1780</v>
      </c>
      <c r="G152" s="16" t="s">
        <v>1784</v>
      </c>
    </row>
    <row r="153" spans="1:7" hidden="1" x14ac:dyDescent="0.35">
      <c r="A153" s="38">
        <v>769</v>
      </c>
      <c r="B153" s="38" t="s">
        <v>29</v>
      </c>
      <c r="C153" s="38" t="s">
        <v>458</v>
      </c>
      <c r="D153" s="38">
        <v>1</v>
      </c>
      <c r="E153" s="38" t="s">
        <v>1780</v>
      </c>
      <c r="G153" s="16" t="s">
        <v>1784</v>
      </c>
    </row>
    <row r="154" spans="1:7" hidden="1" x14ac:dyDescent="0.35">
      <c r="A154" s="38">
        <v>798</v>
      </c>
      <c r="B154" s="38" t="s">
        <v>29</v>
      </c>
      <c r="C154" s="38" t="s">
        <v>436</v>
      </c>
      <c r="D154" s="38">
        <v>1</v>
      </c>
      <c r="E154" s="38" t="s">
        <v>1781</v>
      </c>
      <c r="G154" s="16" t="s">
        <v>1784</v>
      </c>
    </row>
    <row r="155" spans="1:7" hidden="1" x14ac:dyDescent="0.35">
      <c r="A155" s="38">
        <v>800</v>
      </c>
      <c r="B155" s="38" t="s">
        <v>29</v>
      </c>
      <c r="C155" s="38" t="s">
        <v>243</v>
      </c>
      <c r="D155" s="38">
        <v>1</v>
      </c>
      <c r="E155" s="38" t="s">
        <v>1781</v>
      </c>
      <c r="G155" s="16" t="s">
        <v>1784</v>
      </c>
    </row>
    <row r="156" spans="1:7" hidden="1" x14ac:dyDescent="0.35">
      <c r="A156" s="38">
        <v>817</v>
      </c>
      <c r="B156" s="38" t="s">
        <v>431</v>
      </c>
      <c r="C156" s="38" t="s">
        <v>243</v>
      </c>
      <c r="D156" s="38">
        <v>1</v>
      </c>
      <c r="E156" s="38" t="s">
        <v>1782</v>
      </c>
      <c r="G156" s="16" t="s">
        <v>1784</v>
      </c>
    </row>
    <row r="157" spans="1:7" hidden="1" x14ac:dyDescent="0.35">
      <c r="A157" s="38">
        <v>819</v>
      </c>
      <c r="B157" s="38" t="s">
        <v>431</v>
      </c>
      <c r="C157" s="38" t="s">
        <v>436</v>
      </c>
      <c r="D157" s="38">
        <v>90</v>
      </c>
      <c r="E157" s="38" t="s">
        <v>1782</v>
      </c>
      <c r="F157" s="38" t="s">
        <v>1783</v>
      </c>
      <c r="G157" s="16" t="s">
        <v>1784</v>
      </c>
    </row>
    <row r="158" spans="1:7" hidden="1" x14ac:dyDescent="0.35">
      <c r="A158" s="38">
        <v>400</v>
      </c>
      <c r="B158" s="38" t="s">
        <v>29</v>
      </c>
      <c r="C158" s="38" t="s">
        <v>436</v>
      </c>
      <c r="D158" s="38">
        <v>1</v>
      </c>
      <c r="E158" s="38" t="s">
        <v>1781</v>
      </c>
      <c r="F158" s="38" t="s">
        <v>2041</v>
      </c>
      <c r="G158" s="16" t="s">
        <v>2045</v>
      </c>
    </row>
    <row r="159" spans="1:7" hidden="1" x14ac:dyDescent="0.35">
      <c r="A159" s="38">
        <v>406</v>
      </c>
      <c r="B159" s="38" t="s">
        <v>29</v>
      </c>
      <c r="C159" s="38" t="s">
        <v>436</v>
      </c>
      <c r="D159" s="38">
        <v>1</v>
      </c>
      <c r="E159" s="38" t="s">
        <v>1781</v>
      </c>
      <c r="F159" s="38" t="s">
        <v>2042</v>
      </c>
      <c r="G159" s="16" t="s">
        <v>2045</v>
      </c>
    </row>
    <row r="160" spans="1:7" hidden="1" x14ac:dyDescent="0.35">
      <c r="A160" s="38">
        <v>441</v>
      </c>
      <c r="B160" s="38" t="s">
        <v>29</v>
      </c>
      <c r="C160" s="38" t="s">
        <v>458</v>
      </c>
      <c r="D160" s="38">
        <v>4</v>
      </c>
      <c r="E160" s="38" t="s">
        <v>1781</v>
      </c>
      <c r="F160" s="38"/>
      <c r="G160" s="16" t="s">
        <v>2045</v>
      </c>
    </row>
    <row r="161" spans="1:8" hidden="1" x14ac:dyDescent="0.35">
      <c r="A161" s="38">
        <v>446</v>
      </c>
      <c r="B161" s="38" t="s">
        <v>29</v>
      </c>
      <c r="C161" s="38" t="s">
        <v>436</v>
      </c>
      <c r="D161" s="38">
        <v>1</v>
      </c>
      <c r="E161" s="38" t="s">
        <v>1781</v>
      </c>
      <c r="F161" s="38" t="s">
        <v>2043</v>
      </c>
      <c r="G161" s="16" t="s">
        <v>2045</v>
      </c>
    </row>
    <row r="162" spans="1:8" hidden="1" x14ac:dyDescent="0.35">
      <c r="A162" s="38">
        <v>449</v>
      </c>
      <c r="B162" s="38" t="s">
        <v>29</v>
      </c>
      <c r="C162" s="38" t="s">
        <v>436</v>
      </c>
      <c r="D162" s="38">
        <v>1</v>
      </c>
      <c r="E162" s="38" t="s">
        <v>1781</v>
      </c>
      <c r="F162" s="38" t="s">
        <v>2044</v>
      </c>
      <c r="G162" s="16" t="s">
        <v>2045</v>
      </c>
    </row>
    <row r="163" spans="1:8" hidden="1" x14ac:dyDescent="0.35">
      <c r="A163" s="38">
        <v>50</v>
      </c>
      <c r="B163" s="16" t="s">
        <v>29</v>
      </c>
      <c r="C163" s="16" t="s">
        <v>436</v>
      </c>
      <c r="D163" s="16">
        <v>1</v>
      </c>
      <c r="E163" s="16" t="s">
        <v>2145</v>
      </c>
      <c r="G163" s="16" t="s">
        <v>2149</v>
      </c>
    </row>
    <row r="164" spans="1:8" hidden="1" x14ac:dyDescent="0.35">
      <c r="A164" s="38">
        <v>68</v>
      </c>
      <c r="B164" s="16" t="s">
        <v>29</v>
      </c>
      <c r="C164" s="16" t="s">
        <v>436</v>
      </c>
      <c r="D164" s="16" t="s">
        <v>1330</v>
      </c>
      <c r="E164" s="16" t="s">
        <v>2145</v>
      </c>
      <c r="F164" s="16" t="s">
        <v>2204</v>
      </c>
      <c r="G164" s="16" t="s">
        <v>2149</v>
      </c>
    </row>
    <row r="165" spans="1:8" hidden="1" x14ac:dyDescent="0.35">
      <c r="A165" s="38">
        <v>147</v>
      </c>
      <c r="B165" s="16" t="s">
        <v>29</v>
      </c>
      <c r="C165" s="16" t="s">
        <v>458</v>
      </c>
      <c r="D165" s="16">
        <v>10</v>
      </c>
      <c r="E165" s="16" t="s">
        <v>2146</v>
      </c>
      <c r="F165" s="16" t="s">
        <v>2147</v>
      </c>
      <c r="G165" s="16" t="s">
        <v>2149</v>
      </c>
    </row>
    <row r="166" spans="1:8" hidden="1" x14ac:dyDescent="0.35">
      <c r="A166" s="38">
        <v>167</v>
      </c>
      <c r="B166" s="16" t="s">
        <v>29</v>
      </c>
      <c r="C166" s="16" t="s">
        <v>1330</v>
      </c>
      <c r="D166" s="16">
        <v>1</v>
      </c>
      <c r="E166" s="16" t="s">
        <v>2148</v>
      </c>
      <c r="G166" s="16" t="s">
        <v>2149</v>
      </c>
    </row>
    <row r="167" spans="1:8" hidden="1" x14ac:dyDescent="0.35">
      <c r="A167" s="38">
        <v>173</v>
      </c>
      <c r="B167" s="16" t="s">
        <v>29</v>
      </c>
      <c r="C167" s="16" t="s">
        <v>1330</v>
      </c>
      <c r="D167" s="16">
        <v>1</v>
      </c>
      <c r="E167" s="16" t="s">
        <v>2148</v>
      </c>
      <c r="G167" s="16" t="s">
        <v>2149</v>
      </c>
    </row>
    <row r="168" spans="1:8" hidden="1" x14ac:dyDescent="0.35">
      <c r="A168" s="69">
        <v>79</v>
      </c>
      <c r="B168" t="s">
        <v>29</v>
      </c>
      <c r="C168" t="s">
        <v>458</v>
      </c>
      <c r="D168" s="16">
        <v>1</v>
      </c>
      <c r="E168" s="16" t="s">
        <v>1781</v>
      </c>
      <c r="G168" s="16" t="s">
        <v>1775</v>
      </c>
      <c r="H168" s="70" t="s">
        <v>2660</v>
      </c>
    </row>
    <row r="169" spans="1:8" hidden="1" x14ac:dyDescent="0.35">
      <c r="A169">
        <v>80</v>
      </c>
      <c r="B169" t="s">
        <v>29</v>
      </c>
      <c r="C169" t="s">
        <v>458</v>
      </c>
      <c r="D169" s="16">
        <v>2</v>
      </c>
      <c r="E169" s="16" t="s">
        <v>1781</v>
      </c>
      <c r="G169" s="16" t="s">
        <v>1775</v>
      </c>
    </row>
    <row r="170" spans="1:8" hidden="1" x14ac:dyDescent="0.35">
      <c r="A170">
        <v>776</v>
      </c>
      <c r="B170" t="s">
        <v>431</v>
      </c>
      <c r="C170" t="s">
        <v>458</v>
      </c>
      <c r="D170" s="16">
        <v>1</v>
      </c>
      <c r="E170" s="16" t="s">
        <v>2658</v>
      </c>
      <c r="G170" s="16" t="s">
        <v>1775</v>
      </c>
    </row>
    <row r="171" spans="1:8" hidden="1" x14ac:dyDescent="0.35">
      <c r="A171">
        <v>780</v>
      </c>
      <c r="B171" t="s">
        <v>29</v>
      </c>
      <c r="C171" t="s">
        <v>243</v>
      </c>
      <c r="D171" s="16">
        <v>1</v>
      </c>
      <c r="E171" s="16" t="s">
        <v>2658</v>
      </c>
      <c r="G171" s="16" t="s">
        <v>1775</v>
      </c>
    </row>
    <row r="172" spans="1:8" hidden="1" x14ac:dyDescent="0.35">
      <c r="A172">
        <v>795</v>
      </c>
      <c r="B172" t="s">
        <v>29</v>
      </c>
      <c r="C172" t="s">
        <v>243</v>
      </c>
      <c r="D172" s="16">
        <v>1</v>
      </c>
      <c r="E172" s="16" t="s">
        <v>2658</v>
      </c>
      <c r="G172" s="16" t="s">
        <v>1775</v>
      </c>
    </row>
    <row r="173" spans="1:8" hidden="1" x14ac:dyDescent="0.35">
      <c r="A173">
        <v>801</v>
      </c>
      <c r="B173" t="s">
        <v>29</v>
      </c>
      <c r="C173" t="s">
        <v>243</v>
      </c>
      <c r="D173" s="16">
        <v>2</v>
      </c>
      <c r="E173" s="16" t="s">
        <v>2659</v>
      </c>
      <c r="G173" s="16" t="s">
        <v>1775</v>
      </c>
    </row>
    <row r="174" spans="1:8" hidden="1" x14ac:dyDescent="0.35">
      <c r="A174" s="17">
        <v>850</v>
      </c>
      <c r="B174" t="s">
        <v>431</v>
      </c>
      <c r="C174" t="s">
        <v>458</v>
      </c>
      <c r="D174" s="16">
        <v>1</v>
      </c>
      <c r="E174" s="16" t="s">
        <v>2659</v>
      </c>
      <c r="G174" s="16" t="s">
        <v>1775</v>
      </c>
    </row>
    <row r="175" spans="1:8" hidden="1" x14ac:dyDescent="0.35">
      <c r="A175">
        <v>856</v>
      </c>
      <c r="B175" t="s">
        <v>29</v>
      </c>
      <c r="C175" s="16" t="s">
        <v>1330</v>
      </c>
      <c r="D175" s="16">
        <v>1</v>
      </c>
      <c r="E175" s="16" t="s">
        <v>2659</v>
      </c>
      <c r="G175" s="16" t="s">
        <v>1775</v>
      </c>
    </row>
    <row r="176" spans="1:8" hidden="1" x14ac:dyDescent="0.35">
      <c r="A176">
        <v>857</v>
      </c>
      <c r="B176" t="s">
        <v>431</v>
      </c>
      <c r="C176" t="s">
        <v>436</v>
      </c>
      <c r="D176" s="16">
        <v>1</v>
      </c>
      <c r="E176" s="16" t="s">
        <v>2659</v>
      </c>
      <c r="G176" s="16" t="s">
        <v>1775</v>
      </c>
    </row>
    <row r="177" spans="1:7" hidden="1" x14ac:dyDescent="0.35">
      <c r="A177">
        <v>861</v>
      </c>
      <c r="B177" t="s">
        <v>28</v>
      </c>
      <c r="C177" t="s">
        <v>436</v>
      </c>
      <c r="D177" s="16">
        <v>1</v>
      </c>
      <c r="E177" s="16" t="s">
        <v>2659</v>
      </c>
      <c r="G177" s="16" t="s">
        <v>1775</v>
      </c>
    </row>
    <row r="178" spans="1:7" hidden="1" x14ac:dyDescent="0.35">
      <c r="A178">
        <v>862</v>
      </c>
      <c r="B178" t="s">
        <v>29</v>
      </c>
      <c r="C178" s="16" t="s">
        <v>1330</v>
      </c>
      <c r="D178" s="16">
        <v>1</v>
      </c>
      <c r="E178" s="16" t="s">
        <v>2659</v>
      </c>
      <c r="G178" s="16" t="s">
        <v>1775</v>
      </c>
    </row>
    <row r="179" spans="1:7" hidden="1" x14ac:dyDescent="0.35">
      <c r="A179" s="71">
        <v>527</v>
      </c>
      <c r="B179" s="71" t="s">
        <v>29</v>
      </c>
      <c r="C179" s="71" t="s">
        <v>458</v>
      </c>
      <c r="D179" s="72">
        <v>3</v>
      </c>
      <c r="E179" s="71" t="s">
        <v>2664</v>
      </c>
      <c r="G179" s="16" t="s">
        <v>2668</v>
      </c>
    </row>
    <row r="180" spans="1:7" hidden="1" x14ac:dyDescent="0.35">
      <c r="A180" s="71">
        <v>535</v>
      </c>
      <c r="B180" s="71" t="s">
        <v>29</v>
      </c>
      <c r="C180" s="71" t="s">
        <v>243</v>
      </c>
      <c r="D180" s="72">
        <v>3</v>
      </c>
      <c r="E180" s="71" t="s">
        <v>1779</v>
      </c>
      <c r="G180" s="16" t="s">
        <v>2668</v>
      </c>
    </row>
    <row r="181" spans="1:7" hidden="1" x14ac:dyDescent="0.35">
      <c r="A181" s="71">
        <v>536</v>
      </c>
      <c r="B181" s="71" t="s">
        <v>29</v>
      </c>
      <c r="C181" s="71" t="s">
        <v>458</v>
      </c>
      <c r="D181" s="72">
        <v>7</v>
      </c>
      <c r="E181" s="71" t="s">
        <v>1779</v>
      </c>
      <c r="G181" s="16" t="s">
        <v>2668</v>
      </c>
    </row>
    <row r="182" spans="1:7" hidden="1" x14ac:dyDescent="0.35">
      <c r="A182" s="71">
        <v>556</v>
      </c>
      <c r="B182" s="71" t="s">
        <v>28</v>
      </c>
      <c r="C182" s="71" t="s">
        <v>436</v>
      </c>
      <c r="D182" s="72">
        <v>1</v>
      </c>
      <c r="E182" s="71" t="s">
        <v>1779</v>
      </c>
      <c r="G182" s="16" t="s">
        <v>2668</v>
      </c>
    </row>
    <row r="183" spans="1:7" hidden="1" x14ac:dyDescent="0.35">
      <c r="A183" s="71">
        <v>557</v>
      </c>
      <c r="B183" s="71" t="s">
        <v>431</v>
      </c>
      <c r="C183" s="71" t="s">
        <v>436</v>
      </c>
      <c r="D183" s="72">
        <v>1</v>
      </c>
      <c r="E183" s="71" t="s">
        <v>1779</v>
      </c>
      <c r="G183" s="16" t="s">
        <v>2668</v>
      </c>
    </row>
    <row r="184" spans="1:7" hidden="1" x14ac:dyDescent="0.35">
      <c r="A184" s="71">
        <v>563</v>
      </c>
      <c r="B184" s="71" t="s">
        <v>431</v>
      </c>
      <c r="C184" s="71" t="s">
        <v>458</v>
      </c>
      <c r="D184" s="72">
        <v>28</v>
      </c>
      <c r="E184" s="71" t="s">
        <v>2665</v>
      </c>
      <c r="G184" s="16" t="s">
        <v>2668</v>
      </c>
    </row>
    <row r="185" spans="1:7" hidden="1" x14ac:dyDescent="0.35">
      <c r="A185" s="71">
        <v>564</v>
      </c>
      <c r="B185" s="71" t="s">
        <v>431</v>
      </c>
      <c r="C185" s="71" t="s">
        <v>436</v>
      </c>
      <c r="D185" s="72">
        <v>1</v>
      </c>
      <c r="E185" s="71" t="s">
        <v>2665</v>
      </c>
      <c r="G185" s="16" t="s">
        <v>2668</v>
      </c>
    </row>
    <row r="186" spans="1:7" hidden="1" x14ac:dyDescent="0.35">
      <c r="A186" s="71">
        <v>571</v>
      </c>
      <c r="B186" s="71" t="s">
        <v>29</v>
      </c>
      <c r="C186" s="71" t="s">
        <v>458</v>
      </c>
      <c r="D186" s="72">
        <v>1</v>
      </c>
      <c r="E186" s="71" t="s">
        <v>2666</v>
      </c>
      <c r="G186" s="16" t="s">
        <v>2668</v>
      </c>
    </row>
    <row r="187" spans="1:7" hidden="1" x14ac:dyDescent="0.35">
      <c r="A187" s="71">
        <v>576</v>
      </c>
      <c r="B187" s="71" t="s">
        <v>29</v>
      </c>
      <c r="C187" s="71" t="s">
        <v>458</v>
      </c>
      <c r="D187" s="72">
        <v>1</v>
      </c>
      <c r="E187" s="71" t="s">
        <v>2667</v>
      </c>
      <c r="G187" s="16" t="s">
        <v>2668</v>
      </c>
    </row>
    <row r="188" spans="1:7" hidden="1" x14ac:dyDescent="0.35">
      <c r="A188" s="71">
        <v>595</v>
      </c>
      <c r="B188" s="71" t="s">
        <v>29</v>
      </c>
      <c r="C188" s="71" t="s">
        <v>458</v>
      </c>
      <c r="D188" s="72">
        <v>1</v>
      </c>
      <c r="E188" s="71" t="s">
        <v>2667</v>
      </c>
      <c r="G188" s="16" t="s">
        <v>2668</v>
      </c>
    </row>
    <row r="189" spans="1:7" hidden="1" x14ac:dyDescent="0.35">
      <c r="A189" s="16">
        <v>93</v>
      </c>
      <c r="B189" s="16" t="s">
        <v>29</v>
      </c>
      <c r="C189" s="16" t="s">
        <v>1330</v>
      </c>
      <c r="D189" s="16">
        <v>3</v>
      </c>
      <c r="E189" s="16">
        <v>46152</v>
      </c>
      <c r="F189" s="16" t="s">
        <v>2670</v>
      </c>
      <c r="G189" s="16" t="s">
        <v>2682</v>
      </c>
    </row>
    <row r="190" spans="1:7" hidden="1" x14ac:dyDescent="0.35">
      <c r="A190" s="16">
        <v>96</v>
      </c>
      <c r="B190" s="16" t="s">
        <v>29</v>
      </c>
      <c r="C190" s="16" t="s">
        <v>458</v>
      </c>
      <c r="D190" s="16">
        <v>2</v>
      </c>
      <c r="E190" s="16">
        <v>46152</v>
      </c>
      <c r="G190" s="16" t="s">
        <v>2682</v>
      </c>
    </row>
    <row r="191" spans="1:7" hidden="1" x14ac:dyDescent="0.35">
      <c r="A191" s="16">
        <v>102</v>
      </c>
      <c r="B191" s="16" t="s">
        <v>29</v>
      </c>
      <c r="C191" s="16" t="s">
        <v>458</v>
      </c>
      <c r="D191" s="16">
        <v>1</v>
      </c>
      <c r="E191" s="16">
        <v>46154</v>
      </c>
      <c r="F191" s="16" t="s">
        <v>2671</v>
      </c>
      <c r="G191" s="16" t="s">
        <v>2682</v>
      </c>
    </row>
    <row r="192" spans="1:7" hidden="1" x14ac:dyDescent="0.35">
      <c r="A192" s="16">
        <v>109</v>
      </c>
      <c r="B192" s="16" t="s">
        <v>28</v>
      </c>
      <c r="C192" s="16" t="s">
        <v>436</v>
      </c>
      <c r="D192" s="16" t="s">
        <v>1330</v>
      </c>
      <c r="E192" s="16">
        <v>46159</v>
      </c>
      <c r="F192" s="16" t="s">
        <v>2672</v>
      </c>
      <c r="G192" s="16" t="s">
        <v>2682</v>
      </c>
    </row>
    <row r="193" spans="1:7" hidden="1" x14ac:dyDescent="0.35">
      <c r="A193" s="16">
        <v>112</v>
      </c>
      <c r="B193" s="16" t="s">
        <v>29</v>
      </c>
      <c r="C193" s="16" t="s">
        <v>458</v>
      </c>
      <c r="D193" s="16" t="s">
        <v>1330</v>
      </c>
      <c r="E193" s="16">
        <v>46159</v>
      </c>
      <c r="F193" s="16" t="s">
        <v>2673</v>
      </c>
      <c r="G193" s="16" t="s">
        <v>2682</v>
      </c>
    </row>
    <row r="194" spans="1:7" hidden="1" x14ac:dyDescent="0.35">
      <c r="A194" s="16">
        <v>114</v>
      </c>
      <c r="B194" s="16" t="s">
        <v>29</v>
      </c>
      <c r="C194" s="16" t="s">
        <v>1330</v>
      </c>
      <c r="D194" s="16">
        <v>1</v>
      </c>
      <c r="E194" s="16">
        <v>46159</v>
      </c>
      <c r="F194" s="16" t="s">
        <v>2674</v>
      </c>
      <c r="G194" s="16" t="s">
        <v>2682</v>
      </c>
    </row>
    <row r="195" spans="1:7" hidden="1" x14ac:dyDescent="0.35">
      <c r="A195" s="16">
        <v>117</v>
      </c>
      <c r="B195" s="16" t="s">
        <v>29</v>
      </c>
      <c r="C195" s="16" t="s">
        <v>1330</v>
      </c>
      <c r="D195" s="16">
        <v>12</v>
      </c>
      <c r="E195" s="16">
        <v>46159</v>
      </c>
      <c r="F195" s="16" t="s">
        <v>2675</v>
      </c>
      <c r="G195" s="16" t="s">
        <v>2682</v>
      </c>
    </row>
    <row r="196" spans="1:7" hidden="1" x14ac:dyDescent="0.35">
      <c r="A196" s="16">
        <v>228</v>
      </c>
      <c r="B196" s="16" t="s">
        <v>29</v>
      </c>
      <c r="C196" s="16" t="s">
        <v>458</v>
      </c>
      <c r="D196" s="16">
        <v>1</v>
      </c>
      <c r="E196" s="16">
        <v>46159</v>
      </c>
      <c r="F196" s="16" t="s">
        <v>2676</v>
      </c>
      <c r="G196" s="16" t="s">
        <v>2682</v>
      </c>
    </row>
    <row r="197" spans="1:7" hidden="1" x14ac:dyDescent="0.35">
      <c r="A197" s="16">
        <v>340</v>
      </c>
      <c r="B197" s="16" t="s">
        <v>431</v>
      </c>
      <c r="C197" s="16" t="s">
        <v>458</v>
      </c>
      <c r="D197" s="16">
        <v>1</v>
      </c>
      <c r="E197" s="16">
        <v>46160</v>
      </c>
      <c r="F197" s="16" t="s">
        <v>2677</v>
      </c>
      <c r="G197" s="16" t="s">
        <v>2682</v>
      </c>
    </row>
    <row r="198" spans="1:7" hidden="1" x14ac:dyDescent="0.35">
      <c r="A198" s="16">
        <v>457</v>
      </c>
      <c r="B198" s="16" t="s">
        <v>431</v>
      </c>
      <c r="C198" s="16" t="s">
        <v>458</v>
      </c>
      <c r="D198" s="16">
        <v>2</v>
      </c>
      <c r="E198" s="16">
        <v>46161</v>
      </c>
      <c r="F198" s="16" t="s">
        <v>2678</v>
      </c>
      <c r="G198" s="16" t="s">
        <v>2682</v>
      </c>
    </row>
    <row r="199" spans="1:7" hidden="1" x14ac:dyDescent="0.35">
      <c r="A199" s="16">
        <v>485</v>
      </c>
      <c r="B199" s="16" t="s">
        <v>29</v>
      </c>
      <c r="C199" s="16" t="s">
        <v>458</v>
      </c>
      <c r="D199" s="16">
        <v>1</v>
      </c>
      <c r="E199" s="16">
        <v>46163</v>
      </c>
      <c r="F199" s="16" t="s">
        <v>2679</v>
      </c>
      <c r="G199" s="16" t="s">
        <v>2682</v>
      </c>
    </row>
    <row r="200" spans="1:7" hidden="1" x14ac:dyDescent="0.35">
      <c r="A200" s="16">
        <v>808</v>
      </c>
      <c r="B200" s="16" t="s">
        <v>29</v>
      </c>
      <c r="C200" s="16" t="s">
        <v>458</v>
      </c>
      <c r="D200" s="16">
        <v>3</v>
      </c>
      <c r="E200" s="16">
        <v>46163</v>
      </c>
      <c r="F200" s="16" t="s">
        <v>2680</v>
      </c>
      <c r="G200" s="16" t="s">
        <v>2682</v>
      </c>
    </row>
    <row r="201" spans="1:7" hidden="1" x14ac:dyDescent="0.35">
      <c r="A201" s="16">
        <v>809</v>
      </c>
      <c r="B201" s="16" t="s">
        <v>431</v>
      </c>
      <c r="C201" s="16" t="s">
        <v>458</v>
      </c>
      <c r="D201" s="16">
        <v>2</v>
      </c>
      <c r="E201" s="16">
        <v>46170</v>
      </c>
      <c r="G201" s="16" t="s">
        <v>2682</v>
      </c>
    </row>
    <row r="202" spans="1:7" hidden="1" x14ac:dyDescent="0.35">
      <c r="A202" s="16">
        <v>821</v>
      </c>
      <c r="B202" s="16" t="s">
        <v>29</v>
      </c>
      <c r="C202" s="16" t="s">
        <v>458</v>
      </c>
      <c r="D202" s="16">
        <v>1</v>
      </c>
      <c r="E202" s="16">
        <v>46170</v>
      </c>
      <c r="F202" s="16" t="s">
        <v>2681</v>
      </c>
      <c r="G202" s="16" t="s">
        <v>2682</v>
      </c>
    </row>
    <row r="203" spans="1:7" hidden="1" x14ac:dyDescent="0.35">
      <c r="A203" s="16">
        <v>822</v>
      </c>
      <c r="B203" s="16" t="s">
        <v>29</v>
      </c>
      <c r="C203" s="16" t="s">
        <v>458</v>
      </c>
      <c r="D203" s="16">
        <v>1</v>
      </c>
      <c r="E203" s="16">
        <v>46170</v>
      </c>
      <c r="G203" s="16" t="s">
        <v>2682</v>
      </c>
    </row>
    <row r="204" spans="1:7" hidden="1" x14ac:dyDescent="0.35">
      <c r="A204" s="16">
        <v>27</v>
      </c>
      <c r="B204" s="16" t="s">
        <v>29</v>
      </c>
      <c r="C204" s="16" t="s">
        <v>243</v>
      </c>
      <c r="D204" s="16">
        <v>3</v>
      </c>
      <c r="E204" s="16">
        <v>46145</v>
      </c>
      <c r="G204" s="16" t="s">
        <v>2687</v>
      </c>
    </row>
    <row r="205" spans="1:7" hidden="1" x14ac:dyDescent="0.35">
      <c r="A205" s="16">
        <v>123</v>
      </c>
      <c r="B205" s="16" t="s">
        <v>29</v>
      </c>
      <c r="C205" s="16" t="s">
        <v>243</v>
      </c>
      <c r="D205" s="16">
        <v>1</v>
      </c>
      <c r="E205" s="16">
        <v>46150</v>
      </c>
      <c r="G205" s="16" t="s">
        <v>2687</v>
      </c>
    </row>
    <row r="206" spans="1:7" hidden="1" x14ac:dyDescent="0.35">
      <c r="A206" s="16">
        <v>126</v>
      </c>
      <c r="B206" s="16" t="s">
        <v>29</v>
      </c>
      <c r="C206" s="16" t="s">
        <v>436</v>
      </c>
      <c r="D206" s="16">
        <v>3</v>
      </c>
      <c r="E206" s="16">
        <v>46150</v>
      </c>
      <c r="G206" s="16" t="s">
        <v>2687</v>
      </c>
    </row>
    <row r="207" spans="1:7" hidden="1" x14ac:dyDescent="0.35">
      <c r="A207" s="16">
        <v>151</v>
      </c>
      <c r="B207" s="16" t="s">
        <v>29</v>
      </c>
      <c r="C207" s="16" t="s">
        <v>1330</v>
      </c>
      <c r="D207" s="16">
        <v>1</v>
      </c>
      <c r="E207" s="16">
        <v>46150</v>
      </c>
      <c r="F207" s="16" t="s">
        <v>2683</v>
      </c>
      <c r="G207" s="16" t="s">
        <v>2687</v>
      </c>
    </row>
    <row r="208" spans="1:7" hidden="1" x14ac:dyDescent="0.35">
      <c r="A208" s="16">
        <v>156</v>
      </c>
      <c r="B208" s="16" t="s">
        <v>29</v>
      </c>
      <c r="C208" s="16" t="s">
        <v>436</v>
      </c>
      <c r="D208" s="16">
        <v>2</v>
      </c>
      <c r="E208" s="16">
        <v>46151</v>
      </c>
      <c r="G208" s="16" t="s">
        <v>2687</v>
      </c>
    </row>
    <row r="209" spans="1:7" hidden="1" x14ac:dyDescent="0.35">
      <c r="A209" s="16">
        <v>162</v>
      </c>
      <c r="B209" s="16" t="s">
        <v>29</v>
      </c>
      <c r="C209" s="16" t="s">
        <v>458</v>
      </c>
      <c r="D209" s="16">
        <v>1</v>
      </c>
      <c r="E209" s="16">
        <v>46151</v>
      </c>
      <c r="G209" s="16" t="s">
        <v>2687</v>
      </c>
    </row>
    <row r="210" spans="1:7" hidden="1" x14ac:dyDescent="0.35">
      <c r="A210" s="16">
        <v>198</v>
      </c>
      <c r="B210" s="16" t="s">
        <v>29</v>
      </c>
      <c r="C210" s="16" t="s">
        <v>458</v>
      </c>
      <c r="D210" s="16">
        <v>1</v>
      </c>
      <c r="E210" s="16">
        <v>46153</v>
      </c>
      <c r="G210" s="16" t="s">
        <v>2687</v>
      </c>
    </row>
    <row r="211" spans="1:7" hidden="1" x14ac:dyDescent="0.35">
      <c r="A211" s="16">
        <v>199</v>
      </c>
      <c r="B211" s="16" t="s">
        <v>29</v>
      </c>
      <c r="C211" s="16" t="s">
        <v>243</v>
      </c>
      <c r="D211" s="16">
        <v>1</v>
      </c>
      <c r="E211" s="16">
        <v>46153</v>
      </c>
      <c r="G211" s="16" t="s">
        <v>2687</v>
      </c>
    </row>
    <row r="212" spans="1:7" hidden="1" x14ac:dyDescent="0.35">
      <c r="A212" s="16">
        <v>203</v>
      </c>
      <c r="B212" s="16" t="s">
        <v>29</v>
      </c>
      <c r="C212" s="16" t="s">
        <v>243</v>
      </c>
      <c r="D212" s="16">
        <v>1</v>
      </c>
      <c r="E212" s="16">
        <v>46153</v>
      </c>
      <c r="G212" s="16" t="s">
        <v>2687</v>
      </c>
    </row>
    <row r="213" spans="1:7" hidden="1" x14ac:dyDescent="0.35">
      <c r="A213" s="16">
        <v>221</v>
      </c>
      <c r="B213" s="16" t="s">
        <v>29</v>
      </c>
      <c r="C213" s="16" t="s">
        <v>1330</v>
      </c>
      <c r="D213" s="16">
        <v>1</v>
      </c>
      <c r="E213" s="16">
        <v>46154</v>
      </c>
      <c r="F213" s="16" t="s">
        <v>2683</v>
      </c>
      <c r="G213" s="16" t="s">
        <v>2687</v>
      </c>
    </row>
    <row r="214" spans="1:7" hidden="1" x14ac:dyDescent="0.35">
      <c r="A214" s="16">
        <v>223</v>
      </c>
      <c r="B214" s="16" t="s">
        <v>29</v>
      </c>
      <c r="C214" s="16" t="s">
        <v>1330</v>
      </c>
      <c r="D214" s="16">
        <v>1</v>
      </c>
      <c r="E214" s="16">
        <v>46154</v>
      </c>
      <c r="F214" s="16" t="s">
        <v>2683</v>
      </c>
      <c r="G214" s="16" t="s">
        <v>2687</v>
      </c>
    </row>
    <row r="215" spans="1:7" hidden="1" x14ac:dyDescent="0.35">
      <c r="A215" s="16">
        <v>225</v>
      </c>
      <c r="B215" s="16" t="s">
        <v>29</v>
      </c>
      <c r="C215" s="16" t="s">
        <v>1330</v>
      </c>
      <c r="D215" s="16">
        <v>1</v>
      </c>
      <c r="E215" s="16">
        <v>46154</v>
      </c>
      <c r="F215" s="16" t="s">
        <v>2683</v>
      </c>
      <c r="G215" s="16" t="s">
        <v>2687</v>
      </c>
    </row>
    <row r="216" spans="1:7" hidden="1" x14ac:dyDescent="0.35">
      <c r="A216" s="16">
        <v>231</v>
      </c>
      <c r="B216" s="16" t="s">
        <v>28</v>
      </c>
      <c r="C216" s="16" t="s">
        <v>1330</v>
      </c>
      <c r="D216" s="16">
        <v>5</v>
      </c>
      <c r="E216" s="16">
        <v>46154</v>
      </c>
      <c r="F216" s="16" t="s">
        <v>2683</v>
      </c>
      <c r="G216" s="16" t="s">
        <v>2687</v>
      </c>
    </row>
    <row r="217" spans="1:7" hidden="1" x14ac:dyDescent="0.35">
      <c r="A217" s="16">
        <v>238</v>
      </c>
      <c r="B217" s="16" t="s">
        <v>431</v>
      </c>
      <c r="C217" s="16" t="s">
        <v>436</v>
      </c>
      <c r="D217" s="16">
        <v>5</v>
      </c>
      <c r="E217" s="16">
        <v>46154</v>
      </c>
      <c r="G217" s="16" t="s">
        <v>2687</v>
      </c>
    </row>
    <row r="218" spans="1:7" hidden="1" x14ac:dyDescent="0.35">
      <c r="A218" s="16">
        <v>244</v>
      </c>
      <c r="B218" s="16" t="s">
        <v>28</v>
      </c>
      <c r="C218" s="16" t="s">
        <v>436</v>
      </c>
      <c r="D218" s="16">
        <v>6</v>
      </c>
      <c r="E218" s="16">
        <v>46155</v>
      </c>
      <c r="G218" s="16" t="s">
        <v>2687</v>
      </c>
    </row>
    <row r="219" spans="1:7" hidden="1" x14ac:dyDescent="0.35">
      <c r="A219" s="16">
        <v>264</v>
      </c>
      <c r="B219" s="16" t="s">
        <v>29</v>
      </c>
      <c r="C219" s="16" t="s">
        <v>436</v>
      </c>
      <c r="D219" s="16">
        <v>1</v>
      </c>
      <c r="E219" s="16">
        <v>46160</v>
      </c>
      <c r="G219" s="16" t="s">
        <v>2687</v>
      </c>
    </row>
    <row r="220" spans="1:7" hidden="1" x14ac:dyDescent="0.35">
      <c r="A220" s="16">
        <v>267</v>
      </c>
      <c r="B220" s="16" t="s">
        <v>29</v>
      </c>
      <c r="C220" s="16" t="s">
        <v>243</v>
      </c>
      <c r="D220" s="16">
        <v>1</v>
      </c>
      <c r="E220" s="16">
        <v>46162</v>
      </c>
      <c r="G220" s="16" t="s">
        <v>2687</v>
      </c>
    </row>
    <row r="221" spans="1:7" hidden="1" x14ac:dyDescent="0.35">
      <c r="A221" s="16">
        <v>268</v>
      </c>
      <c r="B221" s="16" t="s">
        <v>29</v>
      </c>
      <c r="C221" s="16" t="s">
        <v>1330</v>
      </c>
      <c r="D221" s="16">
        <v>1</v>
      </c>
      <c r="E221" s="16">
        <v>46162</v>
      </c>
      <c r="F221" s="16" t="s">
        <v>2684</v>
      </c>
      <c r="G221" s="16" t="s">
        <v>2687</v>
      </c>
    </row>
    <row r="222" spans="1:7" hidden="1" x14ac:dyDescent="0.35">
      <c r="A222" s="16">
        <v>269</v>
      </c>
      <c r="B222" s="16" t="s">
        <v>29</v>
      </c>
      <c r="C222" s="16" t="s">
        <v>243</v>
      </c>
      <c r="D222" s="16">
        <v>2</v>
      </c>
      <c r="E222" s="16">
        <v>46162</v>
      </c>
      <c r="F222" s="16" t="s">
        <v>2685</v>
      </c>
      <c r="G222" s="16" t="s">
        <v>2687</v>
      </c>
    </row>
    <row r="223" spans="1:7" hidden="1" x14ac:dyDescent="0.35">
      <c r="A223" s="16">
        <v>281</v>
      </c>
      <c r="B223" s="16" t="s">
        <v>29</v>
      </c>
      <c r="C223" s="16" t="s">
        <v>1330</v>
      </c>
      <c r="D223" s="16">
        <v>1</v>
      </c>
      <c r="E223" s="16">
        <v>46162</v>
      </c>
      <c r="F223" s="16" t="s">
        <v>2686</v>
      </c>
      <c r="G223" s="16" t="s">
        <v>2687</v>
      </c>
    </row>
    <row r="224" spans="1:7" hidden="1" x14ac:dyDescent="0.35">
      <c r="A224" s="16">
        <v>298</v>
      </c>
      <c r="B224" s="16" t="s">
        <v>29</v>
      </c>
      <c r="C224" s="16" t="s">
        <v>243</v>
      </c>
      <c r="D224" s="16">
        <v>1</v>
      </c>
      <c r="E224" s="16">
        <v>46162</v>
      </c>
      <c r="G224" s="16" t="s">
        <v>2687</v>
      </c>
    </row>
    <row r="225" spans="1:7" hidden="1" x14ac:dyDescent="0.35">
      <c r="A225" s="16">
        <v>320</v>
      </c>
      <c r="B225" s="16" t="s">
        <v>29</v>
      </c>
      <c r="C225" s="16" t="s">
        <v>243</v>
      </c>
      <c r="D225" s="16">
        <v>1</v>
      </c>
      <c r="E225" s="16">
        <v>46162</v>
      </c>
      <c r="G225" s="16" t="s">
        <v>2687</v>
      </c>
    </row>
    <row r="226" spans="1:7" hidden="1" x14ac:dyDescent="0.35">
      <c r="A226" s="16">
        <v>324</v>
      </c>
      <c r="B226" s="16" t="s">
        <v>431</v>
      </c>
      <c r="C226" s="16" t="s">
        <v>436</v>
      </c>
      <c r="D226" s="16">
        <v>2</v>
      </c>
      <c r="E226" s="16">
        <v>46162</v>
      </c>
      <c r="G226" s="16" t="s">
        <v>2687</v>
      </c>
    </row>
    <row r="227" spans="1:7" hidden="1" x14ac:dyDescent="0.35">
      <c r="A227">
        <v>333</v>
      </c>
      <c r="B227" t="s">
        <v>29</v>
      </c>
      <c r="C227" s="16" t="s">
        <v>1330</v>
      </c>
      <c r="D227" s="16">
        <v>1</v>
      </c>
      <c r="E227" t="s">
        <v>1777</v>
      </c>
      <c r="F227"/>
      <c r="G227" s="16" t="s">
        <v>2695</v>
      </c>
    </row>
    <row r="228" spans="1:7" hidden="1" x14ac:dyDescent="0.35">
      <c r="A228">
        <v>335</v>
      </c>
      <c r="B228" t="s">
        <v>29</v>
      </c>
      <c r="C228" t="s">
        <v>243</v>
      </c>
      <c r="D228" s="16">
        <v>15</v>
      </c>
      <c r="E228" t="s">
        <v>1777</v>
      </c>
      <c r="F228"/>
      <c r="G228" s="16" t="s">
        <v>2695</v>
      </c>
    </row>
    <row r="229" spans="1:7" hidden="1" x14ac:dyDescent="0.35">
      <c r="A229">
        <v>339</v>
      </c>
      <c r="B229" t="s">
        <v>29</v>
      </c>
      <c r="C229" s="16" t="s">
        <v>1330</v>
      </c>
      <c r="D229" s="16">
        <v>1</v>
      </c>
      <c r="E229" t="s">
        <v>1777</v>
      </c>
      <c r="F229"/>
      <c r="G229" s="16" t="s">
        <v>2695</v>
      </c>
    </row>
    <row r="230" spans="1:7" hidden="1" x14ac:dyDescent="0.35">
      <c r="A230">
        <v>344</v>
      </c>
      <c r="B230" t="s">
        <v>29</v>
      </c>
      <c r="C230" t="s">
        <v>243</v>
      </c>
      <c r="D230" s="16">
        <v>15</v>
      </c>
      <c r="E230" t="s">
        <v>1778</v>
      </c>
      <c r="F230"/>
      <c r="G230" s="16" t="s">
        <v>2695</v>
      </c>
    </row>
    <row r="231" spans="1:7" hidden="1" x14ac:dyDescent="0.35">
      <c r="A231">
        <v>350</v>
      </c>
      <c r="B231" t="s">
        <v>29</v>
      </c>
      <c r="C231" s="16" t="s">
        <v>1330</v>
      </c>
      <c r="D231" s="16">
        <v>1</v>
      </c>
      <c r="E231" t="s">
        <v>1778</v>
      </c>
      <c r="F231"/>
      <c r="G231" s="16" t="s">
        <v>2695</v>
      </c>
    </row>
    <row r="232" spans="1:7" hidden="1" x14ac:dyDescent="0.35">
      <c r="A232">
        <v>351</v>
      </c>
      <c r="B232" t="s">
        <v>29</v>
      </c>
      <c r="C232" t="s">
        <v>243</v>
      </c>
      <c r="D232" s="16">
        <v>19</v>
      </c>
      <c r="E232" t="s">
        <v>1778</v>
      </c>
      <c r="F232"/>
      <c r="G232" s="16" t="s">
        <v>2695</v>
      </c>
    </row>
    <row r="233" spans="1:7" hidden="1" x14ac:dyDescent="0.35">
      <c r="A233">
        <v>357</v>
      </c>
      <c r="B233" t="s">
        <v>29</v>
      </c>
      <c r="C233" t="s">
        <v>243</v>
      </c>
      <c r="D233" s="16">
        <v>2</v>
      </c>
      <c r="E233" t="s">
        <v>2145</v>
      </c>
      <c r="F233"/>
      <c r="G233" s="16" t="s">
        <v>2695</v>
      </c>
    </row>
    <row r="234" spans="1:7" hidden="1" x14ac:dyDescent="0.35">
      <c r="A234">
        <v>361</v>
      </c>
      <c r="B234" t="s">
        <v>29</v>
      </c>
      <c r="C234" s="16" t="s">
        <v>1330</v>
      </c>
      <c r="D234" s="16">
        <v>78</v>
      </c>
      <c r="E234" t="s">
        <v>2145</v>
      </c>
      <c r="F234"/>
      <c r="G234" s="16" t="s">
        <v>2695</v>
      </c>
    </row>
    <row r="235" spans="1:7" hidden="1" x14ac:dyDescent="0.35">
      <c r="A235">
        <v>383</v>
      </c>
      <c r="B235" t="s">
        <v>29</v>
      </c>
      <c r="C235" s="16" t="s">
        <v>1330</v>
      </c>
      <c r="D235" s="16">
        <v>1</v>
      </c>
      <c r="E235" t="s">
        <v>2145</v>
      </c>
      <c r="F235"/>
      <c r="G235" s="16" t="s">
        <v>2695</v>
      </c>
    </row>
    <row r="236" spans="1:7" hidden="1" x14ac:dyDescent="0.35">
      <c r="A236">
        <v>387</v>
      </c>
      <c r="B236" t="s">
        <v>28</v>
      </c>
      <c r="C236" s="16" t="s">
        <v>1330</v>
      </c>
      <c r="D236" s="16">
        <v>1</v>
      </c>
      <c r="E236" t="s">
        <v>2145</v>
      </c>
      <c r="F236"/>
      <c r="G236" s="16" t="s">
        <v>2695</v>
      </c>
    </row>
    <row r="237" spans="1:7" hidden="1" x14ac:dyDescent="0.35">
      <c r="A237">
        <v>396</v>
      </c>
      <c r="B237" t="s">
        <v>29</v>
      </c>
      <c r="C237" t="s">
        <v>436</v>
      </c>
      <c r="D237" s="16">
        <v>1</v>
      </c>
      <c r="E237" t="s">
        <v>1780</v>
      </c>
      <c r="F237"/>
      <c r="G237" s="16" t="s">
        <v>2695</v>
      </c>
    </row>
    <row r="238" spans="1:7" hidden="1" x14ac:dyDescent="0.35">
      <c r="A238">
        <v>418</v>
      </c>
      <c r="B238" t="s">
        <v>28</v>
      </c>
      <c r="C238" t="s">
        <v>436</v>
      </c>
      <c r="D238" s="16">
        <v>1</v>
      </c>
      <c r="E238" t="s">
        <v>1780</v>
      </c>
      <c r="F238"/>
      <c r="G238" s="16" t="s">
        <v>2695</v>
      </c>
    </row>
    <row r="239" spans="1:7" hidden="1" x14ac:dyDescent="0.35">
      <c r="A239">
        <v>422</v>
      </c>
      <c r="B239" t="s">
        <v>431</v>
      </c>
      <c r="C239" t="s">
        <v>436</v>
      </c>
      <c r="D239" s="16">
        <v>1</v>
      </c>
      <c r="E239" t="s">
        <v>2665</v>
      </c>
      <c r="F239"/>
      <c r="G239" s="16" t="s">
        <v>2695</v>
      </c>
    </row>
    <row r="240" spans="1:7" hidden="1" x14ac:dyDescent="0.35">
      <c r="A240">
        <v>423</v>
      </c>
      <c r="B240" t="s">
        <v>28</v>
      </c>
      <c r="C240" t="s">
        <v>436</v>
      </c>
      <c r="D240" s="16">
        <v>2</v>
      </c>
      <c r="E240" t="s">
        <v>2665</v>
      </c>
      <c r="F240"/>
      <c r="G240" s="16" t="s">
        <v>2695</v>
      </c>
    </row>
    <row r="241" spans="1:7" hidden="1" x14ac:dyDescent="0.35">
      <c r="A241">
        <v>425</v>
      </c>
      <c r="B241" t="s">
        <v>29</v>
      </c>
      <c r="C241" s="16" t="s">
        <v>1330</v>
      </c>
      <c r="D241" s="16">
        <v>1</v>
      </c>
      <c r="E241" t="s">
        <v>2665</v>
      </c>
      <c r="F241"/>
      <c r="G241" s="16" t="s">
        <v>2695</v>
      </c>
    </row>
    <row r="242" spans="1:7" hidden="1" x14ac:dyDescent="0.35">
      <c r="A242">
        <v>428</v>
      </c>
      <c r="B242" t="s">
        <v>29</v>
      </c>
      <c r="C242" s="16" t="s">
        <v>1330</v>
      </c>
      <c r="D242" s="16">
        <v>1</v>
      </c>
      <c r="E242" t="s">
        <v>2665</v>
      </c>
      <c r="F242"/>
      <c r="G242" s="16" t="s">
        <v>2695</v>
      </c>
    </row>
    <row r="243" spans="1:7" hidden="1" x14ac:dyDescent="0.35">
      <c r="A243">
        <v>432</v>
      </c>
      <c r="B243" t="s">
        <v>29</v>
      </c>
      <c r="C243" t="s">
        <v>436</v>
      </c>
      <c r="D243" s="16">
        <v>1</v>
      </c>
      <c r="E243" t="s">
        <v>2665</v>
      </c>
      <c r="F243"/>
      <c r="G243" s="16" t="s">
        <v>2695</v>
      </c>
    </row>
    <row r="244" spans="1:7" hidden="1" x14ac:dyDescent="0.35">
      <c r="A244">
        <v>435</v>
      </c>
      <c r="B244" t="s">
        <v>29</v>
      </c>
      <c r="C244" s="16" t="s">
        <v>1330</v>
      </c>
      <c r="D244" s="16" t="s">
        <v>1330</v>
      </c>
      <c r="E244" t="s">
        <v>2665</v>
      </c>
      <c r="F244"/>
      <c r="G244" s="16" t="s">
        <v>2695</v>
      </c>
    </row>
    <row r="245" spans="1:7" hidden="1" x14ac:dyDescent="0.35">
      <c r="A245" s="16">
        <v>448</v>
      </c>
      <c r="B245" t="s">
        <v>29</v>
      </c>
      <c r="C245" s="16" t="s">
        <v>1330</v>
      </c>
      <c r="D245" s="16" t="s">
        <v>1330</v>
      </c>
      <c r="E245" t="s">
        <v>2665</v>
      </c>
      <c r="F245"/>
      <c r="G245" s="16" t="s">
        <v>2695</v>
      </c>
    </row>
    <row r="246" spans="1:7" hidden="1" x14ac:dyDescent="0.35">
      <c r="A246">
        <v>450</v>
      </c>
      <c r="B246" t="s">
        <v>29</v>
      </c>
      <c r="C246" t="s">
        <v>436</v>
      </c>
      <c r="D246" s="16">
        <v>35</v>
      </c>
      <c r="E246" t="s">
        <v>2665</v>
      </c>
      <c r="F246"/>
      <c r="G246" s="16" t="s">
        <v>2695</v>
      </c>
    </row>
    <row r="247" spans="1:7" hidden="1" x14ac:dyDescent="0.35">
      <c r="A247">
        <v>455</v>
      </c>
      <c r="B247" t="s">
        <v>29</v>
      </c>
      <c r="C247" t="s">
        <v>436</v>
      </c>
      <c r="D247" s="16">
        <v>33</v>
      </c>
      <c r="E247" t="s">
        <v>2665</v>
      </c>
      <c r="F247"/>
      <c r="G247" s="16" t="s">
        <v>2695</v>
      </c>
    </row>
    <row r="248" spans="1:7" hidden="1" x14ac:dyDescent="0.35">
      <c r="A248">
        <v>460</v>
      </c>
      <c r="B248" t="s">
        <v>29</v>
      </c>
      <c r="C248" t="s">
        <v>436</v>
      </c>
      <c r="D248" s="16">
        <v>1</v>
      </c>
      <c r="E248" t="s">
        <v>2665</v>
      </c>
      <c r="F248"/>
      <c r="G248" s="16" t="s">
        <v>2695</v>
      </c>
    </row>
    <row r="249" spans="1:7" hidden="1" x14ac:dyDescent="0.35">
      <c r="A249">
        <v>462</v>
      </c>
      <c r="B249" t="s">
        <v>29</v>
      </c>
      <c r="C249" s="16" t="s">
        <v>1330</v>
      </c>
      <c r="D249" s="16" t="s">
        <v>1330</v>
      </c>
      <c r="E249" t="s">
        <v>2693</v>
      </c>
      <c r="F249"/>
      <c r="G249" s="16" t="s">
        <v>2695</v>
      </c>
    </row>
    <row r="250" spans="1:7" hidden="1" x14ac:dyDescent="0.35">
      <c r="A250">
        <v>467</v>
      </c>
      <c r="B250" t="s">
        <v>29</v>
      </c>
      <c r="C250" t="s">
        <v>436</v>
      </c>
      <c r="D250" s="16">
        <v>3</v>
      </c>
      <c r="E250" t="s">
        <v>2693</v>
      </c>
      <c r="F250"/>
      <c r="G250" s="16" t="s">
        <v>2695</v>
      </c>
    </row>
    <row r="251" spans="1:7" hidden="1" x14ac:dyDescent="0.35">
      <c r="A251">
        <v>479</v>
      </c>
      <c r="B251" t="s">
        <v>29</v>
      </c>
      <c r="C251" t="s">
        <v>243</v>
      </c>
      <c r="D251" s="16">
        <v>1</v>
      </c>
      <c r="E251" t="s">
        <v>2693</v>
      </c>
      <c r="F251"/>
      <c r="G251" s="16" t="s">
        <v>2695</v>
      </c>
    </row>
    <row r="252" spans="1:7" hidden="1" x14ac:dyDescent="0.35">
      <c r="A252">
        <v>482</v>
      </c>
      <c r="B252" t="s">
        <v>29</v>
      </c>
      <c r="C252" t="s">
        <v>243</v>
      </c>
      <c r="D252" s="16">
        <v>1</v>
      </c>
      <c r="E252" t="s">
        <v>2693</v>
      </c>
      <c r="F252"/>
      <c r="G252" s="16" t="s">
        <v>2695</v>
      </c>
    </row>
    <row r="253" spans="1:7" hidden="1" x14ac:dyDescent="0.35">
      <c r="A253">
        <v>484</v>
      </c>
      <c r="B253" t="s">
        <v>29</v>
      </c>
      <c r="C253" t="s">
        <v>243</v>
      </c>
      <c r="D253" s="16">
        <v>1</v>
      </c>
      <c r="E253" t="s">
        <v>2693</v>
      </c>
      <c r="F253"/>
      <c r="G253" s="16" t="s">
        <v>2695</v>
      </c>
    </row>
    <row r="254" spans="1:7" hidden="1" x14ac:dyDescent="0.35">
      <c r="A254">
        <v>501</v>
      </c>
      <c r="B254" t="s">
        <v>29</v>
      </c>
      <c r="C254" t="s">
        <v>436</v>
      </c>
      <c r="D254" s="16">
        <v>2</v>
      </c>
      <c r="E254" t="s">
        <v>2693</v>
      </c>
      <c r="F254"/>
      <c r="G254" s="16" t="s">
        <v>2695</v>
      </c>
    </row>
    <row r="255" spans="1:7" hidden="1" x14ac:dyDescent="0.35">
      <c r="A255">
        <v>506</v>
      </c>
      <c r="B255" t="s">
        <v>29</v>
      </c>
      <c r="C255" t="s">
        <v>436</v>
      </c>
      <c r="D255" s="16" t="s">
        <v>1330</v>
      </c>
      <c r="E255" t="s">
        <v>2659</v>
      </c>
      <c r="F255" t="s">
        <v>2694</v>
      </c>
      <c r="G255" s="16" t="s">
        <v>2695</v>
      </c>
    </row>
    <row r="256" spans="1:7" hidden="1" x14ac:dyDescent="0.35">
      <c r="A256">
        <v>510</v>
      </c>
      <c r="B256" t="s">
        <v>29</v>
      </c>
      <c r="C256" t="s">
        <v>436</v>
      </c>
      <c r="D256" s="16" t="s">
        <v>1330</v>
      </c>
      <c r="E256" t="s">
        <v>2659</v>
      </c>
      <c r="F256"/>
      <c r="G256" s="16" t="s">
        <v>2695</v>
      </c>
    </row>
    <row r="257" spans="1:7" hidden="1" x14ac:dyDescent="0.35">
      <c r="A257">
        <v>514</v>
      </c>
      <c r="B257" t="s">
        <v>431</v>
      </c>
      <c r="C257" t="s">
        <v>436</v>
      </c>
      <c r="D257" s="16">
        <v>1</v>
      </c>
      <c r="E257" t="s">
        <v>2659</v>
      </c>
      <c r="F257"/>
      <c r="G257" s="16" t="s">
        <v>2695</v>
      </c>
    </row>
    <row r="258" spans="1:7" hidden="1" x14ac:dyDescent="0.35">
      <c r="A258">
        <v>515</v>
      </c>
      <c r="B258" t="s">
        <v>29</v>
      </c>
      <c r="C258" t="s">
        <v>243</v>
      </c>
      <c r="D258" s="16" t="s">
        <v>1330</v>
      </c>
      <c r="E258" t="s">
        <v>2659</v>
      </c>
      <c r="F258"/>
      <c r="G258" s="16" t="s">
        <v>2695</v>
      </c>
    </row>
    <row r="259" spans="1:7" hidden="1" x14ac:dyDescent="0.35">
      <c r="A259">
        <v>522</v>
      </c>
      <c r="B259" t="s">
        <v>29</v>
      </c>
      <c r="C259" s="16" t="s">
        <v>1330</v>
      </c>
      <c r="D259" s="16">
        <v>4</v>
      </c>
      <c r="E259" t="s">
        <v>2659</v>
      </c>
      <c r="F259"/>
      <c r="G259" s="16" t="s">
        <v>2695</v>
      </c>
    </row>
    <row r="260" spans="1:7" hidden="1" x14ac:dyDescent="0.35">
      <c r="A260">
        <v>475</v>
      </c>
      <c r="B260" t="s">
        <v>29</v>
      </c>
      <c r="C260" t="s">
        <v>436</v>
      </c>
      <c r="D260" s="16">
        <v>1</v>
      </c>
      <c r="E260" t="s">
        <v>2666</v>
      </c>
      <c r="F260" t="s">
        <v>2044</v>
      </c>
      <c r="G260" s="16" t="s">
        <v>2045</v>
      </c>
    </row>
    <row r="261" spans="1:7" hidden="1" x14ac:dyDescent="0.35">
      <c r="A261" s="69">
        <v>538</v>
      </c>
      <c r="B261" s="74" t="s">
        <v>29</v>
      </c>
      <c r="C261" t="s">
        <v>436</v>
      </c>
      <c r="D261" s="16">
        <v>1</v>
      </c>
      <c r="E261" s="75" t="s">
        <v>2666</v>
      </c>
      <c r="F261" s="74" t="s">
        <v>2700</v>
      </c>
      <c r="G261" s="16" t="s">
        <v>2045</v>
      </c>
    </row>
    <row r="262" spans="1:7" hidden="1" x14ac:dyDescent="0.35">
      <c r="A262" s="69">
        <v>551</v>
      </c>
      <c r="B262" t="s">
        <v>431</v>
      </c>
      <c r="C262" t="s">
        <v>436</v>
      </c>
      <c r="D262" s="16">
        <v>21</v>
      </c>
      <c r="E262" s="75" t="s">
        <v>2666</v>
      </c>
      <c r="F262" s="74"/>
      <c r="G262" s="16" t="s">
        <v>2045</v>
      </c>
    </row>
    <row r="263" spans="1:7" hidden="1" x14ac:dyDescent="0.35">
      <c r="A263" s="76">
        <v>542</v>
      </c>
      <c r="B263" t="s">
        <v>29</v>
      </c>
      <c r="C263" t="s">
        <v>243</v>
      </c>
      <c r="D263" s="16">
        <v>3</v>
      </c>
      <c r="E263" s="75" t="s">
        <v>2666</v>
      </c>
      <c r="F263" s="74" t="s">
        <v>2701</v>
      </c>
      <c r="G263" s="16" t="s">
        <v>2045</v>
      </c>
    </row>
    <row r="264" spans="1:7" hidden="1" x14ac:dyDescent="0.35">
      <c r="A264" s="76">
        <v>554</v>
      </c>
      <c r="B264" t="s">
        <v>29</v>
      </c>
      <c r="C264" t="s">
        <v>436</v>
      </c>
      <c r="D264" s="16">
        <v>5</v>
      </c>
      <c r="E264" s="75" t="s">
        <v>2666</v>
      </c>
      <c r="F264" s="74" t="s">
        <v>2702</v>
      </c>
      <c r="G264" s="16" t="s">
        <v>2045</v>
      </c>
    </row>
    <row r="265" spans="1:7" hidden="1" x14ac:dyDescent="0.35">
      <c r="A265" s="76">
        <v>558</v>
      </c>
      <c r="B265" t="s">
        <v>29</v>
      </c>
      <c r="C265" t="s">
        <v>436</v>
      </c>
      <c r="D265" s="16">
        <v>1</v>
      </c>
      <c r="E265" s="75" t="s">
        <v>2666</v>
      </c>
      <c r="F265" s="74" t="s">
        <v>2703</v>
      </c>
      <c r="G265" s="16" t="s">
        <v>2045</v>
      </c>
    </row>
    <row r="266" spans="1:7" hidden="1" x14ac:dyDescent="0.35">
      <c r="A266" s="76">
        <v>641</v>
      </c>
      <c r="B266" t="s">
        <v>29</v>
      </c>
      <c r="C266" t="s">
        <v>436</v>
      </c>
      <c r="D266" s="16" t="s">
        <v>1330</v>
      </c>
      <c r="E266" s="75" t="s">
        <v>2666</v>
      </c>
      <c r="F266" s="74" t="s">
        <v>2704</v>
      </c>
      <c r="G266" s="16" t="s">
        <v>2045</v>
      </c>
    </row>
    <row r="267" spans="1:7" hidden="1" x14ac:dyDescent="0.35">
      <c r="A267" s="76">
        <v>727</v>
      </c>
      <c r="B267" t="s">
        <v>29</v>
      </c>
      <c r="C267" t="s">
        <v>458</v>
      </c>
      <c r="D267" s="16">
        <v>1</v>
      </c>
      <c r="E267" s="75" t="s">
        <v>2666</v>
      </c>
      <c r="F267" s="74"/>
      <c r="G267" s="16" t="s">
        <v>2045</v>
      </c>
    </row>
    <row r="268" spans="1:7" hidden="1" x14ac:dyDescent="0.35">
      <c r="A268" s="76">
        <v>751</v>
      </c>
      <c r="B268" t="s">
        <v>29</v>
      </c>
      <c r="C268" t="s">
        <v>436</v>
      </c>
      <c r="D268" s="16">
        <v>1</v>
      </c>
      <c r="E268" s="75" t="s">
        <v>2666</v>
      </c>
      <c r="F268" s="74" t="s">
        <v>2705</v>
      </c>
      <c r="G268" s="16" t="s">
        <v>2045</v>
      </c>
    </row>
    <row r="269" spans="1:7" hidden="1" x14ac:dyDescent="0.35">
      <c r="A269" s="76">
        <v>757</v>
      </c>
      <c r="B269" t="s">
        <v>29</v>
      </c>
      <c r="C269" t="s">
        <v>436</v>
      </c>
      <c r="D269" s="16">
        <v>4</v>
      </c>
      <c r="E269" s="75" t="s">
        <v>2666</v>
      </c>
      <c r="F269" s="74" t="s">
        <v>2706</v>
      </c>
      <c r="G269" s="16" t="s">
        <v>2045</v>
      </c>
    </row>
    <row r="270" spans="1:7" hidden="1" x14ac:dyDescent="0.35">
      <c r="A270" s="76">
        <v>773</v>
      </c>
      <c r="B270" t="s">
        <v>29</v>
      </c>
      <c r="C270" s="16" t="s">
        <v>1330</v>
      </c>
      <c r="D270" s="16">
        <v>1</v>
      </c>
      <c r="E270" s="75" t="s">
        <v>2707</v>
      </c>
      <c r="F270" s="74" t="s">
        <v>2708</v>
      </c>
      <c r="G270" s="16" t="s">
        <v>2045</v>
      </c>
    </row>
    <row r="271" spans="1:7" hidden="1" x14ac:dyDescent="0.35">
      <c r="A271" s="76">
        <v>787</v>
      </c>
      <c r="B271" t="s">
        <v>29</v>
      </c>
      <c r="C271" t="s">
        <v>458</v>
      </c>
      <c r="D271" s="16">
        <v>1</v>
      </c>
      <c r="E271" s="75" t="s">
        <v>2707</v>
      </c>
      <c r="F271" s="74"/>
      <c r="G271" s="16" t="s">
        <v>2045</v>
      </c>
    </row>
    <row r="272" spans="1:7" hidden="1" x14ac:dyDescent="0.35">
      <c r="A272" s="76">
        <v>790</v>
      </c>
      <c r="B272" t="s">
        <v>29</v>
      </c>
      <c r="C272" t="s">
        <v>458</v>
      </c>
      <c r="D272" s="16">
        <v>1</v>
      </c>
      <c r="E272" s="75" t="s">
        <v>2707</v>
      </c>
      <c r="F272" s="74" t="s">
        <v>2709</v>
      </c>
      <c r="G272" s="16" t="s">
        <v>2045</v>
      </c>
    </row>
    <row r="273" spans="1:7" hidden="1" x14ac:dyDescent="0.35">
      <c r="A273" s="76">
        <v>807</v>
      </c>
      <c r="B273" t="s">
        <v>29</v>
      </c>
      <c r="C273" t="s">
        <v>436</v>
      </c>
      <c r="D273" s="16">
        <v>1</v>
      </c>
      <c r="E273" s="75" t="s">
        <v>2707</v>
      </c>
      <c r="F273" s="74" t="s">
        <v>2710</v>
      </c>
      <c r="G273" s="16" t="s">
        <v>2045</v>
      </c>
    </row>
    <row r="274" spans="1:7" hidden="1" x14ac:dyDescent="0.35">
      <c r="A274" s="76">
        <v>815</v>
      </c>
      <c r="B274" t="s">
        <v>29</v>
      </c>
      <c r="C274" t="s">
        <v>458</v>
      </c>
      <c r="D274" s="16">
        <v>1</v>
      </c>
      <c r="E274" s="75" t="s">
        <v>2707</v>
      </c>
      <c r="F274" s="74"/>
      <c r="G274" s="16" t="s">
        <v>2045</v>
      </c>
    </row>
    <row r="275" spans="1:7" hidden="1" x14ac:dyDescent="0.35">
      <c r="A275" s="76">
        <v>834</v>
      </c>
      <c r="B275" t="s">
        <v>29</v>
      </c>
      <c r="C275" t="s">
        <v>458</v>
      </c>
      <c r="D275" s="16">
        <v>1</v>
      </c>
      <c r="E275" s="75" t="s">
        <v>2707</v>
      </c>
      <c r="F275" s="74" t="s">
        <v>2711</v>
      </c>
      <c r="G275" s="16" t="s">
        <v>2045</v>
      </c>
    </row>
    <row r="276" spans="1:7" hidden="1" x14ac:dyDescent="0.35">
      <c r="A276" s="76">
        <v>851</v>
      </c>
      <c r="B276" t="s">
        <v>29</v>
      </c>
      <c r="C276" t="s">
        <v>458</v>
      </c>
      <c r="D276" s="16">
        <v>3</v>
      </c>
      <c r="E276" s="75" t="s">
        <v>2707</v>
      </c>
      <c r="F276" s="74" t="s">
        <v>2712</v>
      </c>
      <c r="G276" s="16" t="s">
        <v>2045</v>
      </c>
    </row>
    <row r="277" spans="1:7" hidden="1" x14ac:dyDescent="0.35">
      <c r="A277" s="76">
        <v>936</v>
      </c>
      <c r="B277" t="s">
        <v>431</v>
      </c>
      <c r="C277" t="s">
        <v>458</v>
      </c>
      <c r="D277" s="16">
        <v>1</v>
      </c>
      <c r="E277" s="75" t="s">
        <v>2707</v>
      </c>
      <c r="F277" s="74"/>
      <c r="G277" s="16" t="s">
        <v>2045</v>
      </c>
    </row>
    <row r="278" spans="1:7" hidden="1" x14ac:dyDescent="0.35">
      <c r="A278" s="76">
        <v>980</v>
      </c>
      <c r="B278" t="s">
        <v>29</v>
      </c>
      <c r="C278" s="16" t="s">
        <v>1330</v>
      </c>
      <c r="D278" s="16">
        <v>4</v>
      </c>
      <c r="E278" s="75" t="s">
        <v>2707</v>
      </c>
      <c r="F278" s="74" t="s">
        <v>2713</v>
      </c>
      <c r="G278" s="16" t="s">
        <v>2045</v>
      </c>
    </row>
    <row r="279" spans="1:7" hidden="1" x14ac:dyDescent="0.35">
      <c r="A279" s="77">
        <v>302</v>
      </c>
      <c r="B279" t="s">
        <v>29</v>
      </c>
      <c r="C279" t="s">
        <v>243</v>
      </c>
      <c r="D279" s="16">
        <v>2</v>
      </c>
      <c r="E279" t="s">
        <v>2716</v>
      </c>
      <c r="F279"/>
      <c r="G279" s="16" t="s">
        <v>2149</v>
      </c>
    </row>
    <row r="280" spans="1:7" hidden="1" x14ac:dyDescent="0.35">
      <c r="A280" s="77">
        <v>304</v>
      </c>
      <c r="B280" t="s">
        <v>29</v>
      </c>
      <c r="C280" s="16" t="s">
        <v>1330</v>
      </c>
      <c r="D280" s="16">
        <v>2</v>
      </c>
      <c r="E280" t="s">
        <v>2716</v>
      </c>
      <c r="F280"/>
      <c r="G280" s="16" t="s">
        <v>2149</v>
      </c>
    </row>
    <row r="281" spans="1:7" hidden="1" x14ac:dyDescent="0.35">
      <c r="A281" s="77">
        <v>305</v>
      </c>
      <c r="B281" t="s">
        <v>29</v>
      </c>
      <c r="C281" t="s">
        <v>436</v>
      </c>
      <c r="D281" s="16" t="s">
        <v>102</v>
      </c>
      <c r="E281" t="s">
        <v>2716</v>
      </c>
      <c r="F281"/>
      <c r="G281" s="16" t="s">
        <v>2149</v>
      </c>
    </row>
    <row r="282" spans="1:7" hidden="1" x14ac:dyDescent="0.35">
      <c r="A282" s="77">
        <v>323</v>
      </c>
      <c r="B282" t="s">
        <v>29</v>
      </c>
      <c r="C282" s="16" t="s">
        <v>1330</v>
      </c>
      <c r="D282" s="16">
        <v>2</v>
      </c>
      <c r="E282" t="s">
        <v>2716</v>
      </c>
      <c r="F282"/>
      <c r="G282" s="16" t="s">
        <v>2149</v>
      </c>
    </row>
    <row r="283" spans="1:7" hidden="1" x14ac:dyDescent="0.35">
      <c r="A283" s="77">
        <v>329</v>
      </c>
      <c r="B283" t="s">
        <v>29</v>
      </c>
      <c r="C283" t="s">
        <v>243</v>
      </c>
      <c r="D283" s="16">
        <v>2</v>
      </c>
      <c r="E283" t="s">
        <v>2716</v>
      </c>
      <c r="F283" t="s">
        <v>2717</v>
      </c>
      <c r="G283" s="16" t="s">
        <v>2149</v>
      </c>
    </row>
    <row r="284" spans="1:7" hidden="1" x14ac:dyDescent="0.35">
      <c r="A284" s="77">
        <v>347</v>
      </c>
      <c r="B284" t="s">
        <v>29</v>
      </c>
      <c r="C284" t="s">
        <v>243</v>
      </c>
      <c r="D284" s="16">
        <v>2</v>
      </c>
      <c r="E284" t="s">
        <v>2716</v>
      </c>
      <c r="F284" t="s">
        <v>2718</v>
      </c>
      <c r="G284" s="16" t="s">
        <v>2149</v>
      </c>
    </row>
    <row r="285" spans="1:7" hidden="1" x14ac:dyDescent="0.35">
      <c r="A285" s="77">
        <v>364</v>
      </c>
      <c r="B285" t="s">
        <v>29</v>
      </c>
      <c r="C285" s="16" t="s">
        <v>1330</v>
      </c>
      <c r="D285" s="16">
        <v>1</v>
      </c>
      <c r="E285" t="s">
        <v>2716</v>
      </c>
      <c r="F285"/>
      <c r="G285" s="16" t="s">
        <v>2149</v>
      </c>
    </row>
    <row r="286" spans="1:7" hidden="1" x14ac:dyDescent="0.35">
      <c r="A286" s="77">
        <v>368</v>
      </c>
      <c r="B286" t="s">
        <v>29</v>
      </c>
      <c r="C286" s="16" t="s">
        <v>1330</v>
      </c>
      <c r="D286" s="16">
        <v>1</v>
      </c>
      <c r="E286" t="s">
        <v>2719</v>
      </c>
      <c r="F286" t="s">
        <v>2720</v>
      </c>
      <c r="G286" s="16" t="s">
        <v>2149</v>
      </c>
    </row>
    <row r="287" spans="1:7" hidden="1" x14ac:dyDescent="0.35">
      <c r="A287" s="77">
        <v>369</v>
      </c>
      <c r="B287" t="s">
        <v>29</v>
      </c>
      <c r="C287" t="s">
        <v>436</v>
      </c>
      <c r="D287" s="16">
        <v>1</v>
      </c>
      <c r="E287" t="s">
        <v>2719</v>
      </c>
      <c r="F287"/>
      <c r="G287" s="16" t="s">
        <v>2149</v>
      </c>
    </row>
    <row r="288" spans="1:7" hidden="1" x14ac:dyDescent="0.35">
      <c r="A288" s="77">
        <v>384</v>
      </c>
      <c r="B288" t="s">
        <v>29</v>
      </c>
      <c r="C288" s="16" t="s">
        <v>1330</v>
      </c>
      <c r="D288" s="16">
        <v>1</v>
      </c>
      <c r="E288" t="s">
        <v>2719</v>
      </c>
      <c r="F288"/>
      <c r="G288" s="16" t="s">
        <v>2149</v>
      </c>
    </row>
    <row r="289" spans="1:7" hidden="1" x14ac:dyDescent="0.35">
      <c r="A289">
        <v>826</v>
      </c>
      <c r="B289" s="16" t="s">
        <v>431</v>
      </c>
      <c r="C289" s="16" t="s">
        <v>436</v>
      </c>
      <c r="D289" s="16">
        <v>2</v>
      </c>
      <c r="E289" s="16" t="s">
        <v>4663</v>
      </c>
      <c r="G289" s="16" t="s">
        <v>1784</v>
      </c>
    </row>
    <row r="290" spans="1:7" hidden="1" x14ac:dyDescent="0.35">
      <c r="A290">
        <v>837</v>
      </c>
      <c r="B290" t="s">
        <v>29</v>
      </c>
      <c r="C290" t="s">
        <v>458</v>
      </c>
      <c r="D290" s="16">
        <v>1</v>
      </c>
      <c r="E290" t="s">
        <v>4663</v>
      </c>
      <c r="F290"/>
      <c r="G290" s="16" t="s">
        <v>1784</v>
      </c>
    </row>
    <row r="291" spans="1:7" hidden="1" x14ac:dyDescent="0.35">
      <c r="A291" s="16">
        <v>842</v>
      </c>
      <c r="B291" s="16" t="s">
        <v>28</v>
      </c>
      <c r="C291" s="16" t="s">
        <v>436</v>
      </c>
      <c r="D291" s="16">
        <v>3</v>
      </c>
      <c r="E291" s="16" t="s">
        <v>4663</v>
      </c>
      <c r="G291" s="16" t="s">
        <v>1784</v>
      </c>
    </row>
    <row r="292" spans="1:7" hidden="1" x14ac:dyDescent="0.35">
      <c r="A292" s="16">
        <v>876</v>
      </c>
      <c r="B292" s="16" t="s">
        <v>431</v>
      </c>
      <c r="C292" s="16" t="s">
        <v>436</v>
      </c>
      <c r="D292" s="16">
        <v>1</v>
      </c>
      <c r="E292" s="16" t="s">
        <v>4663</v>
      </c>
      <c r="G292" s="16" t="s">
        <v>1784</v>
      </c>
    </row>
    <row r="293" spans="1:7" hidden="1" x14ac:dyDescent="0.35">
      <c r="A293" s="16">
        <v>884</v>
      </c>
      <c r="B293" s="16" t="s">
        <v>28</v>
      </c>
      <c r="C293" s="16" t="s">
        <v>436</v>
      </c>
      <c r="D293" s="16">
        <v>1</v>
      </c>
      <c r="E293" s="16" t="s">
        <v>4663</v>
      </c>
      <c r="G293" s="16" t="s">
        <v>1784</v>
      </c>
    </row>
    <row r="294" spans="1:7" hidden="1" x14ac:dyDescent="0.35">
      <c r="A294" s="16">
        <v>996</v>
      </c>
      <c r="B294" s="16" t="s">
        <v>29</v>
      </c>
      <c r="C294" s="16" t="s">
        <v>458</v>
      </c>
      <c r="D294" s="16">
        <v>2</v>
      </c>
      <c r="E294" s="16" t="s">
        <v>4663</v>
      </c>
      <c r="G294" s="16" t="s">
        <v>1784</v>
      </c>
    </row>
    <row r="295" spans="1:7" hidden="1" x14ac:dyDescent="0.35">
      <c r="A295" s="16">
        <v>1018</v>
      </c>
      <c r="B295" s="16" t="s">
        <v>431</v>
      </c>
      <c r="C295" s="16" t="s">
        <v>436</v>
      </c>
      <c r="D295" s="16">
        <v>1</v>
      </c>
      <c r="E295" s="16" t="s">
        <v>4663</v>
      </c>
      <c r="G295" s="16" t="s">
        <v>1784</v>
      </c>
    </row>
    <row r="296" spans="1:7" hidden="1" x14ac:dyDescent="0.35">
      <c r="A296" s="16">
        <v>645</v>
      </c>
      <c r="B296" s="16" t="s">
        <v>29</v>
      </c>
      <c r="C296" s="16" t="s">
        <v>243</v>
      </c>
      <c r="D296" s="16">
        <v>1</v>
      </c>
      <c r="E296" s="16" t="s">
        <v>4664</v>
      </c>
      <c r="G296" s="16" t="s">
        <v>1784</v>
      </c>
    </row>
  </sheetData>
  <autoFilter ref="A1:H296" xr:uid="{00000000-0001-0000-0000-000000000000}">
    <filterColumn colId="1">
      <filters>
        <filter val="palaeoecology"/>
      </filters>
    </filterColumn>
  </autoFilter>
  <conditionalFormatting sqref="A290:A1048576 A1:A288">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84E9B19-99A9-4640-B722-7A33E37A3DE8}">
          <x14:formula1>
            <xm:f>Aux!$A$2:$A$6</xm:f>
          </x14:formula1>
          <xm:sqref>B2:B75 B89:B137 B189:B226 B291:B1048576</xm:sqref>
        </x14:dataValidation>
        <x14:dataValidation type="list" allowBlank="1" showInputMessage="1" showErrorMessage="1" xr:uid="{495AAB0C-7B4B-41FC-A53A-7582A523E213}">
          <x14:formula1>
            <xm:f>Aux!$B$2:$B$5</xm:f>
          </x14:formula1>
          <xm:sqref>C2:C137 C189:C226 C291:C1048576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BE85-32D9-413A-B8C9-D250AF605038}">
  <dimension ref="A1:S63"/>
  <sheetViews>
    <sheetView tabSelected="1" topLeftCell="H2" workbookViewId="0">
      <selection activeCell="P19" sqref="P19"/>
    </sheetView>
  </sheetViews>
  <sheetFormatPr defaultRowHeight="14.5" x14ac:dyDescent="0.35"/>
  <cols>
    <col min="1" max="1" width="17.81640625" bestFit="1" customWidth="1"/>
    <col min="2" max="2" width="16.81640625" bestFit="1" customWidth="1"/>
    <col min="3" max="3" width="6.54296875" bestFit="1" customWidth="1"/>
    <col min="10" max="10" width="19.81640625" bestFit="1" customWidth="1"/>
    <col min="11" max="11" width="9.453125" customWidth="1"/>
    <col min="12" max="12" width="17.1796875" customWidth="1"/>
    <col min="13" max="13" width="22" customWidth="1"/>
    <col min="15" max="15" width="22.1796875" bestFit="1" customWidth="1"/>
    <col min="16" max="16" width="12.54296875" bestFit="1" customWidth="1"/>
    <col min="17" max="17" width="16.81640625" customWidth="1"/>
    <col min="18" max="18" width="24.7265625" customWidth="1"/>
    <col min="19" max="19" width="13.54296875" bestFit="1" customWidth="1"/>
  </cols>
  <sheetData>
    <row r="1" spans="1:18" x14ac:dyDescent="0.35">
      <c r="A1" s="33" t="s">
        <v>1752</v>
      </c>
      <c r="B1" s="33" t="s">
        <v>1753</v>
      </c>
    </row>
    <row r="2" spans="1:18" x14ac:dyDescent="0.35">
      <c r="A2" s="34" t="s">
        <v>29</v>
      </c>
      <c r="B2" s="34">
        <f>COUNTIF('1_study'!B2:B288, "field")</f>
        <v>211</v>
      </c>
      <c r="E2" t="s">
        <v>1754</v>
      </c>
      <c r="K2" s="35"/>
    </row>
    <row r="3" spans="1:18" x14ac:dyDescent="0.35">
      <c r="A3" s="34" t="s">
        <v>28</v>
      </c>
      <c r="B3" s="34">
        <f>COUNTIF('1_study'!B3:B288, "remote sensing")</f>
        <v>33</v>
      </c>
      <c r="K3" s="35"/>
    </row>
    <row r="4" spans="1:18" x14ac:dyDescent="0.35">
      <c r="A4" s="34" t="s">
        <v>431</v>
      </c>
      <c r="B4" s="34">
        <f>COUNTIF('1_study'!B4:B288, "field;remote sensing")</f>
        <v>39</v>
      </c>
      <c r="K4" s="35"/>
    </row>
    <row r="5" spans="1:18" x14ac:dyDescent="0.35">
      <c r="A5" s="34" t="s">
        <v>31</v>
      </c>
      <c r="B5" s="34">
        <f>COUNTIF('1_study'!B5:B288, "palaeoecology")</f>
        <v>3</v>
      </c>
      <c r="K5" s="35"/>
    </row>
    <row r="6" spans="1:18" x14ac:dyDescent="0.35">
      <c r="B6">
        <f>SUM(B2:B5)</f>
        <v>286</v>
      </c>
      <c r="K6" s="35"/>
    </row>
    <row r="10" spans="1:18" x14ac:dyDescent="0.35">
      <c r="J10" s="28"/>
      <c r="L10" t="s">
        <v>1755</v>
      </c>
    </row>
    <row r="11" spans="1:18" x14ac:dyDescent="0.35">
      <c r="K11" t="s">
        <v>1756</v>
      </c>
      <c r="L11" t="s">
        <v>29</v>
      </c>
      <c r="M11" t="s">
        <v>1760</v>
      </c>
      <c r="N11" t="s">
        <v>1761</v>
      </c>
      <c r="Q11" s="28" t="s">
        <v>1762</v>
      </c>
      <c r="R11" s="33">
        <f>SUM(B2:B4)</f>
        <v>283</v>
      </c>
    </row>
    <row r="12" spans="1:18" x14ac:dyDescent="0.35">
      <c r="K12" t="s">
        <v>1757</v>
      </c>
      <c r="L12">
        <v>32</v>
      </c>
      <c r="M12">
        <v>22</v>
      </c>
      <c r="N12">
        <v>13</v>
      </c>
    </row>
    <row r="13" spans="1:18" x14ac:dyDescent="0.35">
      <c r="K13" t="s">
        <v>1758</v>
      </c>
      <c r="L13">
        <v>12</v>
      </c>
      <c r="M13">
        <v>0</v>
      </c>
      <c r="N13">
        <v>3</v>
      </c>
    </row>
    <row r="14" spans="1:18" x14ac:dyDescent="0.35">
      <c r="K14" t="s">
        <v>1759</v>
      </c>
      <c r="L14">
        <v>23</v>
      </c>
      <c r="M14">
        <v>0</v>
      </c>
      <c r="N14">
        <v>2</v>
      </c>
    </row>
    <row r="17" spans="1:19" x14ac:dyDescent="0.35">
      <c r="I17" s="28" t="s">
        <v>1763</v>
      </c>
      <c r="K17" s="91" t="s">
        <v>1771</v>
      </c>
      <c r="L17" s="91"/>
      <c r="M17" s="91"/>
      <c r="O17" s="92" t="s">
        <v>1772</v>
      </c>
      <c r="P17" s="95" t="s">
        <v>1771</v>
      </c>
      <c r="Q17" s="95"/>
      <c r="R17" s="95"/>
      <c r="S17" s="95"/>
    </row>
    <row r="18" spans="1:19" x14ac:dyDescent="0.35">
      <c r="J18" t="s">
        <v>1772</v>
      </c>
      <c r="K18" t="s">
        <v>1765</v>
      </c>
      <c r="L18" t="s">
        <v>1766</v>
      </c>
      <c r="M18" t="s">
        <v>1767</v>
      </c>
      <c r="O18" s="93"/>
      <c r="P18" s="59" t="s">
        <v>1765</v>
      </c>
      <c r="Q18" s="59" t="s">
        <v>1766</v>
      </c>
      <c r="R18" s="59" t="s">
        <v>1767</v>
      </c>
      <c r="S18" s="59" t="s">
        <v>4756</v>
      </c>
    </row>
    <row r="19" spans="1:19" x14ac:dyDescent="0.35">
      <c r="J19" t="s">
        <v>1768</v>
      </c>
      <c r="K19" s="37">
        <v>31.85</v>
      </c>
      <c r="L19" s="37">
        <v>17.04</v>
      </c>
      <c r="M19" s="37">
        <v>10.37</v>
      </c>
      <c r="N19" s="36"/>
      <c r="O19" s="60" t="s">
        <v>1768</v>
      </c>
      <c r="P19" s="62">
        <v>31.85</v>
      </c>
      <c r="Q19" s="62">
        <v>17.04</v>
      </c>
      <c r="R19" s="62">
        <v>10.37</v>
      </c>
      <c r="S19" s="1"/>
    </row>
    <row r="20" spans="1:19" x14ac:dyDescent="0.35">
      <c r="J20" t="s">
        <v>1769</v>
      </c>
      <c r="K20" s="37">
        <v>14.07</v>
      </c>
      <c r="L20" s="37">
        <v>0.74</v>
      </c>
      <c r="M20" s="37">
        <v>2.2000000000000002</v>
      </c>
      <c r="N20" s="36"/>
      <c r="O20" s="60" t="s">
        <v>1769</v>
      </c>
      <c r="P20" s="62">
        <v>14.07</v>
      </c>
      <c r="Q20" s="62">
        <v>0.74</v>
      </c>
      <c r="R20" s="62">
        <v>2.2000000000000002</v>
      </c>
      <c r="S20" s="1"/>
    </row>
    <row r="21" spans="1:19" x14ac:dyDescent="0.35">
      <c r="J21" t="s">
        <v>1770</v>
      </c>
      <c r="K21" s="37">
        <v>21.48</v>
      </c>
      <c r="L21" s="37">
        <v>0</v>
      </c>
      <c r="M21" s="37">
        <v>2.2000000000000002</v>
      </c>
      <c r="N21" s="36"/>
      <c r="O21" s="61" t="s">
        <v>1770</v>
      </c>
      <c r="P21" s="62">
        <v>21.48</v>
      </c>
      <c r="Q21" s="62">
        <v>0</v>
      </c>
      <c r="R21" s="62">
        <v>2.2000000000000002</v>
      </c>
      <c r="S21" s="1"/>
    </row>
    <row r="22" spans="1:19" x14ac:dyDescent="0.35">
      <c r="S22" s="1"/>
    </row>
    <row r="23" spans="1:19" x14ac:dyDescent="0.35">
      <c r="I23" s="28" t="s">
        <v>1764</v>
      </c>
      <c r="K23" s="91" t="s">
        <v>1771</v>
      </c>
      <c r="L23" s="91"/>
      <c r="M23" s="91"/>
    </row>
    <row r="24" spans="1:19" x14ac:dyDescent="0.35">
      <c r="J24" t="s">
        <v>1772</v>
      </c>
      <c r="K24" t="s">
        <v>1765</v>
      </c>
      <c r="L24" t="s">
        <v>1766</v>
      </c>
      <c r="M24" t="s">
        <v>1767</v>
      </c>
    </row>
    <row r="25" spans="1:19" x14ac:dyDescent="0.35">
      <c r="J25" t="s">
        <v>1768</v>
      </c>
      <c r="K25" s="37">
        <v>47.761194029850699</v>
      </c>
      <c r="L25" s="37">
        <v>100</v>
      </c>
      <c r="M25" s="37">
        <v>72.2222222222222</v>
      </c>
    </row>
    <row r="26" spans="1:19" x14ac:dyDescent="0.35">
      <c r="J26" t="s">
        <v>1769</v>
      </c>
      <c r="K26" s="37">
        <v>17.910447761194</v>
      </c>
      <c r="L26" s="37">
        <v>0</v>
      </c>
      <c r="M26" s="37">
        <v>16.6666666666667</v>
      </c>
    </row>
    <row r="27" spans="1:19" x14ac:dyDescent="0.35">
      <c r="J27" t="s">
        <v>1770</v>
      </c>
      <c r="K27" s="37">
        <v>34.328358208955201</v>
      </c>
      <c r="L27" s="37">
        <v>0</v>
      </c>
      <c r="M27" s="37">
        <v>11.1111111111111</v>
      </c>
      <c r="O27" t="s">
        <v>4751</v>
      </c>
    </row>
    <row r="28" spans="1:19" x14ac:dyDescent="0.35">
      <c r="O28" t="s">
        <v>4752</v>
      </c>
    </row>
    <row r="29" spans="1:19" x14ac:dyDescent="0.35">
      <c r="O29" t="s">
        <v>4753</v>
      </c>
    </row>
    <row r="30" spans="1:19" x14ac:dyDescent="0.35">
      <c r="A30" s="10" t="s">
        <v>3</v>
      </c>
      <c r="B30" s="10" t="s">
        <v>4</v>
      </c>
      <c r="C30" s="10" t="s">
        <v>5</v>
      </c>
      <c r="O30" t="s">
        <v>4754</v>
      </c>
    </row>
    <row r="31" spans="1:19" x14ac:dyDescent="0.35">
      <c r="A31" s="16" t="s">
        <v>28</v>
      </c>
      <c r="B31" s="16" t="s">
        <v>436</v>
      </c>
      <c r="C31" s="16">
        <v>1</v>
      </c>
      <c r="O31" t="s">
        <v>4755</v>
      </c>
    </row>
    <row r="32" spans="1:19" x14ac:dyDescent="0.35">
      <c r="A32" s="16" t="s">
        <v>28</v>
      </c>
      <c r="B32" s="16" t="s">
        <v>436</v>
      </c>
      <c r="C32" s="16">
        <v>2</v>
      </c>
      <c r="E32">
        <f>AVERAGE(C31:C38,C41,C44:C45,C47:C49,C51,C53:C57,C59:C63)</f>
        <v>2.2000000000000002</v>
      </c>
      <c r="L32" s="36"/>
      <c r="M32" s="36"/>
      <c r="N32" s="36"/>
    </row>
    <row r="33" spans="1:14" x14ac:dyDescent="0.35">
      <c r="A33" s="16" t="s">
        <v>28</v>
      </c>
      <c r="B33" s="16" t="s">
        <v>436</v>
      </c>
      <c r="C33" s="16">
        <v>2</v>
      </c>
      <c r="E33">
        <f>AVERAGE(C31:C39,C41:C42,C44:C45,C47:C49,C51,C53:C57,C59:C63)</f>
        <v>172.55555555555554</v>
      </c>
      <c r="J33" t="s">
        <v>2233</v>
      </c>
      <c r="L33" s="36"/>
      <c r="M33" s="36"/>
      <c r="N33" s="36"/>
    </row>
    <row r="34" spans="1:14" x14ac:dyDescent="0.35">
      <c r="A34" s="16" t="s">
        <v>28</v>
      </c>
      <c r="B34" s="16" t="s">
        <v>436</v>
      </c>
      <c r="C34" s="16">
        <v>1</v>
      </c>
      <c r="J34" t="s">
        <v>2234</v>
      </c>
      <c r="L34" s="36"/>
      <c r="M34" s="36"/>
      <c r="N34" s="36"/>
    </row>
    <row r="35" spans="1:14" x14ac:dyDescent="0.35">
      <c r="A35" s="16" t="s">
        <v>28</v>
      </c>
      <c r="B35" s="16" t="s">
        <v>436</v>
      </c>
      <c r="C35" s="16">
        <v>3</v>
      </c>
      <c r="J35" t="s">
        <v>2235</v>
      </c>
      <c r="L35" s="36"/>
      <c r="M35" s="36"/>
      <c r="N35" s="36"/>
    </row>
    <row r="36" spans="1:14" x14ac:dyDescent="0.35">
      <c r="A36" s="16" t="s">
        <v>28</v>
      </c>
      <c r="B36" s="16" t="s">
        <v>436</v>
      </c>
      <c r="C36" s="16">
        <v>2</v>
      </c>
      <c r="J36" t="s">
        <v>2236</v>
      </c>
    </row>
    <row r="37" spans="1:14" x14ac:dyDescent="0.35">
      <c r="A37" s="16" t="s">
        <v>28</v>
      </c>
      <c r="B37" s="16" t="s">
        <v>436</v>
      </c>
      <c r="C37" s="16">
        <v>2</v>
      </c>
      <c r="J37" t="s">
        <v>2237</v>
      </c>
    </row>
    <row r="38" spans="1:14" x14ac:dyDescent="0.35">
      <c r="A38" s="16" t="s">
        <v>28</v>
      </c>
      <c r="B38" s="16" t="s">
        <v>436</v>
      </c>
      <c r="C38" s="16">
        <v>1</v>
      </c>
    </row>
    <row r="39" spans="1:14" x14ac:dyDescent="0.35">
      <c r="A39" s="16" t="s">
        <v>28</v>
      </c>
      <c r="B39" s="16" t="s">
        <v>436</v>
      </c>
      <c r="C39" s="16">
        <v>4131</v>
      </c>
    </row>
    <row r="40" spans="1:14" x14ac:dyDescent="0.35">
      <c r="A40" s="16" t="s">
        <v>28</v>
      </c>
      <c r="B40" s="16" t="s">
        <v>436</v>
      </c>
      <c r="C40" s="16" t="s">
        <v>1330</v>
      </c>
    </row>
    <row r="41" spans="1:14" x14ac:dyDescent="0.35">
      <c r="A41" s="16" t="s">
        <v>28</v>
      </c>
      <c r="B41" s="16" t="s">
        <v>436</v>
      </c>
      <c r="C41" s="16">
        <v>1</v>
      </c>
    </row>
    <row r="42" spans="1:14" x14ac:dyDescent="0.35">
      <c r="A42" s="16" t="s">
        <v>28</v>
      </c>
      <c r="B42" s="16" t="s">
        <v>436</v>
      </c>
      <c r="C42" s="16">
        <v>473</v>
      </c>
    </row>
    <row r="43" spans="1:14" x14ac:dyDescent="0.35">
      <c r="A43" s="16" t="s">
        <v>28</v>
      </c>
      <c r="B43" s="16" t="s">
        <v>436</v>
      </c>
      <c r="C43" s="16" t="s">
        <v>1330</v>
      </c>
    </row>
    <row r="44" spans="1:14" x14ac:dyDescent="0.35">
      <c r="A44" s="16" t="s">
        <v>28</v>
      </c>
      <c r="B44" s="16" t="s">
        <v>436</v>
      </c>
      <c r="C44" s="16">
        <v>1</v>
      </c>
    </row>
    <row r="45" spans="1:14" x14ac:dyDescent="0.35">
      <c r="A45" s="16" t="s">
        <v>28</v>
      </c>
      <c r="B45" s="16" t="s">
        <v>436</v>
      </c>
      <c r="C45" s="16">
        <v>1</v>
      </c>
    </row>
    <row r="46" spans="1:14" x14ac:dyDescent="0.35">
      <c r="A46" s="16" t="s">
        <v>28</v>
      </c>
      <c r="B46" s="16" t="s">
        <v>436</v>
      </c>
      <c r="C46" s="16" t="s">
        <v>1330</v>
      </c>
    </row>
    <row r="47" spans="1:14" x14ac:dyDescent="0.35">
      <c r="A47" s="16" t="s">
        <v>28</v>
      </c>
      <c r="B47" s="16" t="s">
        <v>436</v>
      </c>
      <c r="C47" s="16">
        <v>6</v>
      </c>
    </row>
    <row r="48" spans="1:14" x14ac:dyDescent="0.35">
      <c r="A48" s="16" t="s">
        <v>28</v>
      </c>
      <c r="B48" s="16" t="s">
        <v>436</v>
      </c>
      <c r="C48" s="16">
        <v>1</v>
      </c>
    </row>
    <row r="49" spans="1:3" x14ac:dyDescent="0.35">
      <c r="A49" s="16" t="s">
        <v>28</v>
      </c>
      <c r="B49" s="16" t="s">
        <v>436</v>
      </c>
      <c r="C49" s="16">
        <v>1</v>
      </c>
    </row>
    <row r="50" spans="1:3" x14ac:dyDescent="0.35">
      <c r="A50" s="16" t="s">
        <v>28</v>
      </c>
      <c r="B50" s="16" t="s">
        <v>436</v>
      </c>
      <c r="C50" s="16" t="s">
        <v>1330</v>
      </c>
    </row>
    <row r="51" spans="1:3" x14ac:dyDescent="0.35">
      <c r="A51" s="16" t="s">
        <v>28</v>
      </c>
      <c r="B51" s="16" t="s">
        <v>436</v>
      </c>
      <c r="C51" s="16">
        <v>1</v>
      </c>
    </row>
    <row r="52" spans="1:3" x14ac:dyDescent="0.35">
      <c r="A52" s="16" t="s">
        <v>28</v>
      </c>
      <c r="B52" s="16" t="s">
        <v>436</v>
      </c>
      <c r="C52" s="16" t="s">
        <v>1330</v>
      </c>
    </row>
    <row r="53" spans="1:3" x14ac:dyDescent="0.35">
      <c r="A53" s="16" t="s">
        <v>28</v>
      </c>
      <c r="B53" s="16" t="s">
        <v>1330</v>
      </c>
      <c r="C53" s="16">
        <v>2</v>
      </c>
    </row>
    <row r="54" spans="1:3" x14ac:dyDescent="0.35">
      <c r="A54" s="38" t="s">
        <v>28</v>
      </c>
      <c r="B54" s="38" t="s">
        <v>436</v>
      </c>
      <c r="C54" s="38">
        <v>6</v>
      </c>
    </row>
    <row r="55" spans="1:3" x14ac:dyDescent="0.35">
      <c r="A55" s="38" t="s">
        <v>28</v>
      </c>
      <c r="B55" s="38" t="s">
        <v>458</v>
      </c>
      <c r="C55" s="38">
        <v>4</v>
      </c>
    </row>
    <row r="56" spans="1:3" x14ac:dyDescent="0.35">
      <c r="A56" t="s">
        <v>28</v>
      </c>
      <c r="B56" t="s">
        <v>436</v>
      </c>
      <c r="C56" s="16">
        <v>1</v>
      </c>
    </row>
    <row r="57" spans="1:3" x14ac:dyDescent="0.35">
      <c r="A57" s="71" t="s">
        <v>28</v>
      </c>
      <c r="B57" s="71" t="s">
        <v>436</v>
      </c>
      <c r="C57" s="72">
        <v>1</v>
      </c>
    </row>
    <row r="58" spans="1:3" x14ac:dyDescent="0.35">
      <c r="A58" s="16" t="s">
        <v>28</v>
      </c>
      <c r="B58" s="16" t="s">
        <v>436</v>
      </c>
      <c r="C58" s="16" t="s">
        <v>1330</v>
      </c>
    </row>
    <row r="59" spans="1:3" x14ac:dyDescent="0.35">
      <c r="A59" s="16" t="s">
        <v>28</v>
      </c>
      <c r="B59" s="16" t="s">
        <v>1330</v>
      </c>
      <c r="C59" s="16">
        <v>5</v>
      </c>
    </row>
    <row r="60" spans="1:3" x14ac:dyDescent="0.35">
      <c r="A60" s="16" t="s">
        <v>28</v>
      </c>
      <c r="B60" s="16" t="s">
        <v>436</v>
      </c>
      <c r="C60" s="16">
        <v>6</v>
      </c>
    </row>
    <row r="61" spans="1:3" x14ac:dyDescent="0.35">
      <c r="A61" t="s">
        <v>28</v>
      </c>
      <c r="B61" s="16" t="s">
        <v>1330</v>
      </c>
      <c r="C61" s="16">
        <v>1</v>
      </c>
    </row>
    <row r="62" spans="1:3" x14ac:dyDescent="0.35">
      <c r="A62" t="s">
        <v>28</v>
      </c>
      <c r="B62" t="s">
        <v>436</v>
      </c>
      <c r="C62" s="16">
        <v>1</v>
      </c>
    </row>
    <row r="63" spans="1:3" x14ac:dyDescent="0.35">
      <c r="A63" t="s">
        <v>28</v>
      </c>
      <c r="B63" t="s">
        <v>436</v>
      </c>
      <c r="C63" s="16">
        <v>2</v>
      </c>
    </row>
  </sheetData>
  <mergeCells count="4">
    <mergeCell ref="K17:M17"/>
    <mergeCell ref="K23:M23"/>
    <mergeCell ref="O17:O18"/>
    <mergeCell ref="P17:S17"/>
  </mergeCells>
  <pageMargins left="0.7" right="0.7" top="0.75" bottom="0.75" header="0.3" footer="0.3"/>
  <drawing r:id="rId1"/>
  <tableParts count="2">
    <tablePart r:id="rId2"/>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E77EB029-C546-4376-BEE2-FDD073564D14}">
          <x14:formula1>
            <xm:f>Aux!$B$2:$B$5</xm:f>
          </x14:formula1>
          <xm:sqref>B31:B53 B58:B60</xm:sqref>
        </x14:dataValidation>
        <x14:dataValidation type="list" allowBlank="1" showInputMessage="1" showErrorMessage="1" xr:uid="{771542EE-FAFE-4CE6-8985-50E1AE3936F4}">
          <x14:formula1>
            <xm:f>Aux!$A$2:$A$6</xm:f>
          </x14:formula1>
          <xm:sqref>A31:A42 A45:A53 A58:A60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5624-C308-4A1B-8F93-4630CF3B3247}">
  <sheetPr filterMode="1">
    <tabColor theme="5" tint="0.39997558519241921"/>
  </sheetPr>
  <dimension ref="A1:R763"/>
  <sheetViews>
    <sheetView zoomScale="85" zoomScaleNormal="85" workbookViewId="0">
      <pane ySplit="1" topLeftCell="A3" activePane="bottomLeft" state="frozen"/>
      <selection activeCell="E1" sqref="E1"/>
      <selection pane="bottomLeft" activeCell="K3" sqref="K3"/>
    </sheetView>
  </sheetViews>
  <sheetFormatPr defaultColWidth="8.81640625" defaultRowHeight="14.5" x14ac:dyDescent="0.35"/>
  <cols>
    <col min="1" max="2" width="6.81640625" style="17" bestFit="1" customWidth="1"/>
    <col min="3" max="3" width="15" style="17" bestFit="1" customWidth="1"/>
    <col min="4" max="4" width="15" style="17" customWidth="1"/>
    <col min="5" max="6" width="15" style="41" customWidth="1"/>
    <col min="7" max="7" width="18.1796875" style="17" bestFit="1" customWidth="1"/>
    <col min="8" max="8" width="14.1796875" style="17" bestFit="1" customWidth="1"/>
    <col min="9" max="9" width="11.81640625" style="17" bestFit="1" customWidth="1"/>
    <col min="10" max="10" width="11" style="17" customWidth="1"/>
    <col min="11" max="11" width="9.81640625" style="17" bestFit="1" customWidth="1"/>
    <col min="12" max="12" width="10.54296875" style="17" bestFit="1" customWidth="1"/>
    <col min="13" max="13" width="14.1796875" style="17" bestFit="1" customWidth="1"/>
    <col min="14" max="14" width="38.1796875" style="17" customWidth="1"/>
    <col min="15" max="15" width="21" style="17" bestFit="1" customWidth="1"/>
    <col min="16" max="16" width="24" style="17" customWidth="1"/>
    <col min="17" max="16384" width="8.81640625" style="17"/>
  </cols>
  <sheetData>
    <row r="1" spans="1:16" s="58" customFormat="1" x14ac:dyDescent="0.35">
      <c r="A1" s="57" t="s">
        <v>1</v>
      </c>
      <c r="B1" s="57" t="s">
        <v>7</v>
      </c>
      <c r="C1" s="57" t="s">
        <v>9</v>
      </c>
      <c r="D1" s="57" t="s">
        <v>719</v>
      </c>
      <c r="E1" s="57" t="s">
        <v>10</v>
      </c>
      <c r="F1" s="57" t="s">
        <v>619</v>
      </c>
      <c r="G1" s="57" t="s">
        <v>11</v>
      </c>
      <c r="H1" s="57" t="s">
        <v>12</v>
      </c>
      <c r="I1" s="57" t="s">
        <v>13</v>
      </c>
      <c r="J1" s="57" t="s">
        <v>14</v>
      </c>
      <c r="K1" s="57" t="s">
        <v>15</v>
      </c>
      <c r="L1" s="57" t="s">
        <v>16</v>
      </c>
      <c r="M1" s="57" t="s">
        <v>18</v>
      </c>
      <c r="N1" s="57" t="s">
        <v>19</v>
      </c>
      <c r="O1" s="57" t="s">
        <v>21</v>
      </c>
      <c r="P1" s="57" t="s">
        <v>435</v>
      </c>
    </row>
    <row r="2" spans="1:16" ht="29" hidden="1" x14ac:dyDescent="0.35">
      <c r="A2" s="17">
        <v>4</v>
      </c>
      <c r="B2" s="17">
        <v>1</v>
      </c>
      <c r="C2" s="17" t="s">
        <v>1340</v>
      </c>
      <c r="D2" s="17" t="s">
        <v>404</v>
      </c>
      <c r="E2" s="41" t="s">
        <v>32</v>
      </c>
      <c r="F2" s="41" t="s">
        <v>620</v>
      </c>
      <c r="G2" s="42">
        <v>-32.15</v>
      </c>
      <c r="H2" s="42">
        <v>116.8</v>
      </c>
      <c r="I2" s="17">
        <v>248</v>
      </c>
      <c r="J2" s="17">
        <v>69165</v>
      </c>
      <c r="K2" s="17" t="s">
        <v>33</v>
      </c>
      <c r="L2" s="17" t="s">
        <v>34</v>
      </c>
      <c r="M2" s="17" t="s">
        <v>35</v>
      </c>
      <c r="N2" s="43" t="s">
        <v>36</v>
      </c>
      <c r="O2" s="17" t="s">
        <v>433</v>
      </c>
    </row>
    <row r="3" spans="1:16" x14ac:dyDescent="0.35">
      <c r="A3" s="17">
        <v>16</v>
      </c>
      <c r="B3" s="17">
        <v>1</v>
      </c>
      <c r="C3" s="17" t="s">
        <v>1346</v>
      </c>
      <c r="D3" s="17" t="s">
        <v>405</v>
      </c>
      <c r="E3" s="41" t="s">
        <v>37</v>
      </c>
      <c r="F3" s="41" t="s">
        <v>621</v>
      </c>
      <c r="G3" s="42">
        <v>40.333333333333336</v>
      </c>
      <c r="H3" s="42">
        <v>-7.85</v>
      </c>
      <c r="I3" s="17">
        <v>400</v>
      </c>
      <c r="J3" s="17">
        <v>7600</v>
      </c>
      <c r="K3" s="17" t="s">
        <v>33</v>
      </c>
      <c r="L3" s="17" t="s">
        <v>34</v>
      </c>
      <c r="M3" s="17" t="s">
        <v>38</v>
      </c>
      <c r="N3" s="43" t="s">
        <v>39</v>
      </c>
      <c r="O3" s="17" t="s">
        <v>433</v>
      </c>
    </row>
    <row r="4" spans="1:16" x14ac:dyDescent="0.35">
      <c r="A4" s="17">
        <v>16</v>
      </c>
      <c r="B4" s="17">
        <v>1</v>
      </c>
      <c r="C4" s="17" t="s">
        <v>1346</v>
      </c>
      <c r="D4" s="17" t="s">
        <v>405</v>
      </c>
      <c r="E4" s="41" t="s">
        <v>37</v>
      </c>
      <c r="F4" s="41" t="s">
        <v>621</v>
      </c>
      <c r="G4" s="42">
        <v>40.333333333333336</v>
      </c>
      <c r="H4" s="42">
        <v>-7.85</v>
      </c>
      <c r="I4" s="17">
        <v>400</v>
      </c>
      <c r="J4" s="17">
        <v>7600</v>
      </c>
      <c r="K4" s="17" t="s">
        <v>33</v>
      </c>
      <c r="L4" s="17" t="s">
        <v>34</v>
      </c>
      <c r="M4" s="17" t="s">
        <v>40</v>
      </c>
      <c r="N4" s="17" t="s">
        <v>1721</v>
      </c>
      <c r="O4" s="17" t="s">
        <v>433</v>
      </c>
    </row>
    <row r="5" spans="1:16" hidden="1" x14ac:dyDescent="0.35">
      <c r="A5" s="17">
        <v>17</v>
      </c>
      <c r="B5" s="17">
        <v>1</v>
      </c>
      <c r="C5" s="17" t="s">
        <v>1347</v>
      </c>
      <c r="D5" s="17" t="s">
        <v>404</v>
      </c>
      <c r="E5" s="41" t="s">
        <v>41</v>
      </c>
      <c r="F5" s="41" t="s">
        <v>620</v>
      </c>
      <c r="G5" s="42">
        <v>38.835279999999997</v>
      </c>
      <c r="H5" s="42">
        <v>-122.70148</v>
      </c>
      <c r="I5" s="44">
        <f>(1050+1113)/2</f>
        <v>1081.5</v>
      </c>
      <c r="J5" s="17">
        <v>30700</v>
      </c>
      <c r="K5" s="17" t="s">
        <v>33</v>
      </c>
      <c r="L5" s="17" t="s">
        <v>34</v>
      </c>
      <c r="M5" s="17" t="s">
        <v>38</v>
      </c>
      <c r="N5" s="43" t="s">
        <v>42</v>
      </c>
      <c r="O5" s="17" t="s">
        <v>43</v>
      </c>
    </row>
    <row r="6" spans="1:16" hidden="1" x14ac:dyDescent="0.35">
      <c r="A6" s="17">
        <v>17</v>
      </c>
      <c r="B6" s="17">
        <v>1</v>
      </c>
      <c r="C6" s="17" t="s">
        <v>1347</v>
      </c>
      <c r="D6" s="17" t="s">
        <v>404</v>
      </c>
      <c r="E6" s="41" t="s">
        <v>41</v>
      </c>
      <c r="F6" s="41" t="s">
        <v>620</v>
      </c>
      <c r="G6" s="42">
        <v>38.835279999999997</v>
      </c>
      <c r="H6" s="42">
        <v>-122.70148</v>
      </c>
      <c r="I6" s="44">
        <f>(1050+1113)/2</f>
        <v>1081.5</v>
      </c>
      <c r="J6" s="17">
        <v>30700</v>
      </c>
      <c r="K6" s="17" t="s">
        <v>33</v>
      </c>
      <c r="L6" s="17" t="s">
        <v>34</v>
      </c>
      <c r="M6" s="17" t="s">
        <v>38</v>
      </c>
      <c r="N6" s="43" t="s">
        <v>42</v>
      </c>
      <c r="O6" s="17" t="s">
        <v>44</v>
      </c>
    </row>
    <row r="7" spans="1:16" hidden="1" x14ac:dyDescent="0.35">
      <c r="A7" s="17">
        <v>29</v>
      </c>
      <c r="B7" s="17">
        <v>1</v>
      </c>
      <c r="C7" s="17" t="s">
        <v>1396</v>
      </c>
      <c r="D7" s="17" t="s">
        <v>404</v>
      </c>
      <c r="E7" s="41" t="s">
        <v>45</v>
      </c>
      <c r="F7" s="41" t="s">
        <v>622</v>
      </c>
      <c r="G7" s="42">
        <v>41.773888888888891</v>
      </c>
      <c r="H7" s="42">
        <v>2.9280555555555554</v>
      </c>
      <c r="I7" s="17">
        <f>(190+250)/2</f>
        <v>220</v>
      </c>
      <c r="J7" s="17">
        <v>55</v>
      </c>
      <c r="K7" s="17" t="s">
        <v>1330</v>
      </c>
      <c r="L7" s="17" t="s">
        <v>34</v>
      </c>
      <c r="M7" s="17" t="s">
        <v>38</v>
      </c>
      <c r="N7" s="43" t="s">
        <v>39</v>
      </c>
      <c r="O7" s="17" t="s">
        <v>43</v>
      </c>
    </row>
    <row r="8" spans="1:16" hidden="1" x14ac:dyDescent="0.35">
      <c r="A8" s="17">
        <v>29</v>
      </c>
      <c r="B8" s="17">
        <v>1</v>
      </c>
      <c r="C8" s="17" t="s">
        <v>1396</v>
      </c>
      <c r="D8" s="17" t="s">
        <v>404</v>
      </c>
      <c r="E8" s="41" t="s">
        <v>45</v>
      </c>
      <c r="F8" s="41" t="s">
        <v>622</v>
      </c>
      <c r="G8" s="42">
        <v>41.773888888888891</v>
      </c>
      <c r="H8" s="42">
        <v>2.9280555555555554</v>
      </c>
      <c r="I8" s="17">
        <f>(190+250)/2</f>
        <v>220</v>
      </c>
      <c r="J8" s="17">
        <v>55</v>
      </c>
      <c r="K8" s="17" t="s">
        <v>1330</v>
      </c>
      <c r="L8" s="17" t="s">
        <v>34</v>
      </c>
      <c r="M8" s="17" t="s">
        <v>46</v>
      </c>
      <c r="N8" s="43" t="s">
        <v>47</v>
      </c>
      <c r="O8" s="17" t="s">
        <v>43</v>
      </c>
    </row>
    <row r="9" spans="1:16" hidden="1" x14ac:dyDescent="0.35">
      <c r="A9" s="17">
        <v>29</v>
      </c>
      <c r="B9" s="17">
        <v>1</v>
      </c>
      <c r="C9" s="17" t="s">
        <v>1396</v>
      </c>
      <c r="D9" s="17" t="s">
        <v>404</v>
      </c>
      <c r="E9" s="41" t="s">
        <v>45</v>
      </c>
      <c r="F9" s="41" t="s">
        <v>622</v>
      </c>
      <c r="G9" s="42">
        <v>41.773888888888891</v>
      </c>
      <c r="H9" s="42">
        <v>2.9280555555555554</v>
      </c>
      <c r="I9" s="17">
        <f>(190+250)/2</f>
        <v>220</v>
      </c>
      <c r="J9" s="17">
        <v>55</v>
      </c>
      <c r="K9" s="17" t="s">
        <v>1330</v>
      </c>
      <c r="L9" s="17" t="s">
        <v>34</v>
      </c>
      <c r="M9" s="17" t="s">
        <v>38</v>
      </c>
      <c r="N9" s="43" t="s">
        <v>39</v>
      </c>
      <c r="O9" s="17" t="s">
        <v>48</v>
      </c>
    </row>
    <row r="10" spans="1:16" hidden="1" x14ac:dyDescent="0.35">
      <c r="A10" s="17">
        <v>29</v>
      </c>
      <c r="B10" s="17">
        <v>1</v>
      </c>
      <c r="C10" s="17" t="s">
        <v>1396</v>
      </c>
      <c r="D10" s="17" t="s">
        <v>404</v>
      </c>
      <c r="E10" s="41" t="s">
        <v>45</v>
      </c>
      <c r="F10" s="41" t="s">
        <v>622</v>
      </c>
      <c r="G10" s="42">
        <v>41.773888888888891</v>
      </c>
      <c r="H10" s="42">
        <v>2.9280555555555554</v>
      </c>
      <c r="I10" s="17">
        <f>(190+250)/2</f>
        <v>220</v>
      </c>
      <c r="J10" s="17">
        <v>55</v>
      </c>
      <c r="K10" s="17" t="s">
        <v>1330</v>
      </c>
      <c r="L10" s="17" t="s">
        <v>34</v>
      </c>
      <c r="M10" s="17" t="s">
        <v>46</v>
      </c>
      <c r="N10" s="43" t="s">
        <v>47</v>
      </c>
      <c r="O10" s="17" t="s">
        <v>48</v>
      </c>
    </row>
    <row r="11" spans="1:16" hidden="1" x14ac:dyDescent="0.35">
      <c r="A11" s="17">
        <v>78</v>
      </c>
      <c r="B11" s="17">
        <v>1</v>
      </c>
      <c r="C11" s="17" t="s">
        <v>1343</v>
      </c>
      <c r="D11" s="17" t="s">
        <v>404</v>
      </c>
      <c r="E11" s="41" t="s">
        <v>49</v>
      </c>
      <c r="F11" s="41" t="s">
        <v>621</v>
      </c>
      <c r="G11" s="42">
        <v>40.08</v>
      </c>
      <c r="H11" s="42">
        <v>23.8</v>
      </c>
      <c r="I11" s="17" t="s">
        <v>1330</v>
      </c>
      <c r="J11" s="17" t="s">
        <v>1330</v>
      </c>
      <c r="K11" s="17" t="s">
        <v>1330</v>
      </c>
      <c r="L11" s="17" t="s">
        <v>34</v>
      </c>
      <c r="M11" s="17" t="s">
        <v>38</v>
      </c>
      <c r="N11" s="43" t="s">
        <v>50</v>
      </c>
      <c r="O11" s="17" t="s">
        <v>433</v>
      </c>
    </row>
    <row r="12" spans="1:16" hidden="1" x14ac:dyDescent="0.35">
      <c r="A12" s="17">
        <v>84</v>
      </c>
      <c r="B12" s="17">
        <v>1</v>
      </c>
      <c r="C12" s="17">
        <v>1978</v>
      </c>
      <c r="E12" s="41" t="s">
        <v>45</v>
      </c>
      <c r="F12" s="41" t="s">
        <v>620</v>
      </c>
      <c r="G12" s="17">
        <v>39.317999999999998</v>
      </c>
      <c r="H12" s="17">
        <v>-0.89470000000000005</v>
      </c>
      <c r="I12" s="17">
        <f>(420+400+610+450+475)/5</f>
        <v>471</v>
      </c>
      <c r="J12" s="17" t="s">
        <v>1717</v>
      </c>
      <c r="K12" s="17" t="s">
        <v>1330</v>
      </c>
      <c r="L12" s="17" t="s">
        <v>51</v>
      </c>
      <c r="M12" s="17" t="s">
        <v>38</v>
      </c>
      <c r="N12" s="43" t="s">
        <v>50</v>
      </c>
      <c r="O12" s="17" t="s">
        <v>433</v>
      </c>
      <c r="P12" s="17" t="s">
        <v>1006</v>
      </c>
    </row>
    <row r="13" spans="1:16" hidden="1" x14ac:dyDescent="0.35">
      <c r="A13" s="17">
        <v>84</v>
      </c>
      <c r="B13" s="17">
        <v>2</v>
      </c>
      <c r="C13" s="17">
        <v>1979</v>
      </c>
      <c r="E13" s="41" t="s">
        <v>45</v>
      </c>
      <c r="F13" s="41" t="s">
        <v>620</v>
      </c>
      <c r="G13" s="17">
        <v>38.912999999999997</v>
      </c>
      <c r="H13" s="17">
        <v>-0.81699999999999995</v>
      </c>
      <c r="I13" s="44">
        <f>(806+800+530+806)/4</f>
        <v>735.5</v>
      </c>
      <c r="J13" s="17" t="s">
        <v>1717</v>
      </c>
      <c r="K13" s="17" t="s">
        <v>1330</v>
      </c>
      <c r="L13" s="17" t="s">
        <v>51</v>
      </c>
      <c r="M13" s="17" t="s">
        <v>38</v>
      </c>
      <c r="N13" s="43" t="s">
        <v>50</v>
      </c>
      <c r="O13" s="17" t="s">
        <v>433</v>
      </c>
      <c r="P13" s="17" t="s">
        <v>1006</v>
      </c>
    </row>
    <row r="14" spans="1:16" hidden="1" x14ac:dyDescent="0.35">
      <c r="A14" s="17">
        <v>84</v>
      </c>
      <c r="B14" s="17">
        <v>3</v>
      </c>
      <c r="C14" s="17" t="s">
        <v>52</v>
      </c>
      <c r="E14" s="41" t="s">
        <v>45</v>
      </c>
      <c r="F14" s="41" t="s">
        <v>620</v>
      </c>
      <c r="G14" s="42">
        <v>38.80361111111111</v>
      </c>
      <c r="H14" s="42">
        <v>-0.56777777777777771</v>
      </c>
      <c r="I14" s="17">
        <v>630</v>
      </c>
      <c r="J14" s="17" t="s">
        <v>1717</v>
      </c>
      <c r="K14" s="17" t="s">
        <v>1330</v>
      </c>
      <c r="L14" s="17" t="s">
        <v>51</v>
      </c>
      <c r="M14" s="17" t="s">
        <v>38</v>
      </c>
      <c r="N14" s="43" t="s">
        <v>50</v>
      </c>
      <c r="O14" s="17" t="s">
        <v>433</v>
      </c>
      <c r="P14" s="17" t="s">
        <v>1006</v>
      </c>
    </row>
    <row r="15" spans="1:16" hidden="1" x14ac:dyDescent="0.35">
      <c r="A15" s="17">
        <v>84</v>
      </c>
      <c r="B15" s="17">
        <v>4</v>
      </c>
      <c r="C15" s="17" t="s">
        <v>53</v>
      </c>
      <c r="E15" s="41" t="s">
        <v>45</v>
      </c>
      <c r="F15" s="41" t="s">
        <v>620</v>
      </c>
      <c r="G15" s="42">
        <v>38.80361111111111</v>
      </c>
      <c r="H15" s="42">
        <v>-0.56777777777777771</v>
      </c>
      <c r="I15" s="17">
        <v>630</v>
      </c>
      <c r="J15" s="17" t="s">
        <v>1717</v>
      </c>
      <c r="K15" s="17" t="s">
        <v>1330</v>
      </c>
      <c r="L15" s="17" t="s">
        <v>51</v>
      </c>
      <c r="M15" s="17" t="s">
        <v>38</v>
      </c>
      <c r="N15" s="43" t="s">
        <v>50</v>
      </c>
      <c r="O15" s="17" t="s">
        <v>433</v>
      </c>
      <c r="P15" s="17" t="s">
        <v>1006</v>
      </c>
    </row>
    <row r="16" spans="1:16" hidden="1" x14ac:dyDescent="0.35">
      <c r="A16" s="17">
        <v>84</v>
      </c>
      <c r="B16" s="17">
        <v>5</v>
      </c>
      <c r="C16" s="17" t="s">
        <v>54</v>
      </c>
      <c r="E16" s="41" t="s">
        <v>45</v>
      </c>
      <c r="F16" s="41" t="s">
        <v>620</v>
      </c>
      <c r="G16" s="17">
        <v>38.912999999999997</v>
      </c>
      <c r="H16" s="17">
        <v>-0.81699999999999995</v>
      </c>
      <c r="I16" s="44">
        <f>(806+800+530+806)/4</f>
        <v>735.5</v>
      </c>
      <c r="J16" s="17" t="s">
        <v>1717</v>
      </c>
      <c r="K16" s="17" t="s">
        <v>1330</v>
      </c>
      <c r="L16" s="17" t="s">
        <v>51</v>
      </c>
      <c r="M16" s="17" t="s">
        <v>38</v>
      </c>
      <c r="N16" s="43" t="s">
        <v>50</v>
      </c>
      <c r="O16" s="17" t="s">
        <v>433</v>
      </c>
      <c r="P16" s="17" t="s">
        <v>1006</v>
      </c>
    </row>
    <row r="17" spans="1:16" hidden="1" x14ac:dyDescent="0.35">
      <c r="A17" s="17">
        <v>84</v>
      </c>
      <c r="B17" s="17">
        <v>6</v>
      </c>
      <c r="C17" s="17" t="s">
        <v>55</v>
      </c>
      <c r="E17" s="41" t="s">
        <v>45</v>
      </c>
      <c r="F17" s="41" t="s">
        <v>620</v>
      </c>
      <c r="G17" s="17">
        <v>38.912999999999997</v>
      </c>
      <c r="H17" s="17">
        <v>-0.81699999999999995</v>
      </c>
      <c r="I17" s="44">
        <f>(806+800+530+806)/4</f>
        <v>735.5</v>
      </c>
      <c r="J17" s="17" t="s">
        <v>1717</v>
      </c>
      <c r="K17" s="17" t="s">
        <v>1330</v>
      </c>
      <c r="L17" s="17" t="s">
        <v>51</v>
      </c>
      <c r="M17" s="17" t="s">
        <v>38</v>
      </c>
      <c r="N17" s="43" t="s">
        <v>50</v>
      </c>
      <c r="O17" s="17" t="s">
        <v>433</v>
      </c>
      <c r="P17" s="17" t="s">
        <v>1006</v>
      </c>
    </row>
    <row r="18" spans="1:16" hidden="1" x14ac:dyDescent="0.35">
      <c r="A18" s="17">
        <v>84</v>
      </c>
      <c r="B18" s="17">
        <v>7</v>
      </c>
      <c r="C18" s="17">
        <v>1991</v>
      </c>
      <c r="E18" s="41" t="s">
        <v>45</v>
      </c>
      <c r="F18" s="41" t="s">
        <v>620</v>
      </c>
      <c r="G18" s="42">
        <v>38.674999999999997</v>
      </c>
      <c r="H18" s="42">
        <v>-9.1039999999999996E-2</v>
      </c>
      <c r="I18" s="44">
        <f>(340+445+300+415)/4</f>
        <v>375</v>
      </c>
      <c r="J18" s="17" t="s">
        <v>1717</v>
      </c>
      <c r="K18" s="17" t="s">
        <v>1330</v>
      </c>
      <c r="L18" s="17" t="s">
        <v>51</v>
      </c>
      <c r="M18" s="17" t="s">
        <v>38</v>
      </c>
      <c r="N18" s="43" t="s">
        <v>50</v>
      </c>
      <c r="O18" s="17" t="s">
        <v>433</v>
      </c>
      <c r="P18" s="17" t="s">
        <v>1006</v>
      </c>
    </row>
    <row r="19" spans="1:16" hidden="1" x14ac:dyDescent="0.35">
      <c r="A19" s="17">
        <v>84</v>
      </c>
      <c r="B19" s="17">
        <v>8</v>
      </c>
      <c r="C19" s="17" t="s">
        <v>56</v>
      </c>
      <c r="E19" s="41" t="s">
        <v>45</v>
      </c>
      <c r="F19" s="41" t="s">
        <v>620</v>
      </c>
      <c r="G19" s="17">
        <v>39.317999999999998</v>
      </c>
      <c r="H19" s="17">
        <v>-0.89470000000000005</v>
      </c>
      <c r="I19" s="17">
        <f>(420+400+610+450+475)/5</f>
        <v>471</v>
      </c>
      <c r="J19" s="17" t="s">
        <v>1717</v>
      </c>
      <c r="K19" s="17" t="s">
        <v>1330</v>
      </c>
      <c r="L19" s="17" t="s">
        <v>51</v>
      </c>
      <c r="M19" s="17" t="s">
        <v>38</v>
      </c>
      <c r="N19" s="43" t="s">
        <v>50</v>
      </c>
      <c r="O19" s="17" t="s">
        <v>433</v>
      </c>
      <c r="P19" s="17" t="s">
        <v>1006</v>
      </c>
    </row>
    <row r="20" spans="1:16" hidden="1" x14ac:dyDescent="0.35">
      <c r="A20" s="17">
        <v>84</v>
      </c>
      <c r="B20" s="17">
        <v>9</v>
      </c>
      <c r="C20" s="17" t="s">
        <v>57</v>
      </c>
      <c r="E20" s="41" t="s">
        <v>45</v>
      </c>
      <c r="F20" s="41" t="s">
        <v>620</v>
      </c>
      <c r="G20" s="17">
        <v>38.912999999999997</v>
      </c>
      <c r="H20" s="17">
        <v>-0.81699999999999995</v>
      </c>
      <c r="I20" s="44">
        <f>(806+800+530+806)/4</f>
        <v>735.5</v>
      </c>
      <c r="J20" s="17" t="s">
        <v>1717</v>
      </c>
      <c r="K20" s="17" t="s">
        <v>1330</v>
      </c>
      <c r="L20" s="17" t="s">
        <v>51</v>
      </c>
      <c r="M20" s="17" t="s">
        <v>38</v>
      </c>
      <c r="N20" s="43" t="s">
        <v>50</v>
      </c>
      <c r="O20" s="17" t="s">
        <v>433</v>
      </c>
      <c r="P20" s="17" t="s">
        <v>1006</v>
      </c>
    </row>
    <row r="21" spans="1:16" hidden="1" x14ac:dyDescent="0.35">
      <c r="A21" s="17">
        <v>84</v>
      </c>
      <c r="B21" s="17">
        <v>10</v>
      </c>
      <c r="C21" s="17" t="s">
        <v>57</v>
      </c>
      <c r="E21" s="41" t="s">
        <v>45</v>
      </c>
      <c r="F21" s="41" t="s">
        <v>620</v>
      </c>
      <c r="G21" s="42">
        <v>38.80361111111111</v>
      </c>
      <c r="H21" s="42">
        <v>-0.56777777777777771</v>
      </c>
      <c r="I21" s="17">
        <v>630</v>
      </c>
      <c r="J21" s="17" t="s">
        <v>1717</v>
      </c>
      <c r="K21" s="17" t="s">
        <v>1330</v>
      </c>
      <c r="L21" s="17" t="s">
        <v>51</v>
      </c>
      <c r="M21" s="17" t="s">
        <v>38</v>
      </c>
      <c r="N21" s="43" t="s">
        <v>50</v>
      </c>
      <c r="O21" s="17" t="s">
        <v>433</v>
      </c>
      <c r="P21" s="17" t="s">
        <v>1006</v>
      </c>
    </row>
    <row r="22" spans="1:16" hidden="1" x14ac:dyDescent="0.35">
      <c r="A22" s="17">
        <v>84</v>
      </c>
      <c r="B22" s="17">
        <v>11</v>
      </c>
      <c r="C22" s="17" t="s">
        <v>58</v>
      </c>
      <c r="E22" s="41" t="s">
        <v>45</v>
      </c>
      <c r="F22" s="41" t="s">
        <v>620</v>
      </c>
      <c r="G22" s="17">
        <v>38.912999999999997</v>
      </c>
      <c r="H22" s="17">
        <v>-0.81699999999999995</v>
      </c>
      <c r="I22" s="44">
        <f>(806+800+530+806)/4</f>
        <v>735.5</v>
      </c>
      <c r="J22" s="17" t="s">
        <v>1717</v>
      </c>
      <c r="K22" s="17" t="s">
        <v>1330</v>
      </c>
      <c r="L22" s="17" t="s">
        <v>51</v>
      </c>
      <c r="M22" s="17" t="s">
        <v>38</v>
      </c>
      <c r="N22" s="43" t="s">
        <v>50</v>
      </c>
      <c r="O22" s="17" t="s">
        <v>433</v>
      </c>
      <c r="P22" s="17" t="s">
        <v>1006</v>
      </c>
    </row>
    <row r="23" spans="1:16" hidden="1" x14ac:dyDescent="0.35">
      <c r="A23" s="17">
        <v>84</v>
      </c>
      <c r="B23" s="17">
        <v>12</v>
      </c>
      <c r="C23" s="17" t="s">
        <v>59</v>
      </c>
      <c r="E23" s="41" t="s">
        <v>45</v>
      </c>
      <c r="F23" s="41" t="s">
        <v>620</v>
      </c>
      <c r="G23" s="42">
        <v>38.674999999999997</v>
      </c>
      <c r="H23" s="42">
        <v>-9.1039999999999996E-2</v>
      </c>
      <c r="I23" s="44">
        <f>(340+445+300+415)/4</f>
        <v>375</v>
      </c>
      <c r="J23" s="17" t="s">
        <v>1717</v>
      </c>
      <c r="K23" s="17" t="s">
        <v>1330</v>
      </c>
      <c r="L23" s="17" t="s">
        <v>51</v>
      </c>
      <c r="M23" s="17" t="s">
        <v>38</v>
      </c>
      <c r="N23" s="43" t="s">
        <v>50</v>
      </c>
      <c r="O23" s="17" t="s">
        <v>433</v>
      </c>
      <c r="P23" s="17" t="s">
        <v>1006</v>
      </c>
    </row>
    <row r="24" spans="1:16" hidden="1" x14ac:dyDescent="0.35">
      <c r="A24" s="17">
        <v>84</v>
      </c>
      <c r="B24" s="17">
        <v>13</v>
      </c>
      <c r="C24" s="17" t="s">
        <v>60</v>
      </c>
      <c r="E24" s="41" t="s">
        <v>45</v>
      </c>
      <c r="F24" s="41" t="s">
        <v>620</v>
      </c>
      <c r="G24" s="42">
        <v>38.80361111111111</v>
      </c>
      <c r="H24" s="42">
        <v>-0.56777777777777771</v>
      </c>
      <c r="I24" s="17">
        <v>630</v>
      </c>
      <c r="J24" s="17" t="s">
        <v>1717</v>
      </c>
      <c r="K24" s="17" t="s">
        <v>1330</v>
      </c>
      <c r="L24" s="17" t="s">
        <v>51</v>
      </c>
      <c r="M24" s="17" t="s">
        <v>38</v>
      </c>
      <c r="N24" s="43" t="s">
        <v>50</v>
      </c>
      <c r="O24" s="17" t="s">
        <v>433</v>
      </c>
      <c r="P24" s="17" t="s">
        <v>1006</v>
      </c>
    </row>
    <row r="25" spans="1:16" hidden="1" x14ac:dyDescent="0.35">
      <c r="A25" s="17">
        <v>84</v>
      </c>
      <c r="B25" s="17">
        <v>14</v>
      </c>
      <c r="C25" s="17" t="s">
        <v>61</v>
      </c>
      <c r="E25" s="41" t="s">
        <v>45</v>
      </c>
      <c r="F25" s="41" t="s">
        <v>620</v>
      </c>
      <c r="G25" s="17">
        <v>39.317999999999998</v>
      </c>
      <c r="H25" s="17">
        <v>-0.89470000000000005</v>
      </c>
      <c r="I25" s="17">
        <f>(420+400+610+450+475)/5</f>
        <v>471</v>
      </c>
      <c r="J25" s="17" t="s">
        <v>1717</v>
      </c>
      <c r="K25" s="17" t="s">
        <v>1330</v>
      </c>
      <c r="L25" s="17" t="s">
        <v>51</v>
      </c>
      <c r="M25" s="17" t="s">
        <v>38</v>
      </c>
      <c r="N25" s="43" t="s">
        <v>50</v>
      </c>
      <c r="O25" s="17" t="s">
        <v>433</v>
      </c>
      <c r="P25" s="17" t="s">
        <v>1006</v>
      </c>
    </row>
    <row r="26" spans="1:16" hidden="1" x14ac:dyDescent="0.35">
      <c r="A26" s="17">
        <v>84</v>
      </c>
      <c r="B26" s="17">
        <v>15</v>
      </c>
      <c r="C26" s="17">
        <v>2016</v>
      </c>
      <c r="E26" s="41" t="s">
        <v>45</v>
      </c>
      <c r="F26" s="41" t="s">
        <v>620</v>
      </c>
      <c r="G26" s="42">
        <v>38.674999999999997</v>
      </c>
      <c r="H26" s="42">
        <v>-9.1039999999999996E-2</v>
      </c>
      <c r="I26" s="44">
        <f>(340+445+300+415)/4</f>
        <v>375</v>
      </c>
      <c r="J26" s="17" t="s">
        <v>1717</v>
      </c>
      <c r="K26" s="17" t="s">
        <v>1330</v>
      </c>
      <c r="L26" s="17" t="s">
        <v>51</v>
      </c>
      <c r="M26" s="17" t="s">
        <v>38</v>
      </c>
      <c r="N26" s="43" t="s">
        <v>50</v>
      </c>
      <c r="O26" s="17" t="s">
        <v>433</v>
      </c>
      <c r="P26" s="17" t="s">
        <v>1006</v>
      </c>
    </row>
    <row r="27" spans="1:16" x14ac:dyDescent="0.35">
      <c r="A27" s="17">
        <v>103</v>
      </c>
      <c r="B27" s="17">
        <v>1</v>
      </c>
      <c r="C27" s="17" t="s">
        <v>1344</v>
      </c>
      <c r="E27" s="41" t="s">
        <v>45</v>
      </c>
      <c r="F27" s="41" t="s">
        <v>621</v>
      </c>
      <c r="G27" s="42">
        <v>36.953333333333333</v>
      </c>
      <c r="H27" s="42">
        <v>-3.4933333333333332</v>
      </c>
      <c r="I27" s="17">
        <f>(1477+2053)/2</f>
        <v>1765</v>
      </c>
      <c r="J27" s="17">
        <v>1300</v>
      </c>
      <c r="K27" s="17" t="s">
        <v>33</v>
      </c>
      <c r="L27" s="17" t="s">
        <v>34</v>
      </c>
      <c r="M27" s="17" t="s">
        <v>38</v>
      </c>
      <c r="N27" s="17" t="s">
        <v>63</v>
      </c>
      <c r="O27" s="17" t="s">
        <v>44</v>
      </c>
    </row>
    <row r="28" spans="1:16" x14ac:dyDescent="0.35">
      <c r="A28" s="17">
        <v>111</v>
      </c>
      <c r="B28" s="17">
        <v>1</v>
      </c>
      <c r="C28" s="17" t="s">
        <v>1345</v>
      </c>
      <c r="D28" s="17" t="s">
        <v>404</v>
      </c>
      <c r="E28" s="41" t="s">
        <v>45</v>
      </c>
      <c r="F28" s="41" t="s">
        <v>622</v>
      </c>
      <c r="G28" s="17">
        <v>38.393000000000001</v>
      </c>
      <c r="H28" s="17">
        <v>-1.6819999999999999</v>
      </c>
      <c r="I28" s="17">
        <v>500</v>
      </c>
      <c r="J28" s="17">
        <v>6500</v>
      </c>
      <c r="K28" s="17" t="s">
        <v>33</v>
      </c>
      <c r="L28" s="17" t="s">
        <v>34</v>
      </c>
      <c r="M28" s="17" t="s">
        <v>38</v>
      </c>
      <c r="N28" s="43" t="s">
        <v>50</v>
      </c>
      <c r="O28" s="17" t="s">
        <v>43</v>
      </c>
    </row>
    <row r="29" spans="1:16" hidden="1" x14ac:dyDescent="0.35">
      <c r="A29" s="17">
        <v>142</v>
      </c>
      <c r="B29" s="17">
        <v>1</v>
      </c>
      <c r="C29" s="16" t="s">
        <v>57</v>
      </c>
      <c r="D29" s="16" t="s">
        <v>404</v>
      </c>
      <c r="E29" s="41" t="s">
        <v>45</v>
      </c>
      <c r="F29" s="41" t="s">
        <v>620</v>
      </c>
      <c r="G29" s="17">
        <v>38.333333333333336</v>
      </c>
      <c r="H29" s="42">
        <v>-2.3333333333333335</v>
      </c>
      <c r="I29" s="17">
        <v>1010</v>
      </c>
      <c r="J29" s="17">
        <v>14000</v>
      </c>
      <c r="K29" s="17" t="s">
        <v>1330</v>
      </c>
      <c r="L29" s="17" t="s">
        <v>34</v>
      </c>
      <c r="M29" s="17" t="s">
        <v>38</v>
      </c>
      <c r="N29" s="43" t="s">
        <v>50</v>
      </c>
      <c r="O29" s="17" t="s">
        <v>730</v>
      </c>
    </row>
    <row r="30" spans="1:16" hidden="1" x14ac:dyDescent="0.35">
      <c r="A30" s="17">
        <v>142</v>
      </c>
      <c r="B30" s="17">
        <v>2</v>
      </c>
      <c r="C30" s="16" t="s">
        <v>57</v>
      </c>
      <c r="D30" s="16" t="s">
        <v>404</v>
      </c>
      <c r="E30" s="41" t="s">
        <v>45</v>
      </c>
      <c r="F30" s="41" t="s">
        <v>620</v>
      </c>
      <c r="G30" s="17">
        <v>38.266666666666666</v>
      </c>
      <c r="H30" s="17">
        <v>-1.6333333333333333</v>
      </c>
      <c r="I30" s="17">
        <v>325</v>
      </c>
      <c r="J30" s="17">
        <v>30000</v>
      </c>
      <c r="K30" s="17" t="s">
        <v>1330</v>
      </c>
      <c r="L30" s="17" t="s">
        <v>34</v>
      </c>
      <c r="M30" s="17" t="s">
        <v>38</v>
      </c>
      <c r="N30" s="43" t="s">
        <v>50</v>
      </c>
      <c r="O30" s="17" t="s">
        <v>730</v>
      </c>
    </row>
    <row r="31" spans="1:16" hidden="1" x14ac:dyDescent="0.35">
      <c r="A31" s="17">
        <v>145</v>
      </c>
      <c r="B31" s="17">
        <v>1</v>
      </c>
      <c r="C31" s="17" t="s">
        <v>52</v>
      </c>
      <c r="E31" s="41" t="s">
        <v>64</v>
      </c>
      <c r="F31" s="41" t="s">
        <v>621</v>
      </c>
      <c r="G31" s="42">
        <v>36.9</v>
      </c>
      <c r="H31" s="42">
        <v>28.1</v>
      </c>
      <c r="I31" s="17">
        <v>101</v>
      </c>
      <c r="J31" s="17" t="s">
        <v>1330</v>
      </c>
      <c r="K31" s="17" t="s">
        <v>1330</v>
      </c>
      <c r="L31" s="17" t="s">
        <v>51</v>
      </c>
      <c r="M31" s="17" t="s">
        <v>38</v>
      </c>
      <c r="N31" s="43" t="s">
        <v>65</v>
      </c>
      <c r="O31" s="17" t="s">
        <v>433</v>
      </c>
    </row>
    <row r="32" spans="1:16" hidden="1" x14ac:dyDescent="0.35">
      <c r="A32" s="17">
        <v>145</v>
      </c>
      <c r="B32" s="17">
        <v>2</v>
      </c>
      <c r="C32" s="17" t="s">
        <v>66</v>
      </c>
      <c r="E32" s="41" t="s">
        <v>64</v>
      </c>
      <c r="F32" s="41" t="s">
        <v>621</v>
      </c>
      <c r="G32" s="42">
        <v>36.9</v>
      </c>
      <c r="H32" s="42">
        <v>28.1</v>
      </c>
      <c r="I32" s="17">
        <v>101</v>
      </c>
      <c r="J32" s="17" t="s">
        <v>1330</v>
      </c>
      <c r="K32" s="17" t="s">
        <v>1330</v>
      </c>
      <c r="L32" s="17" t="s">
        <v>51</v>
      </c>
      <c r="M32" s="17" t="s">
        <v>38</v>
      </c>
      <c r="N32" s="43" t="s">
        <v>65</v>
      </c>
      <c r="O32" s="17" t="s">
        <v>433</v>
      </c>
    </row>
    <row r="33" spans="1:15" hidden="1" x14ac:dyDescent="0.35">
      <c r="A33" s="17">
        <v>145</v>
      </c>
      <c r="B33" s="17">
        <v>3</v>
      </c>
      <c r="C33" s="17" t="s">
        <v>67</v>
      </c>
      <c r="E33" s="41" t="s">
        <v>64</v>
      </c>
      <c r="F33" s="41" t="s">
        <v>621</v>
      </c>
      <c r="G33" s="42">
        <v>36.9</v>
      </c>
      <c r="H33" s="42">
        <v>28.1</v>
      </c>
      <c r="I33" s="17">
        <v>101</v>
      </c>
      <c r="J33" s="17" t="s">
        <v>1330</v>
      </c>
      <c r="K33" s="17" t="s">
        <v>1330</v>
      </c>
      <c r="L33" s="17" t="s">
        <v>51</v>
      </c>
      <c r="M33" s="17" t="s">
        <v>38</v>
      </c>
      <c r="N33" s="43" t="s">
        <v>65</v>
      </c>
      <c r="O33" s="17" t="s">
        <v>433</v>
      </c>
    </row>
    <row r="34" spans="1:15" hidden="1" x14ac:dyDescent="0.35">
      <c r="A34" s="17">
        <v>145</v>
      </c>
      <c r="B34" s="17">
        <v>4</v>
      </c>
      <c r="C34" s="17" t="s">
        <v>68</v>
      </c>
      <c r="E34" s="41" t="s">
        <v>64</v>
      </c>
      <c r="F34" s="41" t="s">
        <v>621</v>
      </c>
      <c r="G34" s="42">
        <v>36.9</v>
      </c>
      <c r="H34" s="42">
        <v>28.1</v>
      </c>
      <c r="I34" s="17">
        <v>101</v>
      </c>
      <c r="J34" s="17" t="s">
        <v>1330</v>
      </c>
      <c r="K34" s="17" t="s">
        <v>1330</v>
      </c>
      <c r="L34" s="17" t="s">
        <v>51</v>
      </c>
      <c r="M34" s="17" t="s">
        <v>38</v>
      </c>
      <c r="N34" s="43" t="s">
        <v>65</v>
      </c>
      <c r="O34" s="17" t="s">
        <v>433</v>
      </c>
    </row>
    <row r="35" spans="1:15" hidden="1" x14ac:dyDescent="0.35">
      <c r="A35" s="17">
        <v>145</v>
      </c>
      <c r="B35" s="17">
        <v>5</v>
      </c>
      <c r="C35" s="17" t="s">
        <v>69</v>
      </c>
      <c r="E35" s="41" t="s">
        <v>64</v>
      </c>
      <c r="F35" s="41" t="s">
        <v>621</v>
      </c>
      <c r="G35" s="42">
        <v>36.9</v>
      </c>
      <c r="H35" s="42">
        <v>28.1</v>
      </c>
      <c r="I35" s="17">
        <v>101</v>
      </c>
      <c r="J35" s="17" t="s">
        <v>1330</v>
      </c>
      <c r="K35" s="17" t="s">
        <v>1330</v>
      </c>
      <c r="L35" s="17" t="s">
        <v>51</v>
      </c>
      <c r="M35" s="17" t="s">
        <v>38</v>
      </c>
      <c r="N35" s="43" t="s">
        <v>65</v>
      </c>
      <c r="O35" s="17" t="s">
        <v>433</v>
      </c>
    </row>
    <row r="36" spans="1:15" hidden="1" x14ac:dyDescent="0.35">
      <c r="A36" s="17">
        <v>145</v>
      </c>
      <c r="B36" s="17">
        <v>6</v>
      </c>
      <c r="C36" s="17" t="s">
        <v>58</v>
      </c>
      <c r="E36" s="41" t="s">
        <v>64</v>
      </c>
      <c r="F36" s="41" t="s">
        <v>621</v>
      </c>
      <c r="G36" s="42">
        <v>36.9</v>
      </c>
      <c r="H36" s="42">
        <v>28.1</v>
      </c>
      <c r="I36" s="17">
        <v>101</v>
      </c>
      <c r="J36" s="17" t="s">
        <v>1330</v>
      </c>
      <c r="K36" s="17" t="s">
        <v>1330</v>
      </c>
      <c r="L36" s="17" t="s">
        <v>51</v>
      </c>
      <c r="M36" s="17" t="s">
        <v>38</v>
      </c>
      <c r="N36" s="43" t="s">
        <v>65</v>
      </c>
      <c r="O36" s="17" t="s">
        <v>433</v>
      </c>
    </row>
    <row r="37" spans="1:15" hidden="1" x14ac:dyDescent="0.35">
      <c r="A37" s="17">
        <v>145</v>
      </c>
      <c r="B37" s="17">
        <v>7</v>
      </c>
      <c r="C37" s="17" t="s">
        <v>70</v>
      </c>
      <c r="E37" s="41" t="s">
        <v>64</v>
      </c>
      <c r="F37" s="41" t="s">
        <v>621</v>
      </c>
      <c r="G37" s="42">
        <v>36.9</v>
      </c>
      <c r="H37" s="42">
        <v>28.1</v>
      </c>
      <c r="I37" s="17">
        <v>101</v>
      </c>
      <c r="J37" s="17" t="s">
        <v>1330</v>
      </c>
      <c r="K37" s="17" t="s">
        <v>1330</v>
      </c>
      <c r="L37" s="17" t="s">
        <v>51</v>
      </c>
      <c r="M37" s="17" t="s">
        <v>38</v>
      </c>
      <c r="N37" s="43" t="s">
        <v>65</v>
      </c>
      <c r="O37" s="17" t="s">
        <v>433</v>
      </c>
    </row>
    <row r="38" spans="1:15" hidden="1" x14ac:dyDescent="0.35">
      <c r="A38" s="17">
        <v>152</v>
      </c>
      <c r="B38" s="17">
        <v>1</v>
      </c>
      <c r="C38" s="17" t="s">
        <v>1348</v>
      </c>
      <c r="D38" s="17" t="s">
        <v>404</v>
      </c>
      <c r="E38" s="41" t="s">
        <v>45</v>
      </c>
      <c r="F38" s="41" t="s">
        <v>622</v>
      </c>
      <c r="G38" s="42">
        <v>40.460933472803703</v>
      </c>
      <c r="H38" s="45">
        <v>-4.2690000000000001</v>
      </c>
      <c r="I38" s="17">
        <v>800</v>
      </c>
      <c r="J38" s="17">
        <v>790</v>
      </c>
      <c r="K38" s="17" t="s">
        <v>1330</v>
      </c>
      <c r="L38" s="17" t="s">
        <v>34</v>
      </c>
      <c r="M38" s="17" t="s">
        <v>38</v>
      </c>
      <c r="N38" s="43" t="s">
        <v>39</v>
      </c>
      <c r="O38" s="17" t="s">
        <v>48</v>
      </c>
    </row>
    <row r="39" spans="1:15" hidden="1" x14ac:dyDescent="0.35">
      <c r="A39" s="17">
        <v>152</v>
      </c>
      <c r="B39" s="17">
        <v>2</v>
      </c>
      <c r="C39" s="17" t="s">
        <v>1349</v>
      </c>
      <c r="D39" s="17" t="s">
        <v>404</v>
      </c>
      <c r="E39" s="41" t="s">
        <v>45</v>
      </c>
      <c r="F39" s="41" t="s">
        <v>622</v>
      </c>
      <c r="G39" s="17">
        <v>40.620678296340202</v>
      </c>
      <c r="H39" s="17">
        <v>-4.1520000000000001</v>
      </c>
      <c r="I39" s="17">
        <v>1340</v>
      </c>
      <c r="J39" s="17">
        <v>425</v>
      </c>
      <c r="K39" s="17" t="s">
        <v>1330</v>
      </c>
      <c r="L39" s="17" t="s">
        <v>34</v>
      </c>
      <c r="M39" s="17" t="s">
        <v>38</v>
      </c>
      <c r="N39" s="43" t="s">
        <v>71</v>
      </c>
      <c r="O39" s="17" t="s">
        <v>48</v>
      </c>
    </row>
    <row r="40" spans="1:15" hidden="1" x14ac:dyDescent="0.35">
      <c r="A40" s="17">
        <v>168</v>
      </c>
      <c r="B40" s="17">
        <v>1</v>
      </c>
      <c r="C40" s="17">
        <v>2000</v>
      </c>
      <c r="E40" s="41" t="s">
        <v>72</v>
      </c>
      <c r="F40" s="41" t="s">
        <v>621</v>
      </c>
      <c r="G40" s="17">
        <v>36.386699999999998</v>
      </c>
      <c r="H40" s="17">
        <v>0.96599999999999997</v>
      </c>
      <c r="I40" s="17">
        <f>(13+867)/2</f>
        <v>440</v>
      </c>
      <c r="J40" s="17">
        <v>5000</v>
      </c>
      <c r="K40" s="17" t="s">
        <v>73</v>
      </c>
      <c r="L40" s="17" t="s">
        <v>34</v>
      </c>
      <c r="M40" s="17" t="s">
        <v>38</v>
      </c>
      <c r="N40" s="43" t="s">
        <v>50</v>
      </c>
      <c r="O40" s="17" t="s">
        <v>433</v>
      </c>
    </row>
    <row r="41" spans="1:15" hidden="1" x14ac:dyDescent="0.35">
      <c r="A41" s="17">
        <v>168</v>
      </c>
      <c r="B41" s="17">
        <v>2</v>
      </c>
      <c r="C41" s="17">
        <v>2012</v>
      </c>
      <c r="E41" s="41" t="s">
        <v>72</v>
      </c>
      <c r="F41" s="41" t="s">
        <v>621</v>
      </c>
      <c r="G41" s="17">
        <v>36.386699999999998</v>
      </c>
      <c r="H41" s="17">
        <v>0.96599999999999997</v>
      </c>
      <c r="I41" s="17">
        <f>(13+867)/2</f>
        <v>440</v>
      </c>
      <c r="J41" s="17">
        <v>6000</v>
      </c>
      <c r="K41" s="17" t="s">
        <v>33</v>
      </c>
      <c r="L41" s="17" t="s">
        <v>34</v>
      </c>
      <c r="M41" s="17" t="s">
        <v>38</v>
      </c>
      <c r="N41" s="43" t="s">
        <v>50</v>
      </c>
      <c r="O41" s="17" t="s">
        <v>433</v>
      </c>
    </row>
    <row r="42" spans="1:15" hidden="1" x14ac:dyDescent="0.35">
      <c r="A42" s="17">
        <v>177</v>
      </c>
      <c r="B42" s="17">
        <v>1</v>
      </c>
      <c r="C42" s="17" t="s">
        <v>1397</v>
      </c>
      <c r="E42" s="41" t="s">
        <v>74</v>
      </c>
      <c r="F42" s="41" t="s">
        <v>620</v>
      </c>
      <c r="G42" s="17">
        <v>32.733333333333334</v>
      </c>
      <c r="H42" s="17">
        <v>35.016666666666666</v>
      </c>
      <c r="I42" s="17">
        <v>320</v>
      </c>
      <c r="J42" s="17">
        <v>300</v>
      </c>
      <c r="K42" s="17" t="s">
        <v>1330</v>
      </c>
      <c r="L42" s="17" t="s">
        <v>34</v>
      </c>
      <c r="M42" s="17" t="s">
        <v>38</v>
      </c>
      <c r="N42" s="43" t="s">
        <v>50</v>
      </c>
      <c r="O42" s="17" t="s">
        <v>44</v>
      </c>
    </row>
    <row r="43" spans="1:15" hidden="1" x14ac:dyDescent="0.35">
      <c r="A43" s="17">
        <v>187</v>
      </c>
      <c r="B43" s="17">
        <v>1</v>
      </c>
      <c r="C43" s="17" t="s">
        <v>1398</v>
      </c>
      <c r="D43" s="17" t="s">
        <v>404</v>
      </c>
      <c r="E43" s="41" t="s">
        <v>74</v>
      </c>
      <c r="F43" s="41" t="s">
        <v>621</v>
      </c>
      <c r="G43" s="17">
        <v>32.736960000000003</v>
      </c>
      <c r="H43" s="17">
        <v>35.036000000000001</v>
      </c>
      <c r="I43" s="17">
        <v>700</v>
      </c>
      <c r="J43" s="17">
        <v>400</v>
      </c>
      <c r="K43" s="17" t="s">
        <v>33</v>
      </c>
      <c r="L43" s="17" t="s">
        <v>34</v>
      </c>
      <c r="M43" s="17" t="s">
        <v>75</v>
      </c>
      <c r="N43" s="43" t="s">
        <v>50</v>
      </c>
      <c r="O43" s="17" t="s">
        <v>48</v>
      </c>
    </row>
    <row r="44" spans="1:15" hidden="1" x14ac:dyDescent="0.35">
      <c r="A44" s="17">
        <v>190</v>
      </c>
      <c r="B44" s="17">
        <v>1</v>
      </c>
      <c r="C44" s="17">
        <v>1984</v>
      </c>
      <c r="E44" s="41" t="s">
        <v>45</v>
      </c>
      <c r="F44" s="41" t="s">
        <v>621</v>
      </c>
      <c r="G44" s="17">
        <v>38.714399999999998</v>
      </c>
      <c r="H44" s="17">
        <v>0.1772</v>
      </c>
      <c r="I44" s="17" t="s">
        <v>1330</v>
      </c>
      <c r="J44" s="17" t="s">
        <v>1330</v>
      </c>
      <c r="K44" s="17" t="s">
        <v>1330</v>
      </c>
      <c r="L44" s="17" t="s">
        <v>51</v>
      </c>
      <c r="M44" s="17" t="s">
        <v>76</v>
      </c>
      <c r="N44" s="43" t="s">
        <v>77</v>
      </c>
      <c r="O44" s="17" t="s">
        <v>433</v>
      </c>
    </row>
    <row r="45" spans="1:15" hidden="1" x14ac:dyDescent="0.35">
      <c r="A45" s="17">
        <v>190</v>
      </c>
      <c r="B45" s="17">
        <v>2</v>
      </c>
      <c r="C45" s="17" t="s">
        <v>55</v>
      </c>
      <c r="E45" s="41" t="s">
        <v>45</v>
      </c>
      <c r="F45" s="41" t="s">
        <v>621</v>
      </c>
      <c r="G45" s="17">
        <v>38.714399999999998</v>
      </c>
      <c r="H45" s="17">
        <v>0.1772</v>
      </c>
      <c r="I45" s="17" t="s">
        <v>1330</v>
      </c>
      <c r="J45" s="17" t="s">
        <v>1330</v>
      </c>
      <c r="K45" s="17" t="s">
        <v>1330</v>
      </c>
      <c r="L45" s="17" t="s">
        <v>51</v>
      </c>
      <c r="M45" s="17" t="s">
        <v>76</v>
      </c>
      <c r="N45" s="17" t="s">
        <v>77</v>
      </c>
      <c r="O45" s="17" t="s">
        <v>433</v>
      </c>
    </row>
    <row r="46" spans="1:15" hidden="1" x14ac:dyDescent="0.35">
      <c r="A46" s="17">
        <v>200</v>
      </c>
      <c r="B46" s="17">
        <v>1</v>
      </c>
      <c r="C46" s="17" t="s">
        <v>1350</v>
      </c>
      <c r="D46" s="17" t="s">
        <v>404</v>
      </c>
      <c r="E46" s="41" t="s">
        <v>45</v>
      </c>
      <c r="F46" s="41" t="s">
        <v>620</v>
      </c>
      <c r="G46" s="17">
        <v>38.366666666666667</v>
      </c>
      <c r="H46" s="17">
        <v>-2.4</v>
      </c>
      <c r="I46" s="17">
        <v>900</v>
      </c>
      <c r="J46" s="17">
        <v>14000</v>
      </c>
      <c r="K46" s="17" t="s">
        <v>1330</v>
      </c>
      <c r="L46" s="17" t="s">
        <v>34</v>
      </c>
      <c r="M46" s="17" t="s">
        <v>38</v>
      </c>
      <c r="N46" s="43" t="s">
        <v>50</v>
      </c>
      <c r="O46" s="17" t="s">
        <v>44</v>
      </c>
    </row>
    <row r="47" spans="1:15" hidden="1" x14ac:dyDescent="0.35">
      <c r="A47" s="17">
        <v>208</v>
      </c>
      <c r="B47" s="17">
        <v>1</v>
      </c>
      <c r="C47" s="17">
        <v>1979</v>
      </c>
      <c r="E47" s="41" t="s">
        <v>45</v>
      </c>
      <c r="F47" s="41" t="s">
        <v>622</v>
      </c>
      <c r="G47" s="17">
        <v>38.134</v>
      </c>
      <c r="H47" s="17">
        <v>-1.4278999999999999</v>
      </c>
      <c r="I47" s="17">
        <f>(500+1000)/2</f>
        <v>750</v>
      </c>
      <c r="J47" s="17">
        <v>30</v>
      </c>
      <c r="K47" s="17" t="s">
        <v>1330</v>
      </c>
      <c r="L47" s="17" t="s">
        <v>34</v>
      </c>
      <c r="M47" s="17" t="s">
        <v>38</v>
      </c>
      <c r="N47" s="43" t="s">
        <v>50</v>
      </c>
      <c r="O47" s="17" t="s">
        <v>433</v>
      </c>
    </row>
    <row r="48" spans="1:15" hidden="1" x14ac:dyDescent="0.35">
      <c r="A48" s="17">
        <v>208</v>
      </c>
      <c r="B48" s="17">
        <v>2</v>
      </c>
      <c r="C48" s="17" t="s">
        <v>57</v>
      </c>
      <c r="E48" s="41" t="s">
        <v>45</v>
      </c>
      <c r="F48" s="41" t="s">
        <v>622</v>
      </c>
      <c r="G48" s="17">
        <v>38.134</v>
      </c>
      <c r="H48" s="17">
        <v>-1.4278999999999999</v>
      </c>
      <c r="I48" s="17">
        <f>(500+1000)/2</f>
        <v>750</v>
      </c>
      <c r="J48" s="17">
        <v>50</v>
      </c>
      <c r="K48" s="17" t="s">
        <v>1330</v>
      </c>
      <c r="L48" s="17" t="s">
        <v>34</v>
      </c>
      <c r="M48" s="17" t="s">
        <v>38</v>
      </c>
      <c r="N48" s="43" t="s">
        <v>50</v>
      </c>
      <c r="O48" s="17" t="s">
        <v>433</v>
      </c>
    </row>
    <row r="49" spans="1:15" hidden="1" x14ac:dyDescent="0.35">
      <c r="A49" s="17">
        <v>208</v>
      </c>
      <c r="B49" s="17">
        <v>3</v>
      </c>
      <c r="C49" s="17" t="s">
        <v>78</v>
      </c>
      <c r="E49" s="41" t="s">
        <v>45</v>
      </c>
      <c r="F49" s="41" t="s">
        <v>622</v>
      </c>
      <c r="G49" s="17">
        <v>38.134</v>
      </c>
      <c r="H49" s="17">
        <v>-1.4278999999999999</v>
      </c>
      <c r="I49" s="17">
        <f>(500+1000)/2</f>
        <v>750</v>
      </c>
      <c r="J49" s="17">
        <v>60</v>
      </c>
      <c r="K49" s="17" t="s">
        <v>1330</v>
      </c>
      <c r="L49" s="17" t="s">
        <v>34</v>
      </c>
      <c r="M49" s="17" t="s">
        <v>38</v>
      </c>
      <c r="N49" s="43" t="s">
        <v>50</v>
      </c>
      <c r="O49" s="17" t="s">
        <v>433</v>
      </c>
    </row>
    <row r="50" spans="1:15" x14ac:dyDescent="0.35">
      <c r="A50" s="17">
        <v>209</v>
      </c>
      <c r="B50" s="17">
        <v>1</v>
      </c>
      <c r="C50" s="17" t="s">
        <v>1351</v>
      </c>
      <c r="E50" s="41" t="s">
        <v>45</v>
      </c>
      <c r="F50" s="41" t="s">
        <v>620</v>
      </c>
      <c r="G50" s="17">
        <v>42.05</v>
      </c>
      <c r="H50" s="17">
        <v>3.1166666666666667</v>
      </c>
      <c r="I50" s="17" t="s">
        <v>1330</v>
      </c>
      <c r="J50" s="17">
        <v>627</v>
      </c>
      <c r="K50" s="17" t="s">
        <v>33</v>
      </c>
      <c r="L50" s="17" t="s">
        <v>34</v>
      </c>
      <c r="M50" s="17" t="s">
        <v>38</v>
      </c>
      <c r="N50" s="43" t="s">
        <v>50</v>
      </c>
      <c r="O50" s="17" t="s">
        <v>730</v>
      </c>
    </row>
    <row r="51" spans="1:15" ht="29" hidden="1" x14ac:dyDescent="0.35">
      <c r="A51" s="17">
        <v>215</v>
      </c>
      <c r="B51" s="17">
        <v>1</v>
      </c>
      <c r="C51" s="17">
        <v>1986</v>
      </c>
      <c r="E51" s="41" t="s">
        <v>45</v>
      </c>
      <c r="F51" s="41" t="s">
        <v>622</v>
      </c>
      <c r="G51" s="17">
        <v>38.014400000000002</v>
      </c>
      <c r="H51" s="17">
        <v>-2.8727499999999999</v>
      </c>
      <c r="I51" s="17" t="s">
        <v>1330</v>
      </c>
      <c r="J51" s="17" t="s">
        <v>1330</v>
      </c>
      <c r="K51" s="17" t="s">
        <v>1330</v>
      </c>
      <c r="L51" s="17" t="s">
        <v>34</v>
      </c>
      <c r="M51" s="17" t="s">
        <v>38</v>
      </c>
      <c r="N51" s="43" t="s">
        <v>79</v>
      </c>
      <c r="O51" s="17" t="s">
        <v>48</v>
      </c>
    </row>
    <row r="52" spans="1:15" ht="29" hidden="1" x14ac:dyDescent="0.35">
      <c r="A52" s="17">
        <v>215</v>
      </c>
      <c r="B52" s="17">
        <v>2</v>
      </c>
      <c r="C52" s="17" t="s">
        <v>80</v>
      </c>
      <c r="E52" s="41" t="s">
        <v>45</v>
      </c>
      <c r="F52" s="41" t="s">
        <v>622</v>
      </c>
      <c r="G52" s="17">
        <v>37.946800000000003</v>
      </c>
      <c r="H52" s="17">
        <v>-2.9409999999999998</v>
      </c>
      <c r="I52" s="17" t="s">
        <v>1330</v>
      </c>
      <c r="J52" s="17" t="s">
        <v>1330</v>
      </c>
      <c r="K52" s="17" t="s">
        <v>1330</v>
      </c>
      <c r="L52" s="17" t="s">
        <v>34</v>
      </c>
      <c r="M52" s="17" t="s">
        <v>38</v>
      </c>
      <c r="N52" s="43" t="s">
        <v>79</v>
      </c>
      <c r="O52" s="17" t="s">
        <v>48</v>
      </c>
    </row>
    <row r="53" spans="1:15" ht="58" hidden="1" x14ac:dyDescent="0.35">
      <c r="A53" s="17">
        <v>222</v>
      </c>
      <c r="B53" s="17">
        <v>1</v>
      </c>
      <c r="C53" s="17" t="s">
        <v>1398</v>
      </c>
      <c r="D53" s="17" t="s">
        <v>404</v>
      </c>
      <c r="E53" s="41" t="s">
        <v>74</v>
      </c>
      <c r="F53" s="41" t="s">
        <v>621</v>
      </c>
      <c r="G53" s="17">
        <v>32.755499999999998</v>
      </c>
      <c r="H53" s="17">
        <v>35.021000000000001</v>
      </c>
      <c r="I53" s="17">
        <v>500</v>
      </c>
      <c r="J53" s="17">
        <v>530</v>
      </c>
      <c r="K53" s="17" t="s">
        <v>1330</v>
      </c>
      <c r="L53" s="17" t="s">
        <v>34</v>
      </c>
      <c r="M53" s="17" t="s">
        <v>75</v>
      </c>
      <c r="N53" s="43" t="s">
        <v>81</v>
      </c>
      <c r="O53" s="17" t="s">
        <v>433</v>
      </c>
    </row>
    <row r="54" spans="1:15" ht="58" hidden="1" x14ac:dyDescent="0.35">
      <c r="A54" s="17">
        <v>222</v>
      </c>
      <c r="B54" s="17">
        <v>2</v>
      </c>
      <c r="C54" s="17" t="s">
        <v>1399</v>
      </c>
      <c r="D54" s="17" t="s">
        <v>405</v>
      </c>
      <c r="E54" s="41" t="s">
        <v>74</v>
      </c>
      <c r="F54" s="41" t="s">
        <v>621</v>
      </c>
      <c r="G54" s="17">
        <v>32.755499999999998</v>
      </c>
      <c r="H54" s="17">
        <v>35.021000000000001</v>
      </c>
      <c r="I54" s="17">
        <v>500</v>
      </c>
      <c r="J54" s="17">
        <v>161</v>
      </c>
      <c r="K54" s="17" t="s">
        <v>1330</v>
      </c>
      <c r="L54" s="17" t="s">
        <v>34</v>
      </c>
      <c r="M54" s="17" t="s">
        <v>75</v>
      </c>
      <c r="N54" s="43" t="s">
        <v>81</v>
      </c>
      <c r="O54" s="17" t="s">
        <v>433</v>
      </c>
    </row>
    <row r="55" spans="1:15" ht="58" hidden="1" x14ac:dyDescent="0.35">
      <c r="A55" s="17">
        <v>222</v>
      </c>
      <c r="B55" s="17">
        <v>3</v>
      </c>
      <c r="C55" s="17" t="s">
        <v>1400</v>
      </c>
      <c r="D55" s="17" t="s">
        <v>405</v>
      </c>
      <c r="E55" s="41" t="s">
        <v>74</v>
      </c>
      <c r="F55" s="41" t="s">
        <v>621</v>
      </c>
      <c r="G55" s="17">
        <v>32.755499999999998</v>
      </c>
      <c r="H55" s="17">
        <v>35.021000000000001</v>
      </c>
      <c r="I55" s="17">
        <v>500</v>
      </c>
      <c r="J55" s="17">
        <v>158</v>
      </c>
      <c r="K55" s="17" t="s">
        <v>1330</v>
      </c>
      <c r="L55" s="17" t="s">
        <v>34</v>
      </c>
      <c r="M55" s="17" t="s">
        <v>75</v>
      </c>
      <c r="N55" s="43" t="s">
        <v>81</v>
      </c>
      <c r="O55" s="17" t="s">
        <v>433</v>
      </c>
    </row>
    <row r="56" spans="1:15" x14ac:dyDescent="0.35">
      <c r="A56" s="17">
        <v>240</v>
      </c>
      <c r="B56" s="17">
        <v>1</v>
      </c>
      <c r="C56" s="17" t="s">
        <v>1352</v>
      </c>
      <c r="D56" s="17" t="s">
        <v>404</v>
      </c>
      <c r="E56" s="41" t="s">
        <v>82</v>
      </c>
      <c r="F56" s="41" t="s">
        <v>621</v>
      </c>
      <c r="G56" s="17">
        <v>40.8125</v>
      </c>
      <c r="H56" s="17">
        <v>14.413611111111111</v>
      </c>
      <c r="I56" s="17" t="s">
        <v>1330</v>
      </c>
      <c r="J56" s="17" t="s">
        <v>1330</v>
      </c>
      <c r="K56" s="17" t="s">
        <v>33</v>
      </c>
      <c r="L56" s="17" t="s">
        <v>34</v>
      </c>
      <c r="M56" s="17" t="s">
        <v>38</v>
      </c>
      <c r="N56" s="43" t="s">
        <v>39</v>
      </c>
      <c r="O56" s="17" t="s">
        <v>433</v>
      </c>
    </row>
    <row r="57" spans="1:15" ht="43.5" x14ac:dyDescent="0.35">
      <c r="A57" s="17">
        <v>245</v>
      </c>
      <c r="B57" s="17">
        <v>1</v>
      </c>
      <c r="C57" s="17" t="s">
        <v>1401</v>
      </c>
      <c r="D57" s="17" t="s">
        <v>404</v>
      </c>
      <c r="E57" s="41" t="s">
        <v>37</v>
      </c>
      <c r="F57" s="41" t="s">
        <v>620</v>
      </c>
      <c r="G57" s="17">
        <v>38.975000000000001</v>
      </c>
      <c r="H57" s="17">
        <v>-9.2644444444444449</v>
      </c>
      <c r="I57" s="17">
        <f>(100+350)/2</f>
        <v>225</v>
      </c>
      <c r="J57" s="17">
        <v>570</v>
      </c>
      <c r="K57" s="17" t="s">
        <v>33</v>
      </c>
      <c r="L57" s="17" t="s">
        <v>34</v>
      </c>
      <c r="M57" s="17" t="s">
        <v>459</v>
      </c>
      <c r="N57" s="43" t="s">
        <v>83</v>
      </c>
      <c r="O57" s="17" t="s">
        <v>44</v>
      </c>
    </row>
    <row r="58" spans="1:15" hidden="1" x14ac:dyDescent="0.35">
      <c r="A58" s="17">
        <v>266</v>
      </c>
      <c r="B58" s="17">
        <v>1</v>
      </c>
      <c r="C58" s="17">
        <v>1993</v>
      </c>
      <c r="E58" s="41" t="s">
        <v>45</v>
      </c>
      <c r="F58" s="41" t="s">
        <v>622</v>
      </c>
      <c r="G58" s="17">
        <v>39.39</v>
      </c>
      <c r="H58" s="17">
        <v>-0.93769999999999998</v>
      </c>
      <c r="I58" s="17" t="s">
        <v>1330</v>
      </c>
      <c r="J58" s="17">
        <v>26000</v>
      </c>
      <c r="K58" s="17" t="s">
        <v>1330</v>
      </c>
      <c r="L58" s="17" t="s">
        <v>51</v>
      </c>
      <c r="M58" s="17" t="s">
        <v>38</v>
      </c>
      <c r="N58" s="43" t="s">
        <v>50</v>
      </c>
      <c r="O58" s="17" t="s">
        <v>433</v>
      </c>
    </row>
    <row r="59" spans="1:15" x14ac:dyDescent="0.35">
      <c r="A59" s="17">
        <v>266</v>
      </c>
      <c r="B59" s="17">
        <v>2</v>
      </c>
      <c r="C59" s="17" t="s">
        <v>57</v>
      </c>
      <c r="E59" s="41" t="s">
        <v>45</v>
      </c>
      <c r="F59" s="41" t="s">
        <v>622</v>
      </c>
      <c r="G59" s="17">
        <v>39.39</v>
      </c>
      <c r="H59" s="17">
        <v>-0.93769999999999998</v>
      </c>
      <c r="I59" s="17" t="s">
        <v>1330</v>
      </c>
      <c r="J59" s="17">
        <v>140000</v>
      </c>
      <c r="K59" s="17" t="s">
        <v>33</v>
      </c>
      <c r="L59" s="17" t="s">
        <v>51</v>
      </c>
      <c r="M59" s="17" t="s">
        <v>38</v>
      </c>
      <c r="N59" s="43" t="s">
        <v>50</v>
      </c>
      <c r="O59" s="17" t="s">
        <v>433</v>
      </c>
    </row>
    <row r="60" spans="1:15" hidden="1" x14ac:dyDescent="0.35">
      <c r="A60" s="17">
        <v>270</v>
      </c>
      <c r="B60" s="17">
        <v>1</v>
      </c>
      <c r="C60" s="17" t="s">
        <v>84</v>
      </c>
      <c r="E60" s="41" t="s">
        <v>45</v>
      </c>
      <c r="F60" s="41" t="s">
        <v>622</v>
      </c>
      <c r="G60" s="17">
        <v>41.617699999999999</v>
      </c>
      <c r="H60" s="17">
        <v>1.7599899999999999</v>
      </c>
      <c r="I60" s="17">
        <v>259</v>
      </c>
      <c r="J60" s="17">
        <v>205</v>
      </c>
      <c r="K60" s="17" t="s">
        <v>1330</v>
      </c>
      <c r="L60" s="17" t="s">
        <v>51</v>
      </c>
      <c r="M60" s="17" t="s">
        <v>38</v>
      </c>
      <c r="N60" s="43" t="s">
        <v>50</v>
      </c>
      <c r="O60" s="17" t="s">
        <v>433</v>
      </c>
    </row>
    <row r="61" spans="1:15" hidden="1" x14ac:dyDescent="0.35">
      <c r="A61" s="17">
        <v>270</v>
      </c>
      <c r="B61" s="17">
        <v>2</v>
      </c>
      <c r="C61" s="17" t="s">
        <v>84</v>
      </c>
      <c r="E61" s="41" t="s">
        <v>45</v>
      </c>
      <c r="F61" s="41" t="s">
        <v>622</v>
      </c>
      <c r="G61" s="17">
        <v>41.617699999999999</v>
      </c>
      <c r="H61" s="17">
        <v>1.7599899999999999</v>
      </c>
      <c r="I61" s="17">
        <v>225</v>
      </c>
      <c r="J61" s="17">
        <v>96</v>
      </c>
      <c r="K61" s="17" t="s">
        <v>1330</v>
      </c>
      <c r="L61" s="17" t="s">
        <v>51</v>
      </c>
      <c r="M61" s="17" t="s">
        <v>38</v>
      </c>
      <c r="N61" s="43" t="s">
        <v>50</v>
      </c>
      <c r="O61" s="17" t="s">
        <v>433</v>
      </c>
    </row>
    <row r="62" spans="1:15" hidden="1" x14ac:dyDescent="0.35">
      <c r="A62" s="17">
        <v>270</v>
      </c>
      <c r="B62" s="17">
        <v>3</v>
      </c>
      <c r="C62" s="17">
        <v>1991</v>
      </c>
      <c r="E62" s="41" t="s">
        <v>45</v>
      </c>
      <c r="F62" s="41" t="s">
        <v>622</v>
      </c>
      <c r="G62" s="17">
        <v>41.617699999999999</v>
      </c>
      <c r="H62" s="17">
        <v>1.7599899999999999</v>
      </c>
      <c r="I62" s="17">
        <v>177</v>
      </c>
      <c r="J62" s="17">
        <v>257</v>
      </c>
      <c r="K62" s="17" t="s">
        <v>1330</v>
      </c>
      <c r="L62" s="17" t="s">
        <v>51</v>
      </c>
      <c r="M62" s="17" t="s">
        <v>38</v>
      </c>
      <c r="N62" s="43" t="s">
        <v>50</v>
      </c>
      <c r="O62" s="17" t="s">
        <v>433</v>
      </c>
    </row>
    <row r="63" spans="1:15" hidden="1" x14ac:dyDescent="0.35">
      <c r="A63" s="17">
        <v>270</v>
      </c>
      <c r="B63" s="17">
        <v>4</v>
      </c>
      <c r="C63" s="17">
        <v>1986</v>
      </c>
      <c r="E63" s="41" t="s">
        <v>45</v>
      </c>
      <c r="F63" s="41" t="s">
        <v>622</v>
      </c>
      <c r="G63" s="17">
        <v>41.617699999999999</v>
      </c>
      <c r="H63" s="17">
        <v>1.7599899999999999</v>
      </c>
      <c r="I63" s="17">
        <v>275</v>
      </c>
      <c r="J63" s="17">
        <v>48</v>
      </c>
      <c r="K63" s="17" t="s">
        <v>1330</v>
      </c>
      <c r="L63" s="17" t="s">
        <v>51</v>
      </c>
      <c r="M63" s="17" t="s">
        <v>38</v>
      </c>
      <c r="N63" s="43" t="s">
        <v>50</v>
      </c>
      <c r="O63" s="17" t="s">
        <v>433</v>
      </c>
    </row>
    <row r="64" spans="1:15" hidden="1" x14ac:dyDescent="0.35">
      <c r="A64" s="17">
        <v>270</v>
      </c>
      <c r="B64" s="17">
        <v>5</v>
      </c>
      <c r="C64" s="17" t="s">
        <v>1353</v>
      </c>
      <c r="D64" s="17" t="s">
        <v>404</v>
      </c>
      <c r="E64" s="41" t="s">
        <v>45</v>
      </c>
      <c r="F64" s="41" t="s">
        <v>622</v>
      </c>
      <c r="G64" s="17">
        <v>41.617699999999999</v>
      </c>
      <c r="H64" s="17">
        <v>1.7599899999999999</v>
      </c>
      <c r="I64" s="17">
        <v>192</v>
      </c>
      <c r="J64" s="17">
        <v>1335</v>
      </c>
      <c r="K64" s="17" t="s">
        <v>1330</v>
      </c>
      <c r="L64" s="17" t="s">
        <v>51</v>
      </c>
      <c r="M64" s="17" t="s">
        <v>38</v>
      </c>
      <c r="N64" s="43" t="s">
        <v>50</v>
      </c>
      <c r="O64" s="17" t="s">
        <v>433</v>
      </c>
    </row>
    <row r="65" spans="1:15" hidden="1" x14ac:dyDescent="0.35">
      <c r="A65" s="17">
        <v>270</v>
      </c>
      <c r="B65" s="17">
        <v>6</v>
      </c>
      <c r="C65" s="17" t="s">
        <v>85</v>
      </c>
      <c r="E65" s="41" t="s">
        <v>45</v>
      </c>
      <c r="F65" s="41" t="s">
        <v>622</v>
      </c>
      <c r="G65" s="17">
        <v>41.617699999999999</v>
      </c>
      <c r="H65" s="17">
        <v>1.7599899999999999</v>
      </c>
      <c r="I65" s="17">
        <v>555</v>
      </c>
      <c r="J65" s="17">
        <v>140</v>
      </c>
      <c r="K65" s="17" t="s">
        <v>1330</v>
      </c>
      <c r="L65" s="17" t="s">
        <v>51</v>
      </c>
      <c r="M65" s="17" t="s">
        <v>38</v>
      </c>
      <c r="N65" s="43" t="s">
        <v>50</v>
      </c>
      <c r="O65" s="17" t="s">
        <v>433</v>
      </c>
    </row>
    <row r="66" spans="1:15" hidden="1" x14ac:dyDescent="0.35">
      <c r="A66" s="17">
        <v>270</v>
      </c>
      <c r="B66" s="17">
        <v>7</v>
      </c>
      <c r="C66" s="17" t="s">
        <v>1354</v>
      </c>
      <c r="D66" s="17" t="s">
        <v>404</v>
      </c>
      <c r="E66" s="41" t="s">
        <v>45</v>
      </c>
      <c r="F66" s="41" t="s">
        <v>622</v>
      </c>
      <c r="G66" s="17">
        <v>41.617699999999999</v>
      </c>
      <c r="H66" s="17">
        <v>1.7599899999999999</v>
      </c>
      <c r="I66" s="17">
        <v>400</v>
      </c>
      <c r="J66" s="17">
        <v>334</v>
      </c>
      <c r="K66" s="17" t="s">
        <v>1330</v>
      </c>
      <c r="L66" s="17" t="s">
        <v>51</v>
      </c>
      <c r="M66" s="17" t="s">
        <v>38</v>
      </c>
      <c r="N66" s="43" t="s">
        <v>50</v>
      </c>
      <c r="O66" s="17" t="s">
        <v>433</v>
      </c>
    </row>
    <row r="67" spans="1:15" hidden="1" x14ac:dyDescent="0.35">
      <c r="A67" s="17">
        <v>270</v>
      </c>
      <c r="B67" s="17">
        <v>8</v>
      </c>
      <c r="C67" s="17" t="s">
        <v>1355</v>
      </c>
      <c r="D67" s="17" t="s">
        <v>404</v>
      </c>
      <c r="E67" s="41" t="s">
        <v>45</v>
      </c>
      <c r="F67" s="41" t="s">
        <v>622</v>
      </c>
      <c r="G67" s="17">
        <v>41.617699999999999</v>
      </c>
      <c r="H67" s="17">
        <v>1.7599899999999999</v>
      </c>
      <c r="I67" s="17">
        <v>460</v>
      </c>
      <c r="J67" s="17">
        <v>980</v>
      </c>
      <c r="K67" s="17" t="s">
        <v>1330</v>
      </c>
      <c r="L67" s="17" t="s">
        <v>51</v>
      </c>
      <c r="M67" s="17" t="s">
        <v>38</v>
      </c>
      <c r="N67" s="43" t="s">
        <v>50</v>
      </c>
      <c r="O67" s="17" t="s">
        <v>433</v>
      </c>
    </row>
    <row r="68" spans="1:15" hidden="1" x14ac:dyDescent="0.35">
      <c r="A68" s="17">
        <v>270</v>
      </c>
      <c r="B68" s="17">
        <v>9</v>
      </c>
      <c r="C68" s="17" t="s">
        <v>1356</v>
      </c>
      <c r="D68" s="17" t="s">
        <v>404</v>
      </c>
      <c r="E68" s="41" t="s">
        <v>45</v>
      </c>
      <c r="F68" s="41" t="s">
        <v>622</v>
      </c>
      <c r="G68" s="17">
        <v>41.617699999999999</v>
      </c>
      <c r="H68" s="17">
        <v>1.7599899999999999</v>
      </c>
      <c r="I68" s="17">
        <v>758</v>
      </c>
      <c r="J68" s="17">
        <v>54</v>
      </c>
      <c r="K68" s="17" t="s">
        <v>1330</v>
      </c>
      <c r="L68" s="17" t="s">
        <v>51</v>
      </c>
      <c r="M68" s="17" t="s">
        <v>38</v>
      </c>
      <c r="N68" s="43" t="s">
        <v>50</v>
      </c>
      <c r="O68" s="17" t="s">
        <v>433</v>
      </c>
    </row>
    <row r="69" spans="1:15" hidden="1" x14ac:dyDescent="0.35">
      <c r="A69" s="17">
        <v>270</v>
      </c>
      <c r="B69" s="17">
        <v>10</v>
      </c>
      <c r="C69" s="17" t="s">
        <v>53</v>
      </c>
      <c r="E69" s="41" t="s">
        <v>45</v>
      </c>
      <c r="F69" s="41" t="s">
        <v>622</v>
      </c>
      <c r="G69" s="17">
        <v>41.617699999999999</v>
      </c>
      <c r="H69" s="17">
        <v>1.7599899999999999</v>
      </c>
      <c r="I69" s="17">
        <v>651</v>
      </c>
      <c r="J69" s="17">
        <v>3176</v>
      </c>
      <c r="K69" s="17" t="s">
        <v>1330</v>
      </c>
      <c r="L69" s="17" t="s">
        <v>51</v>
      </c>
      <c r="M69" s="17" t="s">
        <v>38</v>
      </c>
      <c r="N69" s="43" t="s">
        <v>50</v>
      </c>
      <c r="O69" s="17" t="s">
        <v>433</v>
      </c>
    </row>
    <row r="70" spans="1:15" hidden="1" x14ac:dyDescent="0.35">
      <c r="A70" s="17">
        <v>270</v>
      </c>
      <c r="B70" s="17">
        <v>11</v>
      </c>
      <c r="C70" s="17" t="s">
        <v>1357</v>
      </c>
      <c r="D70" s="17" t="s">
        <v>403</v>
      </c>
      <c r="E70" s="41" t="s">
        <v>45</v>
      </c>
      <c r="F70" s="41" t="s">
        <v>622</v>
      </c>
      <c r="G70" s="17">
        <v>41.617699999999999</v>
      </c>
      <c r="H70" s="17">
        <v>1.7599899999999999</v>
      </c>
      <c r="I70" s="17">
        <v>317</v>
      </c>
      <c r="J70" s="17">
        <v>137</v>
      </c>
      <c r="K70" s="17" t="s">
        <v>1330</v>
      </c>
      <c r="L70" s="17" t="s">
        <v>51</v>
      </c>
      <c r="M70" s="17" t="s">
        <v>38</v>
      </c>
      <c r="N70" s="43" t="s">
        <v>50</v>
      </c>
      <c r="O70" s="17" t="s">
        <v>433</v>
      </c>
    </row>
    <row r="71" spans="1:15" hidden="1" x14ac:dyDescent="0.35">
      <c r="A71" s="17">
        <v>270</v>
      </c>
      <c r="B71" s="17">
        <v>12</v>
      </c>
      <c r="C71" s="17" t="s">
        <v>1358</v>
      </c>
      <c r="D71" s="17" t="s">
        <v>405</v>
      </c>
      <c r="E71" s="41" t="s">
        <v>45</v>
      </c>
      <c r="F71" s="41" t="s">
        <v>622</v>
      </c>
      <c r="G71" s="17">
        <v>41.617699999999999</v>
      </c>
      <c r="H71" s="17">
        <v>1.7599899999999999</v>
      </c>
      <c r="I71" s="17">
        <v>606</v>
      </c>
      <c r="J71" s="17">
        <v>120</v>
      </c>
      <c r="K71" s="17" t="s">
        <v>1330</v>
      </c>
      <c r="L71" s="17" t="s">
        <v>51</v>
      </c>
      <c r="M71" s="17" t="s">
        <v>38</v>
      </c>
      <c r="N71" s="43" t="s">
        <v>50</v>
      </c>
      <c r="O71" s="17" t="s">
        <v>433</v>
      </c>
    </row>
    <row r="72" spans="1:15" hidden="1" x14ac:dyDescent="0.35">
      <c r="A72" s="17">
        <v>270</v>
      </c>
      <c r="B72" s="17">
        <v>13</v>
      </c>
      <c r="C72" s="17" t="s">
        <v>1359</v>
      </c>
      <c r="D72" s="17" t="s">
        <v>404</v>
      </c>
      <c r="E72" s="41" t="s">
        <v>45</v>
      </c>
      <c r="F72" s="41" t="s">
        <v>622</v>
      </c>
      <c r="G72" s="17">
        <v>41.617699999999999</v>
      </c>
      <c r="H72" s="17">
        <v>1.7599899999999999</v>
      </c>
      <c r="I72" s="17">
        <v>469</v>
      </c>
      <c r="J72" s="17">
        <v>1078</v>
      </c>
      <c r="K72" s="17" t="s">
        <v>1330</v>
      </c>
      <c r="L72" s="17" t="s">
        <v>51</v>
      </c>
      <c r="M72" s="17" t="s">
        <v>38</v>
      </c>
      <c r="N72" s="43" t="s">
        <v>50</v>
      </c>
      <c r="O72" s="17" t="s">
        <v>433</v>
      </c>
    </row>
    <row r="73" spans="1:15" hidden="1" x14ac:dyDescent="0.35">
      <c r="A73" s="17">
        <v>270</v>
      </c>
      <c r="B73" s="17">
        <v>14</v>
      </c>
      <c r="C73" s="17" t="s">
        <v>1360</v>
      </c>
      <c r="D73" s="17" t="s">
        <v>404</v>
      </c>
      <c r="E73" s="41" t="s">
        <v>45</v>
      </c>
      <c r="F73" s="41" t="s">
        <v>622</v>
      </c>
      <c r="G73" s="17">
        <v>41.617699999999999</v>
      </c>
      <c r="H73" s="17">
        <v>1.7599899999999999</v>
      </c>
      <c r="I73" s="17">
        <v>419</v>
      </c>
      <c r="J73" s="17">
        <v>619</v>
      </c>
      <c r="K73" s="17" t="s">
        <v>1330</v>
      </c>
      <c r="L73" s="17" t="s">
        <v>51</v>
      </c>
      <c r="M73" s="17" t="s">
        <v>38</v>
      </c>
      <c r="N73" s="43" t="s">
        <v>50</v>
      </c>
      <c r="O73" s="17" t="s">
        <v>433</v>
      </c>
    </row>
    <row r="74" spans="1:15" hidden="1" x14ac:dyDescent="0.35">
      <c r="A74" s="17">
        <v>270</v>
      </c>
      <c r="B74" s="17">
        <v>15</v>
      </c>
      <c r="C74" s="17" t="s">
        <v>1361</v>
      </c>
      <c r="D74" s="17" t="s">
        <v>404</v>
      </c>
      <c r="E74" s="41" t="s">
        <v>45</v>
      </c>
      <c r="F74" s="41" t="s">
        <v>622</v>
      </c>
      <c r="G74" s="17">
        <v>41.617699999999999</v>
      </c>
      <c r="H74" s="17">
        <v>1.7599899999999999</v>
      </c>
      <c r="I74" s="17">
        <v>234</v>
      </c>
      <c r="J74" s="17">
        <v>1890</v>
      </c>
      <c r="K74" s="17" t="s">
        <v>1330</v>
      </c>
      <c r="L74" s="17" t="s">
        <v>51</v>
      </c>
      <c r="M74" s="17" t="s">
        <v>38</v>
      </c>
      <c r="N74" s="43" t="s">
        <v>50</v>
      </c>
      <c r="O74" s="17" t="s">
        <v>433</v>
      </c>
    </row>
    <row r="75" spans="1:15" hidden="1" x14ac:dyDescent="0.35">
      <c r="A75" s="17">
        <v>270</v>
      </c>
      <c r="B75" s="17">
        <v>16</v>
      </c>
      <c r="C75" s="17" t="s">
        <v>1362</v>
      </c>
      <c r="D75" s="17" t="s">
        <v>404</v>
      </c>
      <c r="E75" s="41" t="s">
        <v>45</v>
      </c>
      <c r="F75" s="41" t="s">
        <v>622</v>
      </c>
      <c r="G75" s="17">
        <v>41.617699999999999</v>
      </c>
      <c r="H75" s="17">
        <v>1.7599899999999999</v>
      </c>
      <c r="I75" s="17">
        <v>502</v>
      </c>
      <c r="J75" s="17">
        <v>406</v>
      </c>
      <c r="K75" s="17" t="s">
        <v>1330</v>
      </c>
      <c r="L75" s="17" t="s">
        <v>51</v>
      </c>
      <c r="M75" s="17" t="s">
        <v>38</v>
      </c>
      <c r="N75" s="43" t="s">
        <v>50</v>
      </c>
      <c r="O75" s="17" t="s">
        <v>433</v>
      </c>
    </row>
    <row r="76" spans="1:15" hidden="1" x14ac:dyDescent="0.35">
      <c r="A76" s="17">
        <v>270</v>
      </c>
      <c r="B76" s="17">
        <v>17</v>
      </c>
      <c r="C76" s="17" t="s">
        <v>1363</v>
      </c>
      <c r="D76" s="17" t="s">
        <v>403</v>
      </c>
      <c r="E76" s="41" t="s">
        <v>45</v>
      </c>
      <c r="F76" s="41" t="s">
        <v>622</v>
      </c>
      <c r="G76" s="17">
        <v>41.617699999999999</v>
      </c>
      <c r="H76" s="17">
        <v>1.7599899999999999</v>
      </c>
      <c r="I76" s="17">
        <v>412</v>
      </c>
      <c r="J76" s="17">
        <v>70</v>
      </c>
      <c r="K76" s="17" t="s">
        <v>1330</v>
      </c>
      <c r="L76" s="17" t="s">
        <v>51</v>
      </c>
      <c r="M76" s="17" t="s">
        <v>38</v>
      </c>
      <c r="N76" s="43" t="s">
        <v>50</v>
      </c>
      <c r="O76" s="17" t="s">
        <v>433</v>
      </c>
    </row>
    <row r="77" spans="1:15" hidden="1" x14ac:dyDescent="0.35">
      <c r="A77" s="17">
        <v>270</v>
      </c>
      <c r="B77" s="17">
        <v>18</v>
      </c>
      <c r="C77" s="17" t="s">
        <v>1364</v>
      </c>
      <c r="D77" s="17" t="s">
        <v>404</v>
      </c>
      <c r="E77" s="41" t="s">
        <v>45</v>
      </c>
      <c r="F77" s="41" t="s">
        <v>622</v>
      </c>
      <c r="G77" s="17">
        <v>41.617699999999999</v>
      </c>
      <c r="H77" s="17">
        <v>1.7599899999999999</v>
      </c>
      <c r="I77" s="17">
        <v>460</v>
      </c>
      <c r="J77" s="17">
        <v>83</v>
      </c>
      <c r="K77" s="17" t="s">
        <v>1330</v>
      </c>
      <c r="L77" s="17" t="s">
        <v>51</v>
      </c>
      <c r="M77" s="17" t="s">
        <v>38</v>
      </c>
      <c r="N77" s="43" t="s">
        <v>50</v>
      </c>
      <c r="O77" s="17" t="s">
        <v>433</v>
      </c>
    </row>
    <row r="78" spans="1:15" hidden="1" x14ac:dyDescent="0.35">
      <c r="A78" s="17">
        <v>270</v>
      </c>
      <c r="B78" s="17">
        <v>19</v>
      </c>
      <c r="C78" s="17" t="s">
        <v>1365</v>
      </c>
      <c r="D78" s="17" t="s">
        <v>404</v>
      </c>
      <c r="E78" s="41" t="s">
        <v>45</v>
      </c>
      <c r="F78" s="41" t="s">
        <v>622</v>
      </c>
      <c r="G78" s="17">
        <v>41.617699999999999</v>
      </c>
      <c r="H78" s="17">
        <v>1.7599899999999999</v>
      </c>
      <c r="I78" s="17">
        <v>740</v>
      </c>
      <c r="J78" s="17">
        <v>159</v>
      </c>
      <c r="K78" s="17" t="s">
        <v>1330</v>
      </c>
      <c r="L78" s="17" t="s">
        <v>51</v>
      </c>
      <c r="M78" s="17" t="s">
        <v>38</v>
      </c>
      <c r="N78" s="43" t="s">
        <v>50</v>
      </c>
      <c r="O78" s="17" t="s">
        <v>433</v>
      </c>
    </row>
    <row r="79" spans="1:15" hidden="1" x14ac:dyDescent="0.35">
      <c r="A79" s="17">
        <v>270</v>
      </c>
      <c r="B79" s="17">
        <v>20</v>
      </c>
      <c r="C79" s="17" t="s">
        <v>1366</v>
      </c>
      <c r="D79" s="17" t="s">
        <v>403</v>
      </c>
      <c r="E79" s="41" t="s">
        <v>45</v>
      </c>
      <c r="F79" s="41" t="s">
        <v>622</v>
      </c>
      <c r="G79" s="17">
        <v>41.617699999999999</v>
      </c>
      <c r="H79" s="17">
        <v>1.7599899999999999</v>
      </c>
      <c r="I79" s="17">
        <v>632</v>
      </c>
      <c r="J79" s="17">
        <v>1310</v>
      </c>
      <c r="K79" s="17" t="s">
        <v>1330</v>
      </c>
      <c r="L79" s="17" t="s">
        <v>51</v>
      </c>
      <c r="M79" s="17" t="s">
        <v>38</v>
      </c>
      <c r="N79" s="43" t="s">
        <v>50</v>
      </c>
      <c r="O79" s="17" t="s">
        <v>433</v>
      </c>
    </row>
    <row r="80" spans="1:15" hidden="1" x14ac:dyDescent="0.35">
      <c r="A80" s="17">
        <v>270</v>
      </c>
      <c r="B80" s="17">
        <v>21</v>
      </c>
      <c r="C80" s="17" t="s">
        <v>1367</v>
      </c>
      <c r="D80" s="17" t="s">
        <v>403</v>
      </c>
      <c r="E80" s="41" t="s">
        <v>45</v>
      </c>
      <c r="F80" s="41" t="s">
        <v>622</v>
      </c>
      <c r="G80" s="17">
        <v>41.617699999999999</v>
      </c>
      <c r="H80" s="17">
        <v>1.7599899999999999</v>
      </c>
      <c r="I80" s="17">
        <v>289</v>
      </c>
      <c r="J80" s="17">
        <v>1360</v>
      </c>
      <c r="K80" s="17" t="s">
        <v>1330</v>
      </c>
      <c r="L80" s="17" t="s">
        <v>51</v>
      </c>
      <c r="M80" s="17" t="s">
        <v>38</v>
      </c>
      <c r="N80" s="43" t="s">
        <v>50</v>
      </c>
      <c r="O80" s="17" t="s">
        <v>433</v>
      </c>
    </row>
    <row r="81" spans="1:15" hidden="1" x14ac:dyDescent="0.35">
      <c r="A81" s="17">
        <v>270</v>
      </c>
      <c r="B81" s="17">
        <v>22</v>
      </c>
      <c r="C81" s="17" t="s">
        <v>1361</v>
      </c>
      <c r="D81" s="17" t="s">
        <v>404</v>
      </c>
      <c r="E81" s="41" t="s">
        <v>45</v>
      </c>
      <c r="F81" s="41" t="s">
        <v>622</v>
      </c>
      <c r="G81" s="17">
        <v>41.617699999999999</v>
      </c>
      <c r="H81" s="17">
        <v>1.7599899999999999</v>
      </c>
      <c r="I81" s="17">
        <v>437</v>
      </c>
      <c r="J81" s="17">
        <v>38976</v>
      </c>
      <c r="K81" s="17" t="s">
        <v>1330</v>
      </c>
      <c r="L81" s="17" t="s">
        <v>51</v>
      </c>
      <c r="M81" s="17" t="s">
        <v>38</v>
      </c>
      <c r="N81" s="43" t="s">
        <v>50</v>
      </c>
      <c r="O81" s="17" t="s">
        <v>433</v>
      </c>
    </row>
    <row r="82" spans="1:15" hidden="1" x14ac:dyDescent="0.35">
      <c r="A82" s="17">
        <v>271</v>
      </c>
      <c r="B82" s="17">
        <v>1</v>
      </c>
      <c r="C82" s="17">
        <v>1981</v>
      </c>
      <c r="E82" s="41" t="s">
        <v>45</v>
      </c>
      <c r="F82" s="41" t="s">
        <v>621</v>
      </c>
      <c r="G82" s="17">
        <v>41.597999999999999</v>
      </c>
      <c r="H82" s="17">
        <v>1.4930000000000001</v>
      </c>
      <c r="I82" s="17" t="s">
        <v>1330</v>
      </c>
      <c r="J82" s="17" t="s">
        <v>1330</v>
      </c>
      <c r="K82" s="17" t="s">
        <v>1330</v>
      </c>
      <c r="L82" s="17" t="s">
        <v>34</v>
      </c>
      <c r="M82" s="17" t="s">
        <v>38</v>
      </c>
      <c r="N82" s="43" t="s">
        <v>50</v>
      </c>
      <c r="O82" s="17" t="s">
        <v>44</v>
      </c>
    </row>
    <row r="83" spans="1:15" hidden="1" x14ac:dyDescent="0.35">
      <c r="A83" s="17">
        <v>271</v>
      </c>
      <c r="B83" s="17">
        <v>2</v>
      </c>
      <c r="C83" s="17" t="s">
        <v>55</v>
      </c>
      <c r="E83" s="41" t="s">
        <v>45</v>
      </c>
      <c r="F83" s="41" t="s">
        <v>621</v>
      </c>
      <c r="G83" s="17">
        <v>41.658999999999999</v>
      </c>
      <c r="H83" s="17">
        <v>1.62096</v>
      </c>
      <c r="I83" s="17" t="s">
        <v>1330</v>
      </c>
      <c r="J83" s="17" t="s">
        <v>1330</v>
      </c>
      <c r="K83" s="17" t="s">
        <v>1330</v>
      </c>
      <c r="L83" s="17" t="s">
        <v>34</v>
      </c>
      <c r="M83" s="17" t="s">
        <v>38</v>
      </c>
      <c r="N83" s="43" t="s">
        <v>50</v>
      </c>
      <c r="O83" s="17" t="s">
        <v>44</v>
      </c>
    </row>
    <row r="84" spans="1:15" hidden="1" x14ac:dyDescent="0.35">
      <c r="A84" s="17">
        <v>271</v>
      </c>
      <c r="B84" s="17">
        <v>3</v>
      </c>
      <c r="C84" s="17">
        <v>1993</v>
      </c>
      <c r="E84" s="41" t="s">
        <v>45</v>
      </c>
      <c r="F84" s="41" t="s">
        <v>621</v>
      </c>
      <c r="G84" s="17">
        <v>41.773499999999999</v>
      </c>
      <c r="H84" s="17">
        <v>1.71</v>
      </c>
      <c r="I84" s="17" t="s">
        <v>1330</v>
      </c>
      <c r="J84" s="17" t="s">
        <v>1330</v>
      </c>
      <c r="K84" s="17" t="s">
        <v>1330</v>
      </c>
      <c r="L84" s="17" t="s">
        <v>34</v>
      </c>
      <c r="M84" s="17" t="s">
        <v>38</v>
      </c>
      <c r="N84" s="43" t="s">
        <v>50</v>
      </c>
      <c r="O84" s="17" t="s">
        <v>44</v>
      </c>
    </row>
    <row r="85" spans="1:15" hidden="1" x14ac:dyDescent="0.35">
      <c r="A85" s="17">
        <v>280</v>
      </c>
      <c r="B85" s="17">
        <v>1</v>
      </c>
      <c r="C85" s="17">
        <v>1959</v>
      </c>
      <c r="E85" s="41" t="s">
        <v>86</v>
      </c>
      <c r="F85" s="41" t="s">
        <v>620</v>
      </c>
      <c r="G85" s="17">
        <v>43.2807958</v>
      </c>
      <c r="H85" s="17">
        <v>6.3869999999999996</v>
      </c>
      <c r="I85" s="17" t="s">
        <v>1330</v>
      </c>
      <c r="J85" s="17" t="s">
        <v>1330</v>
      </c>
      <c r="K85" s="17" t="s">
        <v>1330</v>
      </c>
      <c r="L85" s="17" t="s">
        <v>51</v>
      </c>
      <c r="M85" s="17" t="s">
        <v>460</v>
      </c>
      <c r="N85" s="17" t="s">
        <v>87</v>
      </c>
      <c r="O85" s="17" t="s">
        <v>433</v>
      </c>
    </row>
    <row r="86" spans="1:15" hidden="1" x14ac:dyDescent="0.35">
      <c r="A86" s="17">
        <v>280</v>
      </c>
      <c r="B86" s="17">
        <v>2</v>
      </c>
      <c r="C86" s="17">
        <v>1959</v>
      </c>
      <c r="E86" s="41" t="s">
        <v>86</v>
      </c>
      <c r="F86" s="41" t="s">
        <v>620</v>
      </c>
      <c r="G86" s="17">
        <v>43.2807958</v>
      </c>
      <c r="H86" s="17">
        <v>6.3869999999999996</v>
      </c>
      <c r="I86" s="17" t="s">
        <v>1330</v>
      </c>
      <c r="J86" s="17" t="s">
        <v>1330</v>
      </c>
      <c r="K86" s="17" t="s">
        <v>1330</v>
      </c>
      <c r="L86" s="17" t="s">
        <v>51</v>
      </c>
      <c r="M86" s="17" t="s">
        <v>460</v>
      </c>
      <c r="N86" s="17" t="s">
        <v>87</v>
      </c>
      <c r="O86" s="17" t="s">
        <v>433</v>
      </c>
    </row>
    <row r="87" spans="1:15" hidden="1" x14ac:dyDescent="0.35">
      <c r="A87" s="17">
        <v>280</v>
      </c>
      <c r="B87" s="17">
        <v>3</v>
      </c>
      <c r="C87" s="17">
        <v>1959</v>
      </c>
      <c r="E87" s="41" t="s">
        <v>86</v>
      </c>
      <c r="F87" s="41" t="s">
        <v>620</v>
      </c>
      <c r="G87" s="17">
        <v>43.2807958</v>
      </c>
      <c r="H87" s="17">
        <v>6.3869999999999996</v>
      </c>
      <c r="I87" s="17" t="s">
        <v>1330</v>
      </c>
      <c r="J87" s="17" t="s">
        <v>1330</v>
      </c>
      <c r="K87" s="17" t="s">
        <v>1330</v>
      </c>
      <c r="L87" s="17" t="s">
        <v>51</v>
      </c>
      <c r="M87" s="17" t="s">
        <v>460</v>
      </c>
      <c r="N87" s="17" t="s">
        <v>87</v>
      </c>
      <c r="O87" s="17" t="s">
        <v>433</v>
      </c>
    </row>
    <row r="88" spans="1:15" hidden="1" x14ac:dyDescent="0.35">
      <c r="A88" s="17">
        <v>280</v>
      </c>
      <c r="B88" s="17">
        <v>4</v>
      </c>
      <c r="C88" s="17">
        <v>1959</v>
      </c>
      <c r="E88" s="41" t="s">
        <v>86</v>
      </c>
      <c r="F88" s="41" t="s">
        <v>620</v>
      </c>
      <c r="G88" s="17">
        <v>43.2807958</v>
      </c>
      <c r="H88" s="17">
        <v>6.3869999999999996</v>
      </c>
      <c r="I88" s="17" t="s">
        <v>1330</v>
      </c>
      <c r="J88" s="17" t="s">
        <v>1330</v>
      </c>
      <c r="K88" s="17" t="s">
        <v>1330</v>
      </c>
      <c r="L88" s="17" t="s">
        <v>51</v>
      </c>
      <c r="M88" s="17" t="s">
        <v>460</v>
      </c>
      <c r="N88" s="17" t="s">
        <v>87</v>
      </c>
      <c r="O88" s="17" t="s">
        <v>433</v>
      </c>
    </row>
    <row r="89" spans="1:15" hidden="1" x14ac:dyDescent="0.35">
      <c r="A89" s="17">
        <v>280</v>
      </c>
      <c r="B89" s="17">
        <v>5</v>
      </c>
      <c r="C89" s="17">
        <v>1959</v>
      </c>
      <c r="E89" s="41" t="s">
        <v>86</v>
      </c>
      <c r="F89" s="41" t="s">
        <v>620</v>
      </c>
      <c r="G89" s="17">
        <v>43.2807958</v>
      </c>
      <c r="H89" s="17">
        <v>6.3869999999999996</v>
      </c>
      <c r="I89" s="17" t="s">
        <v>1330</v>
      </c>
      <c r="J89" s="17" t="s">
        <v>1330</v>
      </c>
      <c r="K89" s="17" t="s">
        <v>1330</v>
      </c>
      <c r="L89" s="17" t="s">
        <v>51</v>
      </c>
      <c r="M89" s="17" t="s">
        <v>460</v>
      </c>
      <c r="N89" s="17" t="s">
        <v>87</v>
      </c>
      <c r="O89" s="17" t="s">
        <v>433</v>
      </c>
    </row>
    <row r="90" spans="1:15" hidden="1" x14ac:dyDescent="0.35">
      <c r="A90" s="17">
        <v>280</v>
      </c>
      <c r="B90" s="17">
        <v>6</v>
      </c>
      <c r="C90" s="17">
        <v>1959</v>
      </c>
      <c r="E90" s="41" t="s">
        <v>86</v>
      </c>
      <c r="F90" s="41" t="s">
        <v>620</v>
      </c>
      <c r="G90" s="17">
        <v>43.2807958</v>
      </c>
      <c r="H90" s="17">
        <v>6.3869999999999996</v>
      </c>
      <c r="I90" s="17" t="s">
        <v>1330</v>
      </c>
      <c r="J90" s="17" t="s">
        <v>1330</v>
      </c>
      <c r="K90" s="17" t="s">
        <v>1330</v>
      </c>
      <c r="L90" s="17" t="s">
        <v>51</v>
      </c>
      <c r="M90" s="17" t="s">
        <v>460</v>
      </c>
      <c r="N90" s="17" t="s">
        <v>87</v>
      </c>
      <c r="O90" s="17" t="s">
        <v>433</v>
      </c>
    </row>
    <row r="91" spans="1:15" hidden="1" x14ac:dyDescent="0.35">
      <c r="A91" s="17">
        <v>280</v>
      </c>
      <c r="B91" s="17">
        <v>7</v>
      </c>
      <c r="C91" s="17">
        <v>1959</v>
      </c>
      <c r="E91" s="41" t="s">
        <v>86</v>
      </c>
      <c r="F91" s="41" t="s">
        <v>620</v>
      </c>
      <c r="G91" s="17">
        <v>43.2807958</v>
      </c>
      <c r="H91" s="17">
        <v>6.3869999999999996</v>
      </c>
      <c r="I91" s="17" t="s">
        <v>1330</v>
      </c>
      <c r="J91" s="17" t="s">
        <v>1330</v>
      </c>
      <c r="K91" s="17" t="s">
        <v>1330</v>
      </c>
      <c r="L91" s="17" t="s">
        <v>51</v>
      </c>
      <c r="M91" s="17" t="s">
        <v>460</v>
      </c>
      <c r="N91" s="17" t="s">
        <v>87</v>
      </c>
      <c r="O91" s="17" t="s">
        <v>433</v>
      </c>
    </row>
    <row r="92" spans="1:15" hidden="1" x14ac:dyDescent="0.35">
      <c r="A92" s="17">
        <v>280</v>
      </c>
      <c r="B92" s="17">
        <v>8</v>
      </c>
      <c r="C92" s="17">
        <v>1959</v>
      </c>
      <c r="E92" s="41" t="s">
        <v>86</v>
      </c>
      <c r="F92" s="41" t="s">
        <v>620</v>
      </c>
      <c r="G92" s="17">
        <v>43.2807958</v>
      </c>
      <c r="H92" s="17">
        <v>6.3869999999999996</v>
      </c>
      <c r="I92" s="17" t="s">
        <v>1330</v>
      </c>
      <c r="J92" s="17" t="s">
        <v>1330</v>
      </c>
      <c r="K92" s="17" t="s">
        <v>1330</v>
      </c>
      <c r="L92" s="17" t="s">
        <v>51</v>
      </c>
      <c r="M92" s="17" t="s">
        <v>460</v>
      </c>
      <c r="N92" s="17" t="s">
        <v>87</v>
      </c>
      <c r="O92" s="17" t="s">
        <v>433</v>
      </c>
    </row>
    <row r="93" spans="1:15" hidden="1" x14ac:dyDescent="0.35">
      <c r="A93" s="17">
        <v>280</v>
      </c>
      <c r="B93" s="17">
        <v>9</v>
      </c>
      <c r="C93" s="17">
        <v>1959</v>
      </c>
      <c r="E93" s="41" t="s">
        <v>86</v>
      </c>
      <c r="F93" s="41" t="s">
        <v>620</v>
      </c>
      <c r="G93" s="17">
        <v>43.2807958</v>
      </c>
      <c r="H93" s="17">
        <v>6.3869999999999996</v>
      </c>
      <c r="I93" s="17" t="s">
        <v>1330</v>
      </c>
      <c r="J93" s="17" t="s">
        <v>1330</v>
      </c>
      <c r="K93" s="17" t="s">
        <v>1330</v>
      </c>
      <c r="L93" s="17" t="s">
        <v>51</v>
      </c>
      <c r="M93" s="17" t="s">
        <v>460</v>
      </c>
      <c r="N93" s="17" t="s">
        <v>87</v>
      </c>
      <c r="O93" s="17" t="s">
        <v>433</v>
      </c>
    </row>
    <row r="94" spans="1:15" hidden="1" x14ac:dyDescent="0.35">
      <c r="A94" s="17">
        <v>280</v>
      </c>
      <c r="B94" s="17">
        <v>10</v>
      </c>
      <c r="C94" s="17">
        <v>1959</v>
      </c>
      <c r="E94" s="41" t="s">
        <v>86</v>
      </c>
      <c r="F94" s="41" t="s">
        <v>620</v>
      </c>
      <c r="G94" s="17">
        <v>43.2807958</v>
      </c>
      <c r="H94" s="17">
        <v>6.3869999999999996</v>
      </c>
      <c r="I94" s="17" t="s">
        <v>1330</v>
      </c>
      <c r="J94" s="17" t="s">
        <v>1330</v>
      </c>
      <c r="K94" s="17" t="s">
        <v>1330</v>
      </c>
      <c r="L94" s="17" t="s">
        <v>51</v>
      </c>
      <c r="M94" s="17" t="s">
        <v>460</v>
      </c>
      <c r="N94" s="17" t="s">
        <v>87</v>
      </c>
      <c r="O94" s="17" t="s">
        <v>433</v>
      </c>
    </row>
    <row r="95" spans="1:15" hidden="1" x14ac:dyDescent="0.35">
      <c r="A95" s="17">
        <v>280</v>
      </c>
      <c r="B95" s="17">
        <v>11</v>
      </c>
      <c r="C95" s="17">
        <v>1959</v>
      </c>
      <c r="E95" s="41" t="s">
        <v>86</v>
      </c>
      <c r="F95" s="41" t="s">
        <v>620</v>
      </c>
      <c r="G95" s="17">
        <v>43.2807958</v>
      </c>
      <c r="H95" s="17">
        <v>6.3869999999999996</v>
      </c>
      <c r="I95" s="17" t="s">
        <v>1330</v>
      </c>
      <c r="J95" s="17" t="s">
        <v>1330</v>
      </c>
      <c r="K95" s="17" t="s">
        <v>1330</v>
      </c>
      <c r="L95" s="17" t="s">
        <v>51</v>
      </c>
      <c r="M95" s="17" t="s">
        <v>460</v>
      </c>
      <c r="N95" s="17" t="s">
        <v>87</v>
      </c>
      <c r="O95" s="17" t="s">
        <v>433</v>
      </c>
    </row>
    <row r="96" spans="1:15" hidden="1" x14ac:dyDescent="0.35">
      <c r="A96" s="17">
        <v>280</v>
      </c>
      <c r="B96" s="17">
        <v>12</v>
      </c>
      <c r="C96" s="17">
        <v>1959</v>
      </c>
      <c r="E96" s="41" t="s">
        <v>86</v>
      </c>
      <c r="F96" s="41" t="s">
        <v>620</v>
      </c>
      <c r="G96" s="17">
        <v>43.2807958</v>
      </c>
      <c r="H96" s="17">
        <v>6.3869999999999996</v>
      </c>
      <c r="I96" s="17" t="s">
        <v>1330</v>
      </c>
      <c r="J96" s="17" t="s">
        <v>1330</v>
      </c>
      <c r="K96" s="17" t="s">
        <v>1330</v>
      </c>
      <c r="L96" s="17" t="s">
        <v>51</v>
      </c>
      <c r="M96" s="17" t="s">
        <v>460</v>
      </c>
      <c r="N96" s="17" t="s">
        <v>87</v>
      </c>
      <c r="O96" s="17" t="s">
        <v>433</v>
      </c>
    </row>
    <row r="97" spans="1:15" hidden="1" x14ac:dyDescent="0.35">
      <c r="A97" s="17">
        <v>280</v>
      </c>
      <c r="B97" s="17">
        <v>13</v>
      </c>
      <c r="C97" s="17">
        <v>1959</v>
      </c>
      <c r="E97" s="41" t="s">
        <v>86</v>
      </c>
      <c r="F97" s="41" t="s">
        <v>620</v>
      </c>
      <c r="G97" s="17">
        <v>43.2807958</v>
      </c>
      <c r="H97" s="17">
        <v>6.3869999999999996</v>
      </c>
      <c r="I97" s="17" t="s">
        <v>1330</v>
      </c>
      <c r="J97" s="17" t="s">
        <v>1330</v>
      </c>
      <c r="K97" s="17" t="s">
        <v>1330</v>
      </c>
      <c r="L97" s="17" t="s">
        <v>51</v>
      </c>
      <c r="M97" s="17" t="s">
        <v>460</v>
      </c>
      <c r="N97" s="17" t="s">
        <v>87</v>
      </c>
      <c r="O97" s="17" t="s">
        <v>433</v>
      </c>
    </row>
    <row r="98" spans="1:15" hidden="1" x14ac:dyDescent="0.35">
      <c r="A98" s="17">
        <v>280</v>
      </c>
      <c r="B98" s="17">
        <v>14</v>
      </c>
      <c r="C98" s="17">
        <v>1959</v>
      </c>
      <c r="E98" s="41" t="s">
        <v>86</v>
      </c>
      <c r="F98" s="41" t="s">
        <v>620</v>
      </c>
      <c r="G98" s="17">
        <v>43.2807958</v>
      </c>
      <c r="H98" s="17">
        <v>6.3869999999999996</v>
      </c>
      <c r="I98" s="17" t="s">
        <v>1330</v>
      </c>
      <c r="J98" s="17" t="s">
        <v>1330</v>
      </c>
      <c r="K98" s="17" t="s">
        <v>1330</v>
      </c>
      <c r="L98" s="17" t="s">
        <v>51</v>
      </c>
      <c r="M98" s="17" t="s">
        <v>460</v>
      </c>
      <c r="N98" s="17" t="s">
        <v>87</v>
      </c>
      <c r="O98" s="17" t="s">
        <v>433</v>
      </c>
    </row>
    <row r="99" spans="1:15" hidden="1" x14ac:dyDescent="0.35">
      <c r="A99" s="17">
        <v>280</v>
      </c>
      <c r="B99" s="17">
        <v>15</v>
      </c>
      <c r="C99" s="17">
        <v>1959</v>
      </c>
      <c r="E99" s="41" t="s">
        <v>86</v>
      </c>
      <c r="F99" s="41" t="s">
        <v>620</v>
      </c>
      <c r="G99" s="17">
        <v>43.2807958</v>
      </c>
      <c r="H99" s="17">
        <v>6.3869999999999996</v>
      </c>
      <c r="I99" s="17" t="s">
        <v>1330</v>
      </c>
      <c r="J99" s="17" t="s">
        <v>1330</v>
      </c>
      <c r="K99" s="17" t="s">
        <v>1330</v>
      </c>
      <c r="L99" s="17" t="s">
        <v>51</v>
      </c>
      <c r="M99" s="17" t="s">
        <v>460</v>
      </c>
      <c r="N99" s="17" t="s">
        <v>87</v>
      </c>
      <c r="O99" s="17" t="s">
        <v>433</v>
      </c>
    </row>
    <row r="100" spans="1:15" hidden="1" x14ac:dyDescent="0.35">
      <c r="A100" s="17">
        <v>280</v>
      </c>
      <c r="B100" s="17">
        <v>16</v>
      </c>
      <c r="C100" s="17">
        <v>1959</v>
      </c>
      <c r="E100" s="41" t="s">
        <v>86</v>
      </c>
      <c r="F100" s="41" t="s">
        <v>620</v>
      </c>
      <c r="G100" s="17">
        <v>43.2807958</v>
      </c>
      <c r="H100" s="17">
        <v>6.3869999999999996</v>
      </c>
      <c r="I100" s="17" t="s">
        <v>1330</v>
      </c>
      <c r="J100" s="17" t="s">
        <v>1330</v>
      </c>
      <c r="K100" s="17" t="s">
        <v>1330</v>
      </c>
      <c r="L100" s="17" t="s">
        <v>51</v>
      </c>
      <c r="M100" s="17" t="s">
        <v>460</v>
      </c>
      <c r="N100" s="17" t="s">
        <v>87</v>
      </c>
      <c r="O100" s="17" t="s">
        <v>433</v>
      </c>
    </row>
    <row r="101" spans="1:15" hidden="1" x14ac:dyDescent="0.35">
      <c r="A101" s="17">
        <v>280</v>
      </c>
      <c r="B101" s="17">
        <v>17</v>
      </c>
      <c r="C101" s="17">
        <v>1959</v>
      </c>
      <c r="E101" s="41" t="s">
        <v>86</v>
      </c>
      <c r="F101" s="41" t="s">
        <v>620</v>
      </c>
      <c r="G101" s="17">
        <v>43.2807958</v>
      </c>
      <c r="H101" s="17">
        <v>6.3869999999999996</v>
      </c>
      <c r="I101" s="17" t="s">
        <v>1330</v>
      </c>
      <c r="J101" s="17" t="s">
        <v>1330</v>
      </c>
      <c r="K101" s="17" t="s">
        <v>1330</v>
      </c>
      <c r="L101" s="17" t="s">
        <v>51</v>
      </c>
      <c r="M101" s="17" t="s">
        <v>460</v>
      </c>
      <c r="N101" s="17" t="s">
        <v>87</v>
      </c>
      <c r="O101" s="17" t="s">
        <v>433</v>
      </c>
    </row>
    <row r="102" spans="1:15" hidden="1" x14ac:dyDescent="0.35">
      <c r="A102" s="17">
        <v>280</v>
      </c>
      <c r="B102" s="17">
        <v>18</v>
      </c>
      <c r="C102" s="17">
        <v>1959</v>
      </c>
      <c r="E102" s="41" t="s">
        <v>86</v>
      </c>
      <c r="F102" s="41" t="s">
        <v>620</v>
      </c>
      <c r="G102" s="17">
        <v>43.2807958</v>
      </c>
      <c r="H102" s="17">
        <v>6.3869999999999996</v>
      </c>
      <c r="I102" s="17" t="s">
        <v>1330</v>
      </c>
      <c r="J102" s="17" t="s">
        <v>1330</v>
      </c>
      <c r="K102" s="17" t="s">
        <v>1330</v>
      </c>
      <c r="L102" s="17" t="s">
        <v>51</v>
      </c>
      <c r="M102" s="17" t="s">
        <v>460</v>
      </c>
      <c r="N102" s="17" t="s">
        <v>87</v>
      </c>
      <c r="O102" s="17" t="s">
        <v>433</v>
      </c>
    </row>
    <row r="103" spans="1:15" hidden="1" x14ac:dyDescent="0.35">
      <c r="A103" s="17">
        <v>280</v>
      </c>
      <c r="B103" s="17">
        <v>19</v>
      </c>
      <c r="C103" s="17">
        <v>1959</v>
      </c>
      <c r="E103" s="41" t="s">
        <v>86</v>
      </c>
      <c r="F103" s="41" t="s">
        <v>620</v>
      </c>
      <c r="G103" s="17">
        <v>43.2807958</v>
      </c>
      <c r="H103" s="17">
        <v>6.3869999999999996</v>
      </c>
      <c r="I103" s="17" t="s">
        <v>1330</v>
      </c>
      <c r="J103" s="17" t="s">
        <v>1330</v>
      </c>
      <c r="K103" s="17" t="s">
        <v>1330</v>
      </c>
      <c r="L103" s="17" t="s">
        <v>51</v>
      </c>
      <c r="M103" s="17" t="s">
        <v>460</v>
      </c>
      <c r="N103" s="17" t="s">
        <v>87</v>
      </c>
      <c r="O103" s="17" t="s">
        <v>433</v>
      </c>
    </row>
    <row r="104" spans="1:15" hidden="1" x14ac:dyDescent="0.35">
      <c r="A104" s="17">
        <v>280</v>
      </c>
      <c r="B104" s="17">
        <v>20</v>
      </c>
      <c r="C104" s="17">
        <v>1959</v>
      </c>
      <c r="E104" s="41" t="s">
        <v>86</v>
      </c>
      <c r="F104" s="41" t="s">
        <v>620</v>
      </c>
      <c r="G104" s="17">
        <v>43.2807958</v>
      </c>
      <c r="H104" s="17">
        <v>6.3869999999999996</v>
      </c>
      <c r="I104" s="17" t="s">
        <v>1330</v>
      </c>
      <c r="J104" s="17" t="s">
        <v>1330</v>
      </c>
      <c r="K104" s="17" t="s">
        <v>1330</v>
      </c>
      <c r="L104" s="17" t="s">
        <v>51</v>
      </c>
      <c r="M104" s="17" t="s">
        <v>460</v>
      </c>
      <c r="N104" s="17" t="s">
        <v>87</v>
      </c>
      <c r="O104" s="17" t="s">
        <v>433</v>
      </c>
    </row>
    <row r="105" spans="1:15" hidden="1" x14ac:dyDescent="0.35">
      <c r="A105" s="17">
        <v>280</v>
      </c>
      <c r="B105" s="17">
        <v>21</v>
      </c>
      <c r="C105" s="17">
        <v>1959</v>
      </c>
      <c r="E105" s="41" t="s">
        <v>86</v>
      </c>
      <c r="F105" s="41" t="s">
        <v>620</v>
      </c>
      <c r="G105" s="17">
        <v>43.2807958</v>
      </c>
      <c r="H105" s="17">
        <v>6.3869999999999996</v>
      </c>
      <c r="I105" s="17" t="s">
        <v>1330</v>
      </c>
      <c r="J105" s="17" t="s">
        <v>1330</v>
      </c>
      <c r="K105" s="17" t="s">
        <v>1330</v>
      </c>
      <c r="L105" s="17" t="s">
        <v>51</v>
      </c>
      <c r="M105" s="17" t="s">
        <v>460</v>
      </c>
      <c r="N105" s="17" t="s">
        <v>87</v>
      </c>
      <c r="O105" s="17" t="s">
        <v>433</v>
      </c>
    </row>
    <row r="106" spans="1:15" hidden="1" x14ac:dyDescent="0.35">
      <c r="A106" s="17">
        <v>280</v>
      </c>
      <c r="B106" s="17">
        <v>22</v>
      </c>
      <c r="C106" s="17">
        <v>1959</v>
      </c>
      <c r="E106" s="41" t="s">
        <v>86</v>
      </c>
      <c r="F106" s="41" t="s">
        <v>620</v>
      </c>
      <c r="G106" s="17">
        <v>43.2807958</v>
      </c>
      <c r="H106" s="17">
        <v>6.3869999999999996</v>
      </c>
      <c r="I106" s="17" t="s">
        <v>1330</v>
      </c>
      <c r="J106" s="17" t="s">
        <v>1330</v>
      </c>
      <c r="K106" s="17" t="s">
        <v>1330</v>
      </c>
      <c r="L106" s="17" t="s">
        <v>51</v>
      </c>
      <c r="M106" s="17" t="s">
        <v>460</v>
      </c>
      <c r="N106" s="17" t="s">
        <v>87</v>
      </c>
      <c r="O106" s="17" t="s">
        <v>433</v>
      </c>
    </row>
    <row r="107" spans="1:15" hidden="1" x14ac:dyDescent="0.35">
      <c r="A107" s="17">
        <v>280</v>
      </c>
      <c r="B107" s="17">
        <v>23</v>
      </c>
      <c r="C107" s="17">
        <v>1959</v>
      </c>
      <c r="E107" s="41" t="s">
        <v>86</v>
      </c>
      <c r="F107" s="41" t="s">
        <v>620</v>
      </c>
      <c r="G107" s="17">
        <v>43.2807958</v>
      </c>
      <c r="H107" s="17">
        <v>6.3869999999999996</v>
      </c>
      <c r="I107" s="17" t="s">
        <v>1330</v>
      </c>
      <c r="J107" s="17" t="s">
        <v>1330</v>
      </c>
      <c r="K107" s="17" t="s">
        <v>1330</v>
      </c>
      <c r="L107" s="17" t="s">
        <v>51</v>
      </c>
      <c r="M107" s="17" t="s">
        <v>460</v>
      </c>
      <c r="N107" s="17" t="s">
        <v>87</v>
      </c>
      <c r="O107" s="17" t="s">
        <v>433</v>
      </c>
    </row>
    <row r="108" spans="1:15" hidden="1" x14ac:dyDescent="0.35">
      <c r="A108" s="17">
        <v>280</v>
      </c>
      <c r="B108" s="17">
        <v>24</v>
      </c>
      <c r="C108" s="17">
        <v>1959</v>
      </c>
      <c r="E108" s="41" t="s">
        <v>86</v>
      </c>
      <c r="F108" s="41" t="s">
        <v>620</v>
      </c>
      <c r="G108" s="17">
        <v>43.2807958</v>
      </c>
      <c r="H108" s="17">
        <v>6.3869999999999996</v>
      </c>
      <c r="I108" s="17" t="s">
        <v>1330</v>
      </c>
      <c r="J108" s="17" t="s">
        <v>1330</v>
      </c>
      <c r="K108" s="17" t="s">
        <v>1330</v>
      </c>
      <c r="L108" s="17" t="s">
        <v>51</v>
      </c>
      <c r="M108" s="17" t="s">
        <v>460</v>
      </c>
      <c r="N108" s="17" t="s">
        <v>87</v>
      </c>
      <c r="O108" s="17" t="s">
        <v>433</v>
      </c>
    </row>
    <row r="109" spans="1:15" hidden="1" x14ac:dyDescent="0.35">
      <c r="A109" s="17">
        <v>280</v>
      </c>
      <c r="B109" s="17">
        <v>25</v>
      </c>
      <c r="C109" s="17">
        <v>1959</v>
      </c>
      <c r="E109" s="41" t="s">
        <v>86</v>
      </c>
      <c r="F109" s="41" t="s">
        <v>620</v>
      </c>
      <c r="G109" s="17">
        <v>43.2807958</v>
      </c>
      <c r="H109" s="17">
        <v>6.3869999999999996</v>
      </c>
      <c r="I109" s="17" t="s">
        <v>1330</v>
      </c>
      <c r="J109" s="17" t="s">
        <v>1330</v>
      </c>
      <c r="K109" s="17" t="s">
        <v>1330</v>
      </c>
      <c r="L109" s="17" t="s">
        <v>51</v>
      </c>
      <c r="M109" s="17" t="s">
        <v>460</v>
      </c>
      <c r="N109" s="17" t="s">
        <v>87</v>
      </c>
      <c r="O109" s="17" t="s">
        <v>433</v>
      </c>
    </row>
    <row r="110" spans="1:15" hidden="1" x14ac:dyDescent="0.35">
      <c r="A110" s="17">
        <v>280</v>
      </c>
      <c r="B110" s="17">
        <v>26</v>
      </c>
      <c r="C110" s="17">
        <v>1959</v>
      </c>
      <c r="E110" s="41" t="s">
        <v>86</v>
      </c>
      <c r="F110" s="41" t="s">
        <v>620</v>
      </c>
      <c r="G110" s="17">
        <v>43.2807958</v>
      </c>
      <c r="H110" s="17">
        <v>6.3869999999999996</v>
      </c>
      <c r="I110" s="17" t="s">
        <v>1330</v>
      </c>
      <c r="J110" s="17" t="s">
        <v>1330</v>
      </c>
      <c r="K110" s="17" t="s">
        <v>1330</v>
      </c>
      <c r="L110" s="17" t="s">
        <v>51</v>
      </c>
      <c r="M110" s="17" t="s">
        <v>460</v>
      </c>
      <c r="N110" s="17" t="s">
        <v>87</v>
      </c>
      <c r="O110" s="17" t="s">
        <v>433</v>
      </c>
    </row>
    <row r="111" spans="1:15" hidden="1" x14ac:dyDescent="0.35">
      <c r="A111" s="17">
        <v>280</v>
      </c>
      <c r="B111" s="17">
        <v>27</v>
      </c>
      <c r="C111" s="17">
        <v>1959</v>
      </c>
      <c r="E111" s="41" t="s">
        <v>86</v>
      </c>
      <c r="F111" s="41" t="s">
        <v>620</v>
      </c>
      <c r="G111" s="17">
        <v>43.2807958</v>
      </c>
      <c r="H111" s="17">
        <v>6.3869999999999996</v>
      </c>
      <c r="I111" s="17" t="s">
        <v>1330</v>
      </c>
      <c r="J111" s="17" t="s">
        <v>1330</v>
      </c>
      <c r="K111" s="17" t="s">
        <v>1330</v>
      </c>
      <c r="L111" s="17" t="s">
        <v>51</v>
      </c>
      <c r="M111" s="17" t="s">
        <v>460</v>
      </c>
      <c r="N111" s="17" t="s">
        <v>87</v>
      </c>
      <c r="O111" s="17" t="s">
        <v>433</v>
      </c>
    </row>
    <row r="112" spans="1:15" hidden="1" x14ac:dyDescent="0.35">
      <c r="A112" s="17">
        <v>280</v>
      </c>
      <c r="B112" s="17">
        <v>28</v>
      </c>
      <c r="C112" s="17">
        <v>1959</v>
      </c>
      <c r="E112" s="41" t="s">
        <v>86</v>
      </c>
      <c r="F112" s="41" t="s">
        <v>620</v>
      </c>
      <c r="G112" s="17">
        <v>43.2807958</v>
      </c>
      <c r="H112" s="17">
        <v>6.3869999999999996</v>
      </c>
      <c r="I112" s="17" t="s">
        <v>1330</v>
      </c>
      <c r="J112" s="17" t="s">
        <v>1330</v>
      </c>
      <c r="K112" s="17" t="s">
        <v>1330</v>
      </c>
      <c r="L112" s="17" t="s">
        <v>51</v>
      </c>
      <c r="M112" s="17" t="s">
        <v>460</v>
      </c>
      <c r="N112" s="17" t="s">
        <v>87</v>
      </c>
      <c r="O112" s="17" t="s">
        <v>433</v>
      </c>
    </row>
    <row r="113" spans="1:15" hidden="1" x14ac:dyDescent="0.35">
      <c r="A113" s="17">
        <v>280</v>
      </c>
      <c r="B113" s="17">
        <v>29</v>
      </c>
      <c r="C113" s="17">
        <v>1959</v>
      </c>
      <c r="E113" s="41" t="s">
        <v>86</v>
      </c>
      <c r="F113" s="41" t="s">
        <v>620</v>
      </c>
      <c r="G113" s="17">
        <v>43.2807958</v>
      </c>
      <c r="H113" s="17">
        <v>6.3869999999999996</v>
      </c>
      <c r="I113" s="17" t="s">
        <v>1330</v>
      </c>
      <c r="J113" s="17" t="s">
        <v>1330</v>
      </c>
      <c r="K113" s="17" t="s">
        <v>1330</v>
      </c>
      <c r="L113" s="17" t="s">
        <v>51</v>
      </c>
      <c r="M113" s="17" t="s">
        <v>460</v>
      </c>
      <c r="N113" s="17" t="s">
        <v>87</v>
      </c>
      <c r="O113" s="17" t="s">
        <v>433</v>
      </c>
    </row>
    <row r="114" spans="1:15" hidden="1" x14ac:dyDescent="0.35">
      <c r="A114" s="17">
        <v>280</v>
      </c>
      <c r="B114" s="17">
        <v>30</v>
      </c>
      <c r="C114" s="17">
        <v>1959</v>
      </c>
      <c r="E114" s="41" t="s">
        <v>86</v>
      </c>
      <c r="F114" s="41" t="s">
        <v>620</v>
      </c>
      <c r="G114" s="17">
        <v>43.2807958</v>
      </c>
      <c r="H114" s="17">
        <v>6.3869999999999996</v>
      </c>
      <c r="I114" s="17" t="s">
        <v>1330</v>
      </c>
      <c r="J114" s="17" t="s">
        <v>1330</v>
      </c>
      <c r="K114" s="17" t="s">
        <v>1330</v>
      </c>
      <c r="L114" s="17" t="s">
        <v>51</v>
      </c>
      <c r="M114" s="17" t="s">
        <v>460</v>
      </c>
      <c r="N114" s="17" t="s">
        <v>87</v>
      </c>
      <c r="O114" s="17" t="s">
        <v>433</v>
      </c>
    </row>
    <row r="115" spans="1:15" hidden="1" x14ac:dyDescent="0.35">
      <c r="A115" s="17">
        <v>280</v>
      </c>
      <c r="B115" s="17">
        <v>31</v>
      </c>
      <c r="C115" s="17">
        <v>1959</v>
      </c>
      <c r="E115" s="41" t="s">
        <v>86</v>
      </c>
      <c r="F115" s="41" t="s">
        <v>620</v>
      </c>
      <c r="G115" s="17">
        <v>43.2807958</v>
      </c>
      <c r="H115" s="17">
        <v>6.3869999999999996</v>
      </c>
      <c r="I115" s="17" t="s">
        <v>1330</v>
      </c>
      <c r="J115" s="17" t="s">
        <v>1330</v>
      </c>
      <c r="K115" s="17" t="s">
        <v>1330</v>
      </c>
      <c r="L115" s="17" t="s">
        <v>51</v>
      </c>
      <c r="M115" s="17" t="s">
        <v>460</v>
      </c>
      <c r="N115" s="17" t="s">
        <v>87</v>
      </c>
      <c r="O115" s="17" t="s">
        <v>433</v>
      </c>
    </row>
    <row r="116" spans="1:15" hidden="1" x14ac:dyDescent="0.35">
      <c r="A116" s="17">
        <v>280</v>
      </c>
      <c r="B116" s="17">
        <v>32</v>
      </c>
      <c r="C116" s="17">
        <v>1962</v>
      </c>
      <c r="E116" s="41" t="s">
        <v>86</v>
      </c>
      <c r="F116" s="41" t="s">
        <v>620</v>
      </c>
      <c r="G116" s="17">
        <v>43.2807958</v>
      </c>
      <c r="H116" s="17">
        <v>6.3869999999999996</v>
      </c>
      <c r="I116" s="17" t="s">
        <v>1330</v>
      </c>
      <c r="J116" s="17" t="s">
        <v>1330</v>
      </c>
      <c r="K116" s="17" t="s">
        <v>1330</v>
      </c>
      <c r="L116" s="17" t="s">
        <v>51</v>
      </c>
      <c r="M116" s="17" t="s">
        <v>460</v>
      </c>
      <c r="N116" s="17" t="s">
        <v>87</v>
      </c>
      <c r="O116" s="17" t="s">
        <v>433</v>
      </c>
    </row>
    <row r="117" spans="1:15" hidden="1" x14ac:dyDescent="0.35">
      <c r="A117" s="17">
        <v>280</v>
      </c>
      <c r="B117" s="17">
        <v>33</v>
      </c>
      <c r="C117" s="17">
        <v>1962</v>
      </c>
      <c r="E117" s="41" t="s">
        <v>86</v>
      </c>
      <c r="F117" s="41" t="s">
        <v>620</v>
      </c>
      <c r="G117" s="17">
        <v>43.2807958</v>
      </c>
      <c r="H117" s="17">
        <v>6.3869999999999996</v>
      </c>
      <c r="I117" s="17" t="s">
        <v>1330</v>
      </c>
      <c r="J117" s="17" t="s">
        <v>1330</v>
      </c>
      <c r="K117" s="17" t="s">
        <v>1330</v>
      </c>
      <c r="L117" s="17" t="s">
        <v>51</v>
      </c>
      <c r="M117" s="17" t="s">
        <v>460</v>
      </c>
      <c r="N117" s="17" t="s">
        <v>87</v>
      </c>
      <c r="O117" s="17" t="s">
        <v>433</v>
      </c>
    </row>
    <row r="118" spans="1:15" hidden="1" x14ac:dyDescent="0.35">
      <c r="A118" s="17">
        <v>280</v>
      </c>
      <c r="B118" s="17">
        <v>34</v>
      </c>
      <c r="C118" s="17">
        <v>1962</v>
      </c>
      <c r="E118" s="41" t="s">
        <v>86</v>
      </c>
      <c r="F118" s="41" t="s">
        <v>620</v>
      </c>
      <c r="G118" s="17">
        <v>43.2807958</v>
      </c>
      <c r="H118" s="17">
        <v>6.3869999999999996</v>
      </c>
      <c r="I118" s="17" t="s">
        <v>1330</v>
      </c>
      <c r="J118" s="17" t="s">
        <v>1330</v>
      </c>
      <c r="K118" s="17" t="s">
        <v>1330</v>
      </c>
      <c r="L118" s="17" t="s">
        <v>51</v>
      </c>
      <c r="M118" s="17" t="s">
        <v>460</v>
      </c>
      <c r="N118" s="17" t="s">
        <v>87</v>
      </c>
      <c r="O118" s="17" t="s">
        <v>433</v>
      </c>
    </row>
    <row r="119" spans="1:15" hidden="1" x14ac:dyDescent="0.35">
      <c r="A119" s="17">
        <v>280</v>
      </c>
      <c r="B119" s="17">
        <v>35</v>
      </c>
      <c r="C119" s="17">
        <v>1962</v>
      </c>
      <c r="E119" s="41" t="s">
        <v>86</v>
      </c>
      <c r="F119" s="41" t="s">
        <v>620</v>
      </c>
      <c r="G119" s="17">
        <v>43.2807958</v>
      </c>
      <c r="H119" s="17">
        <v>6.3869999999999996</v>
      </c>
      <c r="I119" s="17" t="s">
        <v>1330</v>
      </c>
      <c r="J119" s="17" t="s">
        <v>1330</v>
      </c>
      <c r="K119" s="17" t="s">
        <v>1330</v>
      </c>
      <c r="L119" s="17" t="s">
        <v>51</v>
      </c>
      <c r="M119" s="17" t="s">
        <v>460</v>
      </c>
      <c r="N119" s="17" t="s">
        <v>87</v>
      </c>
      <c r="O119" s="17" t="s">
        <v>433</v>
      </c>
    </row>
    <row r="120" spans="1:15" hidden="1" x14ac:dyDescent="0.35">
      <c r="A120" s="17">
        <v>280</v>
      </c>
      <c r="B120" s="17">
        <v>36</v>
      </c>
      <c r="C120" s="17">
        <v>1962</v>
      </c>
      <c r="E120" s="41" t="s">
        <v>86</v>
      </c>
      <c r="F120" s="41" t="s">
        <v>620</v>
      </c>
      <c r="G120" s="17">
        <v>43.2807958</v>
      </c>
      <c r="H120" s="17">
        <v>6.3869999999999996</v>
      </c>
      <c r="I120" s="17" t="s">
        <v>1330</v>
      </c>
      <c r="J120" s="17" t="s">
        <v>1330</v>
      </c>
      <c r="K120" s="17" t="s">
        <v>1330</v>
      </c>
      <c r="L120" s="17" t="s">
        <v>51</v>
      </c>
      <c r="M120" s="17" t="s">
        <v>460</v>
      </c>
      <c r="N120" s="17" t="s">
        <v>87</v>
      </c>
      <c r="O120" s="17" t="s">
        <v>433</v>
      </c>
    </row>
    <row r="121" spans="1:15" hidden="1" x14ac:dyDescent="0.35">
      <c r="A121" s="17">
        <v>280</v>
      </c>
      <c r="B121" s="17">
        <v>37</v>
      </c>
      <c r="C121" s="17">
        <v>1962</v>
      </c>
      <c r="E121" s="41" t="s">
        <v>86</v>
      </c>
      <c r="F121" s="41" t="s">
        <v>620</v>
      </c>
      <c r="G121" s="17">
        <v>43.2807958</v>
      </c>
      <c r="H121" s="17">
        <v>6.3869999999999996</v>
      </c>
      <c r="I121" s="17" t="s">
        <v>1330</v>
      </c>
      <c r="J121" s="17" t="s">
        <v>1330</v>
      </c>
      <c r="K121" s="17" t="s">
        <v>1330</v>
      </c>
      <c r="L121" s="17" t="s">
        <v>51</v>
      </c>
      <c r="M121" s="17" t="s">
        <v>460</v>
      </c>
      <c r="N121" s="17" t="s">
        <v>87</v>
      </c>
      <c r="O121" s="17" t="s">
        <v>433</v>
      </c>
    </row>
    <row r="122" spans="1:15" hidden="1" x14ac:dyDescent="0.35">
      <c r="A122" s="17">
        <v>280</v>
      </c>
      <c r="B122" s="17">
        <v>38</v>
      </c>
      <c r="C122" s="17">
        <v>1962</v>
      </c>
      <c r="E122" s="41" t="s">
        <v>86</v>
      </c>
      <c r="F122" s="41" t="s">
        <v>620</v>
      </c>
      <c r="G122" s="17">
        <v>43.2807958</v>
      </c>
      <c r="H122" s="17">
        <v>6.3869999999999996</v>
      </c>
      <c r="I122" s="17" t="s">
        <v>1330</v>
      </c>
      <c r="J122" s="17" t="s">
        <v>1330</v>
      </c>
      <c r="K122" s="17" t="s">
        <v>1330</v>
      </c>
      <c r="L122" s="17" t="s">
        <v>51</v>
      </c>
      <c r="M122" s="17" t="s">
        <v>460</v>
      </c>
      <c r="N122" s="17" t="s">
        <v>87</v>
      </c>
      <c r="O122" s="17" t="s">
        <v>433</v>
      </c>
    </row>
    <row r="123" spans="1:15" hidden="1" x14ac:dyDescent="0.35">
      <c r="A123" s="17">
        <v>280</v>
      </c>
      <c r="B123" s="17">
        <v>39</v>
      </c>
      <c r="C123" s="17" t="s">
        <v>88</v>
      </c>
      <c r="E123" s="41" t="s">
        <v>86</v>
      </c>
      <c r="F123" s="41" t="s">
        <v>620</v>
      </c>
      <c r="G123" s="17">
        <v>43.2807958</v>
      </c>
      <c r="H123" s="17">
        <v>6.3869999999999996</v>
      </c>
      <c r="I123" s="17" t="s">
        <v>1330</v>
      </c>
      <c r="J123" s="17" t="s">
        <v>1330</v>
      </c>
      <c r="K123" s="17" t="s">
        <v>1330</v>
      </c>
      <c r="L123" s="17" t="s">
        <v>51</v>
      </c>
      <c r="M123" s="17" t="s">
        <v>460</v>
      </c>
      <c r="N123" s="17" t="s">
        <v>87</v>
      </c>
      <c r="O123" s="17" t="s">
        <v>433</v>
      </c>
    </row>
    <row r="124" spans="1:15" hidden="1" x14ac:dyDescent="0.35">
      <c r="A124" s="17">
        <v>280</v>
      </c>
      <c r="B124" s="17">
        <v>40</v>
      </c>
      <c r="C124" s="17" t="s">
        <v>88</v>
      </c>
      <c r="E124" s="41" t="s">
        <v>86</v>
      </c>
      <c r="F124" s="41" t="s">
        <v>620</v>
      </c>
      <c r="G124" s="17">
        <v>43.2807958</v>
      </c>
      <c r="H124" s="17">
        <v>6.3869999999999996</v>
      </c>
      <c r="I124" s="17" t="s">
        <v>1330</v>
      </c>
      <c r="J124" s="17" t="s">
        <v>1330</v>
      </c>
      <c r="K124" s="17" t="s">
        <v>1330</v>
      </c>
      <c r="L124" s="17" t="s">
        <v>51</v>
      </c>
      <c r="M124" s="17" t="s">
        <v>460</v>
      </c>
      <c r="N124" s="17" t="s">
        <v>87</v>
      </c>
      <c r="O124" s="17" t="s">
        <v>433</v>
      </c>
    </row>
    <row r="125" spans="1:15" hidden="1" x14ac:dyDescent="0.35">
      <c r="A125" s="17">
        <v>280</v>
      </c>
      <c r="B125" s="17">
        <v>41</v>
      </c>
      <c r="C125" s="17" t="s">
        <v>88</v>
      </c>
      <c r="E125" s="41" t="s">
        <v>86</v>
      </c>
      <c r="F125" s="41" t="s">
        <v>620</v>
      </c>
      <c r="G125" s="17">
        <v>43.2807958</v>
      </c>
      <c r="H125" s="17">
        <v>6.3869999999999996</v>
      </c>
      <c r="I125" s="17" t="s">
        <v>1330</v>
      </c>
      <c r="J125" s="17" t="s">
        <v>1330</v>
      </c>
      <c r="K125" s="17" t="s">
        <v>1330</v>
      </c>
      <c r="L125" s="17" t="s">
        <v>51</v>
      </c>
      <c r="M125" s="17" t="s">
        <v>460</v>
      </c>
      <c r="N125" s="17" t="s">
        <v>87</v>
      </c>
      <c r="O125" s="17" t="s">
        <v>433</v>
      </c>
    </row>
    <row r="126" spans="1:15" hidden="1" x14ac:dyDescent="0.35">
      <c r="A126" s="17">
        <v>280</v>
      </c>
      <c r="B126" s="17">
        <v>42</v>
      </c>
      <c r="C126" s="17" t="s">
        <v>88</v>
      </c>
      <c r="E126" s="41" t="s">
        <v>86</v>
      </c>
      <c r="F126" s="41" t="s">
        <v>620</v>
      </c>
      <c r="G126" s="17">
        <v>43.2807958</v>
      </c>
      <c r="H126" s="17">
        <v>6.3869999999999996</v>
      </c>
      <c r="I126" s="17" t="s">
        <v>1330</v>
      </c>
      <c r="J126" s="17" t="s">
        <v>1330</v>
      </c>
      <c r="K126" s="17" t="s">
        <v>1330</v>
      </c>
      <c r="L126" s="17" t="s">
        <v>51</v>
      </c>
      <c r="M126" s="17" t="s">
        <v>460</v>
      </c>
      <c r="N126" s="17" t="s">
        <v>87</v>
      </c>
      <c r="O126" s="17" t="s">
        <v>433</v>
      </c>
    </row>
    <row r="127" spans="1:15" hidden="1" x14ac:dyDescent="0.35">
      <c r="A127" s="17">
        <v>280</v>
      </c>
      <c r="B127" s="17">
        <v>43</v>
      </c>
      <c r="C127" s="17" t="s">
        <v>88</v>
      </c>
      <c r="E127" s="41" t="s">
        <v>86</v>
      </c>
      <c r="F127" s="41" t="s">
        <v>620</v>
      </c>
      <c r="G127" s="17">
        <v>43.2807958</v>
      </c>
      <c r="H127" s="17">
        <v>6.3869999999999996</v>
      </c>
      <c r="I127" s="17" t="s">
        <v>1330</v>
      </c>
      <c r="J127" s="17" t="s">
        <v>1330</v>
      </c>
      <c r="K127" s="17" t="s">
        <v>1330</v>
      </c>
      <c r="L127" s="17" t="s">
        <v>51</v>
      </c>
      <c r="M127" s="17" t="s">
        <v>460</v>
      </c>
      <c r="N127" s="17" t="s">
        <v>87</v>
      </c>
      <c r="O127" s="17" t="s">
        <v>433</v>
      </c>
    </row>
    <row r="128" spans="1:15" hidden="1" x14ac:dyDescent="0.35">
      <c r="A128" s="17">
        <v>280</v>
      </c>
      <c r="B128" s="17">
        <v>44</v>
      </c>
      <c r="C128" s="17" t="s">
        <v>88</v>
      </c>
      <c r="E128" s="41" t="s">
        <v>86</v>
      </c>
      <c r="F128" s="41" t="s">
        <v>620</v>
      </c>
      <c r="G128" s="17">
        <v>43.2807958</v>
      </c>
      <c r="H128" s="17">
        <v>6.3869999999999996</v>
      </c>
      <c r="I128" s="17" t="s">
        <v>1330</v>
      </c>
      <c r="J128" s="17" t="s">
        <v>1330</v>
      </c>
      <c r="K128" s="17" t="s">
        <v>1330</v>
      </c>
      <c r="L128" s="17" t="s">
        <v>51</v>
      </c>
      <c r="M128" s="17" t="s">
        <v>460</v>
      </c>
      <c r="N128" s="17" t="s">
        <v>87</v>
      </c>
      <c r="O128" s="17" t="s">
        <v>433</v>
      </c>
    </row>
    <row r="129" spans="1:15" hidden="1" x14ac:dyDescent="0.35">
      <c r="A129" s="17">
        <v>280</v>
      </c>
      <c r="B129" s="17">
        <v>45</v>
      </c>
      <c r="C129" s="17" t="s">
        <v>88</v>
      </c>
      <c r="E129" s="41" t="s">
        <v>86</v>
      </c>
      <c r="F129" s="41" t="s">
        <v>620</v>
      </c>
      <c r="G129" s="17">
        <v>43.2807958</v>
      </c>
      <c r="H129" s="17">
        <v>6.3869999999999996</v>
      </c>
      <c r="I129" s="17" t="s">
        <v>1330</v>
      </c>
      <c r="J129" s="17" t="s">
        <v>1330</v>
      </c>
      <c r="K129" s="17" t="s">
        <v>1330</v>
      </c>
      <c r="L129" s="17" t="s">
        <v>51</v>
      </c>
      <c r="M129" s="17" t="s">
        <v>460</v>
      </c>
      <c r="N129" s="17" t="s">
        <v>87</v>
      </c>
      <c r="O129" s="17" t="s">
        <v>433</v>
      </c>
    </row>
    <row r="130" spans="1:15" hidden="1" x14ac:dyDescent="0.35">
      <c r="A130" s="17">
        <v>280</v>
      </c>
      <c r="B130" s="17">
        <v>46</v>
      </c>
      <c r="C130" s="17" t="s">
        <v>88</v>
      </c>
      <c r="E130" s="41" t="s">
        <v>86</v>
      </c>
      <c r="F130" s="41" t="s">
        <v>620</v>
      </c>
      <c r="G130" s="17">
        <v>43.2807958</v>
      </c>
      <c r="H130" s="17">
        <v>6.3869999999999996</v>
      </c>
      <c r="I130" s="17" t="s">
        <v>1330</v>
      </c>
      <c r="J130" s="17" t="s">
        <v>1330</v>
      </c>
      <c r="K130" s="17" t="s">
        <v>1330</v>
      </c>
      <c r="L130" s="17" t="s">
        <v>51</v>
      </c>
      <c r="M130" s="17" t="s">
        <v>460</v>
      </c>
      <c r="N130" s="17" t="s">
        <v>87</v>
      </c>
      <c r="O130" s="17" t="s">
        <v>433</v>
      </c>
    </row>
    <row r="131" spans="1:15" hidden="1" x14ac:dyDescent="0.35">
      <c r="A131" s="17">
        <v>280</v>
      </c>
      <c r="B131" s="17">
        <v>47</v>
      </c>
      <c r="C131" s="17" t="s">
        <v>88</v>
      </c>
      <c r="E131" s="41" t="s">
        <v>86</v>
      </c>
      <c r="F131" s="41" t="s">
        <v>620</v>
      </c>
      <c r="G131" s="17">
        <v>43.2807958</v>
      </c>
      <c r="H131" s="17">
        <v>6.3869999999999996</v>
      </c>
      <c r="I131" s="17" t="s">
        <v>1330</v>
      </c>
      <c r="J131" s="17" t="s">
        <v>1330</v>
      </c>
      <c r="K131" s="17" t="s">
        <v>1330</v>
      </c>
      <c r="L131" s="17" t="s">
        <v>51</v>
      </c>
      <c r="M131" s="17" t="s">
        <v>460</v>
      </c>
      <c r="N131" s="17" t="s">
        <v>87</v>
      </c>
      <c r="O131" s="17" t="s">
        <v>433</v>
      </c>
    </row>
    <row r="132" spans="1:15" hidden="1" x14ac:dyDescent="0.35">
      <c r="A132" s="17">
        <v>280</v>
      </c>
      <c r="B132" s="17">
        <v>48</v>
      </c>
      <c r="C132" s="17" t="s">
        <v>88</v>
      </c>
      <c r="E132" s="41" t="s">
        <v>86</v>
      </c>
      <c r="F132" s="41" t="s">
        <v>620</v>
      </c>
      <c r="G132" s="17">
        <v>43.2807958</v>
      </c>
      <c r="H132" s="17">
        <v>6.3869999999999996</v>
      </c>
      <c r="I132" s="17" t="s">
        <v>1330</v>
      </c>
      <c r="J132" s="17" t="s">
        <v>1330</v>
      </c>
      <c r="K132" s="17" t="s">
        <v>1330</v>
      </c>
      <c r="L132" s="17" t="s">
        <v>51</v>
      </c>
      <c r="M132" s="17" t="s">
        <v>460</v>
      </c>
      <c r="N132" s="17" t="s">
        <v>87</v>
      </c>
      <c r="O132" s="17" t="s">
        <v>433</v>
      </c>
    </row>
    <row r="133" spans="1:15" hidden="1" x14ac:dyDescent="0.35">
      <c r="A133" s="17">
        <v>280</v>
      </c>
      <c r="B133" s="17">
        <v>49</v>
      </c>
      <c r="C133" s="17" t="s">
        <v>88</v>
      </c>
      <c r="E133" s="41" t="s">
        <v>86</v>
      </c>
      <c r="F133" s="41" t="s">
        <v>620</v>
      </c>
      <c r="G133" s="17">
        <v>43.2807958</v>
      </c>
      <c r="H133" s="17">
        <v>6.3869999999999996</v>
      </c>
      <c r="I133" s="17" t="s">
        <v>1330</v>
      </c>
      <c r="J133" s="17" t="s">
        <v>1330</v>
      </c>
      <c r="K133" s="17" t="s">
        <v>1330</v>
      </c>
      <c r="L133" s="17" t="s">
        <v>51</v>
      </c>
      <c r="M133" s="17" t="s">
        <v>460</v>
      </c>
      <c r="N133" s="17" t="s">
        <v>87</v>
      </c>
      <c r="O133" s="17" t="s">
        <v>433</v>
      </c>
    </row>
    <row r="134" spans="1:15" hidden="1" x14ac:dyDescent="0.35">
      <c r="A134" s="17">
        <v>280</v>
      </c>
      <c r="B134" s="17">
        <v>50</v>
      </c>
      <c r="C134" s="17" t="s">
        <v>88</v>
      </c>
      <c r="E134" s="41" t="s">
        <v>86</v>
      </c>
      <c r="F134" s="41" t="s">
        <v>620</v>
      </c>
      <c r="G134" s="17">
        <v>43.2807958</v>
      </c>
      <c r="H134" s="17">
        <v>6.3869999999999996</v>
      </c>
      <c r="I134" s="17" t="s">
        <v>1330</v>
      </c>
      <c r="J134" s="17" t="s">
        <v>1330</v>
      </c>
      <c r="K134" s="17" t="s">
        <v>1330</v>
      </c>
      <c r="L134" s="17" t="s">
        <v>51</v>
      </c>
      <c r="M134" s="17" t="s">
        <v>460</v>
      </c>
      <c r="N134" s="17" t="s">
        <v>87</v>
      </c>
      <c r="O134" s="17" t="s">
        <v>433</v>
      </c>
    </row>
    <row r="135" spans="1:15" hidden="1" x14ac:dyDescent="0.35">
      <c r="A135" s="17">
        <v>280</v>
      </c>
      <c r="B135" s="17">
        <v>51</v>
      </c>
      <c r="C135" s="17" t="s">
        <v>88</v>
      </c>
      <c r="E135" s="41" t="s">
        <v>86</v>
      </c>
      <c r="F135" s="41" t="s">
        <v>620</v>
      </c>
      <c r="G135" s="17">
        <v>43.2807958</v>
      </c>
      <c r="H135" s="17">
        <v>6.3869999999999996</v>
      </c>
      <c r="I135" s="17" t="s">
        <v>1330</v>
      </c>
      <c r="J135" s="17" t="s">
        <v>1330</v>
      </c>
      <c r="K135" s="17" t="s">
        <v>1330</v>
      </c>
      <c r="L135" s="17" t="s">
        <v>51</v>
      </c>
      <c r="M135" s="17" t="s">
        <v>460</v>
      </c>
      <c r="N135" s="17" t="s">
        <v>87</v>
      </c>
      <c r="O135" s="17" t="s">
        <v>433</v>
      </c>
    </row>
    <row r="136" spans="1:15" hidden="1" x14ac:dyDescent="0.35">
      <c r="A136" s="17">
        <v>280</v>
      </c>
      <c r="B136" s="17">
        <v>52</v>
      </c>
      <c r="C136" s="17" t="s">
        <v>88</v>
      </c>
      <c r="E136" s="41" t="s">
        <v>86</v>
      </c>
      <c r="F136" s="41" t="s">
        <v>620</v>
      </c>
      <c r="G136" s="17">
        <v>43.2807958</v>
      </c>
      <c r="H136" s="17">
        <v>6.3869999999999996</v>
      </c>
      <c r="I136" s="17" t="s">
        <v>1330</v>
      </c>
      <c r="J136" s="17" t="s">
        <v>1330</v>
      </c>
      <c r="K136" s="17" t="s">
        <v>1330</v>
      </c>
      <c r="L136" s="17" t="s">
        <v>51</v>
      </c>
      <c r="M136" s="17" t="s">
        <v>460</v>
      </c>
      <c r="N136" s="17" t="s">
        <v>87</v>
      </c>
      <c r="O136" s="17" t="s">
        <v>433</v>
      </c>
    </row>
    <row r="137" spans="1:15" hidden="1" x14ac:dyDescent="0.35">
      <c r="A137" s="17">
        <v>280</v>
      </c>
      <c r="B137" s="17">
        <v>53</v>
      </c>
      <c r="C137" s="17" t="s">
        <v>88</v>
      </c>
      <c r="E137" s="41" t="s">
        <v>86</v>
      </c>
      <c r="F137" s="41" t="s">
        <v>620</v>
      </c>
      <c r="G137" s="17">
        <v>43.2807958</v>
      </c>
      <c r="H137" s="17">
        <v>6.3869999999999996</v>
      </c>
      <c r="I137" s="17" t="s">
        <v>1330</v>
      </c>
      <c r="J137" s="17" t="s">
        <v>1330</v>
      </c>
      <c r="K137" s="17" t="s">
        <v>1330</v>
      </c>
      <c r="L137" s="17" t="s">
        <v>51</v>
      </c>
      <c r="M137" s="17" t="s">
        <v>460</v>
      </c>
      <c r="N137" s="17" t="s">
        <v>87</v>
      </c>
      <c r="O137" s="17" t="s">
        <v>433</v>
      </c>
    </row>
    <row r="138" spans="1:15" hidden="1" x14ac:dyDescent="0.35">
      <c r="A138" s="17">
        <v>280</v>
      </c>
      <c r="B138" s="17">
        <v>54</v>
      </c>
      <c r="C138" s="17" t="s">
        <v>88</v>
      </c>
      <c r="E138" s="41" t="s">
        <v>86</v>
      </c>
      <c r="F138" s="41" t="s">
        <v>620</v>
      </c>
      <c r="G138" s="17">
        <v>43.2807958</v>
      </c>
      <c r="H138" s="17">
        <v>6.3869999999999996</v>
      </c>
      <c r="I138" s="17" t="s">
        <v>1330</v>
      </c>
      <c r="J138" s="17" t="s">
        <v>1330</v>
      </c>
      <c r="K138" s="17" t="s">
        <v>1330</v>
      </c>
      <c r="L138" s="17" t="s">
        <v>51</v>
      </c>
      <c r="M138" s="17" t="s">
        <v>460</v>
      </c>
      <c r="N138" s="17" t="s">
        <v>87</v>
      </c>
      <c r="O138" s="17" t="s">
        <v>433</v>
      </c>
    </row>
    <row r="139" spans="1:15" hidden="1" x14ac:dyDescent="0.35">
      <c r="A139" s="17">
        <v>280</v>
      </c>
      <c r="B139" s="17">
        <v>55</v>
      </c>
      <c r="C139" s="17" t="s">
        <v>88</v>
      </c>
      <c r="E139" s="41" t="s">
        <v>86</v>
      </c>
      <c r="F139" s="41" t="s">
        <v>620</v>
      </c>
      <c r="G139" s="17">
        <v>43.2807958</v>
      </c>
      <c r="H139" s="17">
        <v>6.3869999999999996</v>
      </c>
      <c r="I139" s="17" t="s">
        <v>1330</v>
      </c>
      <c r="J139" s="17" t="s">
        <v>1330</v>
      </c>
      <c r="K139" s="17" t="s">
        <v>1330</v>
      </c>
      <c r="L139" s="17" t="s">
        <v>51</v>
      </c>
      <c r="M139" s="17" t="s">
        <v>460</v>
      </c>
      <c r="N139" s="17" t="s">
        <v>87</v>
      </c>
      <c r="O139" s="17" t="s">
        <v>433</v>
      </c>
    </row>
    <row r="140" spans="1:15" hidden="1" x14ac:dyDescent="0.35">
      <c r="A140" s="17">
        <v>280</v>
      </c>
      <c r="B140" s="17">
        <v>56</v>
      </c>
      <c r="C140" s="17">
        <v>1982</v>
      </c>
      <c r="E140" s="41" t="s">
        <v>86</v>
      </c>
      <c r="F140" s="41" t="s">
        <v>620</v>
      </c>
      <c r="G140" s="17">
        <v>43.2807958</v>
      </c>
      <c r="H140" s="17">
        <v>6.3869999999999996</v>
      </c>
      <c r="I140" s="17" t="s">
        <v>1330</v>
      </c>
      <c r="J140" s="17" t="s">
        <v>1330</v>
      </c>
      <c r="K140" s="17" t="s">
        <v>1330</v>
      </c>
      <c r="L140" s="17" t="s">
        <v>51</v>
      </c>
      <c r="M140" s="17" t="s">
        <v>460</v>
      </c>
      <c r="N140" s="17" t="s">
        <v>87</v>
      </c>
      <c r="O140" s="17" t="s">
        <v>433</v>
      </c>
    </row>
    <row r="141" spans="1:15" hidden="1" x14ac:dyDescent="0.35">
      <c r="A141" s="17">
        <v>280</v>
      </c>
      <c r="B141" s="17">
        <v>57</v>
      </c>
      <c r="C141" s="17">
        <v>1982</v>
      </c>
      <c r="E141" s="41" t="s">
        <v>86</v>
      </c>
      <c r="F141" s="41" t="s">
        <v>620</v>
      </c>
      <c r="G141" s="17">
        <v>43.2807958</v>
      </c>
      <c r="H141" s="17">
        <v>6.3869999999999996</v>
      </c>
      <c r="I141" s="17" t="s">
        <v>1330</v>
      </c>
      <c r="J141" s="17" t="s">
        <v>1330</v>
      </c>
      <c r="K141" s="17" t="s">
        <v>1330</v>
      </c>
      <c r="L141" s="17" t="s">
        <v>51</v>
      </c>
      <c r="M141" s="17" t="s">
        <v>460</v>
      </c>
      <c r="N141" s="17" t="s">
        <v>87</v>
      </c>
      <c r="O141" s="17" t="s">
        <v>433</v>
      </c>
    </row>
    <row r="142" spans="1:15" hidden="1" x14ac:dyDescent="0.35">
      <c r="A142" s="17">
        <v>280</v>
      </c>
      <c r="B142" s="17">
        <v>58</v>
      </c>
      <c r="C142" s="17">
        <v>1982</v>
      </c>
      <c r="E142" s="41" t="s">
        <v>86</v>
      </c>
      <c r="F142" s="41" t="s">
        <v>620</v>
      </c>
      <c r="G142" s="17">
        <v>43.2807958</v>
      </c>
      <c r="H142" s="17">
        <v>6.3869999999999996</v>
      </c>
      <c r="I142" s="17" t="s">
        <v>1330</v>
      </c>
      <c r="J142" s="17" t="s">
        <v>1330</v>
      </c>
      <c r="K142" s="17" t="s">
        <v>1330</v>
      </c>
      <c r="L142" s="17" t="s">
        <v>51</v>
      </c>
      <c r="M142" s="17" t="s">
        <v>460</v>
      </c>
      <c r="N142" s="17" t="s">
        <v>87</v>
      </c>
      <c r="O142" s="17" t="s">
        <v>433</v>
      </c>
    </row>
    <row r="143" spans="1:15" hidden="1" x14ac:dyDescent="0.35">
      <c r="A143" s="17">
        <v>280</v>
      </c>
      <c r="B143" s="17">
        <v>59</v>
      </c>
      <c r="C143" s="17">
        <v>1982</v>
      </c>
      <c r="E143" s="41" t="s">
        <v>86</v>
      </c>
      <c r="F143" s="41" t="s">
        <v>620</v>
      </c>
      <c r="G143" s="17">
        <v>43.2807958</v>
      </c>
      <c r="H143" s="17">
        <v>6.3869999999999996</v>
      </c>
      <c r="I143" s="17" t="s">
        <v>1330</v>
      </c>
      <c r="J143" s="17" t="s">
        <v>1330</v>
      </c>
      <c r="K143" s="17" t="s">
        <v>1330</v>
      </c>
      <c r="L143" s="17" t="s">
        <v>51</v>
      </c>
      <c r="M143" s="17" t="s">
        <v>460</v>
      </c>
      <c r="N143" s="17" t="s">
        <v>87</v>
      </c>
      <c r="O143" s="17" t="s">
        <v>433</v>
      </c>
    </row>
    <row r="144" spans="1:15" hidden="1" x14ac:dyDescent="0.35">
      <c r="A144" s="17">
        <v>280</v>
      </c>
      <c r="B144" s="17">
        <v>60</v>
      </c>
      <c r="C144" s="17">
        <v>1982</v>
      </c>
      <c r="E144" s="41" t="s">
        <v>86</v>
      </c>
      <c r="F144" s="41" t="s">
        <v>620</v>
      </c>
      <c r="G144" s="17">
        <v>43.2807958</v>
      </c>
      <c r="H144" s="17">
        <v>6.3869999999999996</v>
      </c>
      <c r="I144" s="17" t="s">
        <v>1330</v>
      </c>
      <c r="J144" s="17" t="s">
        <v>1330</v>
      </c>
      <c r="K144" s="17" t="s">
        <v>1330</v>
      </c>
      <c r="L144" s="17" t="s">
        <v>51</v>
      </c>
      <c r="M144" s="17" t="s">
        <v>460</v>
      </c>
      <c r="N144" s="17" t="s">
        <v>87</v>
      </c>
      <c r="O144" s="17" t="s">
        <v>433</v>
      </c>
    </row>
    <row r="145" spans="1:15" hidden="1" x14ac:dyDescent="0.35">
      <c r="A145" s="17">
        <v>280</v>
      </c>
      <c r="B145" s="17">
        <v>61</v>
      </c>
      <c r="C145" s="17">
        <v>1985</v>
      </c>
      <c r="E145" s="41" t="s">
        <v>86</v>
      </c>
      <c r="F145" s="41" t="s">
        <v>620</v>
      </c>
      <c r="G145" s="17">
        <v>43.2807958</v>
      </c>
      <c r="H145" s="17">
        <v>6.3869999999999996</v>
      </c>
      <c r="I145" s="17" t="s">
        <v>1330</v>
      </c>
      <c r="J145" s="17" t="s">
        <v>1330</v>
      </c>
      <c r="K145" s="17" t="s">
        <v>1330</v>
      </c>
      <c r="L145" s="17" t="s">
        <v>51</v>
      </c>
      <c r="M145" s="17" t="s">
        <v>460</v>
      </c>
      <c r="N145" s="17" t="s">
        <v>87</v>
      </c>
      <c r="O145" s="17" t="s">
        <v>433</v>
      </c>
    </row>
    <row r="146" spans="1:15" hidden="1" x14ac:dyDescent="0.35">
      <c r="A146" s="17">
        <v>280</v>
      </c>
      <c r="B146" s="17">
        <v>62</v>
      </c>
      <c r="C146" s="17">
        <v>1985</v>
      </c>
      <c r="E146" s="41" t="s">
        <v>86</v>
      </c>
      <c r="F146" s="41" t="s">
        <v>620</v>
      </c>
      <c r="G146" s="17">
        <v>43.2807958</v>
      </c>
      <c r="H146" s="17">
        <v>6.3869999999999996</v>
      </c>
      <c r="I146" s="17" t="s">
        <v>1330</v>
      </c>
      <c r="J146" s="17" t="s">
        <v>1330</v>
      </c>
      <c r="K146" s="17" t="s">
        <v>1330</v>
      </c>
      <c r="L146" s="17" t="s">
        <v>51</v>
      </c>
      <c r="M146" s="17" t="s">
        <v>460</v>
      </c>
      <c r="N146" s="17" t="s">
        <v>87</v>
      </c>
      <c r="O146" s="17" t="s">
        <v>433</v>
      </c>
    </row>
    <row r="147" spans="1:15" hidden="1" x14ac:dyDescent="0.35">
      <c r="A147" s="17">
        <v>280</v>
      </c>
      <c r="B147" s="17">
        <v>63</v>
      </c>
      <c r="C147" s="17" t="s">
        <v>89</v>
      </c>
      <c r="E147" s="41" t="s">
        <v>86</v>
      </c>
      <c r="F147" s="41" t="s">
        <v>620</v>
      </c>
      <c r="G147" s="17">
        <v>43.2807958</v>
      </c>
      <c r="H147" s="17">
        <v>6.3869999999999996</v>
      </c>
      <c r="I147" s="17" t="s">
        <v>1330</v>
      </c>
      <c r="J147" s="17" t="s">
        <v>1330</v>
      </c>
      <c r="K147" s="17" t="s">
        <v>1330</v>
      </c>
      <c r="L147" s="17" t="s">
        <v>51</v>
      </c>
      <c r="M147" s="17" t="s">
        <v>460</v>
      </c>
      <c r="N147" s="17" t="s">
        <v>87</v>
      </c>
      <c r="O147" s="17" t="s">
        <v>433</v>
      </c>
    </row>
    <row r="148" spans="1:15" hidden="1" x14ac:dyDescent="0.35">
      <c r="A148" s="17">
        <v>280</v>
      </c>
      <c r="B148" s="17">
        <v>64</v>
      </c>
      <c r="C148" s="17" t="s">
        <v>89</v>
      </c>
      <c r="E148" s="41" t="s">
        <v>86</v>
      </c>
      <c r="F148" s="41" t="s">
        <v>620</v>
      </c>
      <c r="G148" s="17">
        <v>43.2807958</v>
      </c>
      <c r="H148" s="17">
        <v>6.3869999999999996</v>
      </c>
      <c r="I148" s="17" t="s">
        <v>1330</v>
      </c>
      <c r="J148" s="17" t="s">
        <v>1330</v>
      </c>
      <c r="K148" s="17" t="s">
        <v>1330</v>
      </c>
      <c r="L148" s="17" t="s">
        <v>51</v>
      </c>
      <c r="M148" s="17" t="s">
        <v>460</v>
      </c>
      <c r="N148" s="17" t="s">
        <v>87</v>
      </c>
      <c r="O148" s="17" t="s">
        <v>433</v>
      </c>
    </row>
    <row r="149" spans="1:15" hidden="1" x14ac:dyDescent="0.35">
      <c r="A149" s="17">
        <v>280</v>
      </c>
      <c r="B149" s="17">
        <v>65</v>
      </c>
      <c r="C149" s="17" t="s">
        <v>89</v>
      </c>
      <c r="E149" s="41" t="s">
        <v>86</v>
      </c>
      <c r="F149" s="41" t="s">
        <v>620</v>
      </c>
      <c r="G149" s="17">
        <v>43.2807958</v>
      </c>
      <c r="H149" s="17">
        <v>6.3869999999999996</v>
      </c>
      <c r="I149" s="17" t="s">
        <v>1330</v>
      </c>
      <c r="J149" s="17" t="s">
        <v>1330</v>
      </c>
      <c r="K149" s="17" t="s">
        <v>1330</v>
      </c>
      <c r="L149" s="17" t="s">
        <v>51</v>
      </c>
      <c r="M149" s="17" t="s">
        <v>460</v>
      </c>
      <c r="N149" s="17" t="s">
        <v>87</v>
      </c>
      <c r="O149" s="17" t="s">
        <v>433</v>
      </c>
    </row>
    <row r="150" spans="1:15" hidden="1" x14ac:dyDescent="0.35">
      <c r="A150" s="17">
        <v>280</v>
      </c>
      <c r="B150" s="17">
        <v>66</v>
      </c>
      <c r="C150" s="17" t="s">
        <v>89</v>
      </c>
      <c r="E150" s="41" t="s">
        <v>86</v>
      </c>
      <c r="F150" s="41" t="s">
        <v>620</v>
      </c>
      <c r="G150" s="17">
        <v>43.2807958</v>
      </c>
      <c r="H150" s="17">
        <v>6.3869999999999996</v>
      </c>
      <c r="I150" s="17" t="s">
        <v>1330</v>
      </c>
      <c r="J150" s="17" t="s">
        <v>1330</v>
      </c>
      <c r="K150" s="17" t="s">
        <v>1330</v>
      </c>
      <c r="L150" s="17" t="s">
        <v>51</v>
      </c>
      <c r="M150" s="17" t="s">
        <v>460</v>
      </c>
      <c r="N150" s="17" t="s">
        <v>87</v>
      </c>
      <c r="O150" s="17" t="s">
        <v>433</v>
      </c>
    </row>
    <row r="151" spans="1:15" hidden="1" x14ac:dyDescent="0.35">
      <c r="A151" s="17">
        <v>280</v>
      </c>
      <c r="B151" s="17">
        <v>67</v>
      </c>
      <c r="C151" s="17" t="s">
        <v>89</v>
      </c>
      <c r="E151" s="41" t="s">
        <v>86</v>
      </c>
      <c r="F151" s="41" t="s">
        <v>620</v>
      </c>
      <c r="G151" s="17">
        <v>43.2807958</v>
      </c>
      <c r="H151" s="17">
        <v>6.3869999999999996</v>
      </c>
      <c r="I151" s="17" t="s">
        <v>1330</v>
      </c>
      <c r="J151" s="17" t="s">
        <v>1330</v>
      </c>
      <c r="K151" s="17" t="s">
        <v>1330</v>
      </c>
      <c r="L151" s="17" t="s">
        <v>51</v>
      </c>
      <c r="M151" s="17" t="s">
        <v>460</v>
      </c>
      <c r="N151" s="17" t="s">
        <v>87</v>
      </c>
      <c r="O151" s="17" t="s">
        <v>433</v>
      </c>
    </row>
    <row r="152" spans="1:15" hidden="1" x14ac:dyDescent="0.35">
      <c r="A152" s="17">
        <v>280</v>
      </c>
      <c r="B152" s="17">
        <v>68</v>
      </c>
      <c r="C152" s="17" t="s">
        <v>89</v>
      </c>
      <c r="E152" s="41" t="s">
        <v>86</v>
      </c>
      <c r="F152" s="41" t="s">
        <v>620</v>
      </c>
      <c r="G152" s="17">
        <v>43.2807958</v>
      </c>
      <c r="H152" s="17">
        <v>6.3869999999999996</v>
      </c>
      <c r="I152" s="17" t="s">
        <v>1330</v>
      </c>
      <c r="J152" s="17" t="s">
        <v>1330</v>
      </c>
      <c r="K152" s="17" t="s">
        <v>1330</v>
      </c>
      <c r="L152" s="17" t="s">
        <v>51</v>
      </c>
      <c r="M152" s="17" t="s">
        <v>460</v>
      </c>
      <c r="N152" s="17" t="s">
        <v>87</v>
      </c>
      <c r="O152" s="17" t="s">
        <v>433</v>
      </c>
    </row>
    <row r="153" spans="1:15" hidden="1" x14ac:dyDescent="0.35">
      <c r="A153" s="17">
        <v>280</v>
      </c>
      <c r="B153" s="17">
        <v>69</v>
      </c>
      <c r="C153" s="17" t="s">
        <v>89</v>
      </c>
      <c r="E153" s="41" t="s">
        <v>86</v>
      </c>
      <c r="F153" s="41" t="s">
        <v>620</v>
      </c>
      <c r="G153" s="17">
        <v>43.2807958</v>
      </c>
      <c r="H153" s="17">
        <v>6.3869999999999996</v>
      </c>
      <c r="I153" s="17" t="s">
        <v>1330</v>
      </c>
      <c r="J153" s="17" t="s">
        <v>1330</v>
      </c>
      <c r="K153" s="17" t="s">
        <v>1330</v>
      </c>
      <c r="L153" s="17" t="s">
        <v>51</v>
      </c>
      <c r="M153" s="17" t="s">
        <v>460</v>
      </c>
      <c r="N153" s="17" t="s">
        <v>87</v>
      </c>
      <c r="O153" s="17" t="s">
        <v>433</v>
      </c>
    </row>
    <row r="154" spans="1:15" hidden="1" x14ac:dyDescent="0.35">
      <c r="A154" s="17">
        <v>280</v>
      </c>
      <c r="B154" s="17">
        <v>70</v>
      </c>
      <c r="C154" s="17" t="s">
        <v>89</v>
      </c>
      <c r="E154" s="41" t="s">
        <v>86</v>
      </c>
      <c r="F154" s="41" t="s">
        <v>620</v>
      </c>
      <c r="G154" s="17">
        <v>43.2807958</v>
      </c>
      <c r="H154" s="17">
        <v>6.3869999999999996</v>
      </c>
      <c r="I154" s="17" t="s">
        <v>1330</v>
      </c>
      <c r="J154" s="17" t="s">
        <v>1330</v>
      </c>
      <c r="K154" s="17" t="s">
        <v>1330</v>
      </c>
      <c r="L154" s="17" t="s">
        <v>51</v>
      </c>
      <c r="M154" s="17" t="s">
        <v>460</v>
      </c>
      <c r="N154" s="17" t="s">
        <v>87</v>
      </c>
      <c r="O154" s="17" t="s">
        <v>433</v>
      </c>
    </row>
    <row r="155" spans="1:15" hidden="1" x14ac:dyDescent="0.35">
      <c r="A155" s="17">
        <v>280</v>
      </c>
      <c r="B155" s="17">
        <v>71</v>
      </c>
      <c r="C155" s="17" t="s">
        <v>89</v>
      </c>
      <c r="E155" s="41" t="s">
        <v>86</v>
      </c>
      <c r="F155" s="41" t="s">
        <v>620</v>
      </c>
      <c r="G155" s="17">
        <v>43.2807958</v>
      </c>
      <c r="H155" s="17">
        <v>6.3869999999999996</v>
      </c>
      <c r="I155" s="17" t="s">
        <v>1330</v>
      </c>
      <c r="J155" s="17" t="s">
        <v>1330</v>
      </c>
      <c r="K155" s="17" t="s">
        <v>1330</v>
      </c>
      <c r="L155" s="17" t="s">
        <v>51</v>
      </c>
      <c r="M155" s="17" t="s">
        <v>460</v>
      </c>
      <c r="N155" s="17" t="s">
        <v>87</v>
      </c>
      <c r="O155" s="17" t="s">
        <v>433</v>
      </c>
    </row>
    <row r="156" spans="1:15" hidden="1" x14ac:dyDescent="0.35">
      <c r="A156" s="17">
        <v>280</v>
      </c>
      <c r="B156" s="17">
        <v>72</v>
      </c>
      <c r="C156" s="17" t="s">
        <v>59</v>
      </c>
      <c r="E156" s="41" t="s">
        <v>86</v>
      </c>
      <c r="F156" s="41" t="s">
        <v>620</v>
      </c>
      <c r="G156" s="17">
        <v>43.2807958</v>
      </c>
      <c r="H156" s="17">
        <v>6.3869999999999996</v>
      </c>
      <c r="I156" s="17" t="s">
        <v>1330</v>
      </c>
      <c r="J156" s="17" t="s">
        <v>1330</v>
      </c>
      <c r="K156" s="17" t="s">
        <v>1330</v>
      </c>
      <c r="L156" s="17" t="s">
        <v>51</v>
      </c>
      <c r="M156" s="17" t="s">
        <v>460</v>
      </c>
      <c r="N156" s="17" t="s">
        <v>87</v>
      </c>
      <c r="O156" s="17" t="s">
        <v>433</v>
      </c>
    </row>
    <row r="157" spans="1:15" x14ac:dyDescent="0.35">
      <c r="A157" s="17">
        <v>282</v>
      </c>
      <c r="B157" s="17">
        <v>1</v>
      </c>
      <c r="C157" s="17" t="s">
        <v>1368</v>
      </c>
      <c r="E157" s="41" t="s">
        <v>37</v>
      </c>
      <c r="F157" s="41" t="s">
        <v>622</v>
      </c>
      <c r="G157" s="17">
        <v>38.964500000000001</v>
      </c>
      <c r="H157" s="17">
        <v>-9.3026999999999997</v>
      </c>
      <c r="I157" s="17">
        <f>(80+360)/2</f>
        <v>220</v>
      </c>
      <c r="J157" s="17">
        <v>570</v>
      </c>
      <c r="K157" s="17" t="s">
        <v>33</v>
      </c>
      <c r="L157" s="17" t="s">
        <v>34</v>
      </c>
      <c r="M157" s="17" t="s">
        <v>459</v>
      </c>
      <c r="N157" s="17" t="s">
        <v>1722</v>
      </c>
      <c r="O157" s="17" t="s">
        <v>433</v>
      </c>
    </row>
    <row r="158" spans="1:15" hidden="1" x14ac:dyDescent="0.35">
      <c r="A158" s="17">
        <v>287</v>
      </c>
      <c r="B158" s="17">
        <v>1</v>
      </c>
      <c r="C158" s="17" t="s">
        <v>1344</v>
      </c>
      <c r="E158" s="41" t="s">
        <v>45</v>
      </c>
      <c r="F158" s="41" t="s">
        <v>620</v>
      </c>
      <c r="G158" s="17">
        <v>38.967500000000001</v>
      </c>
      <c r="H158" s="17">
        <v>-3.4769444444444444</v>
      </c>
      <c r="I158" s="17">
        <v>2320</v>
      </c>
      <c r="J158" s="17">
        <v>1300</v>
      </c>
      <c r="K158" s="17" t="s">
        <v>1330</v>
      </c>
      <c r="L158" s="17" t="s">
        <v>34</v>
      </c>
      <c r="M158" s="17" t="s">
        <v>38</v>
      </c>
      <c r="N158" s="17" t="s">
        <v>71</v>
      </c>
      <c r="O158" s="17" t="s">
        <v>44</v>
      </c>
    </row>
    <row r="159" spans="1:15" hidden="1" x14ac:dyDescent="0.35">
      <c r="A159" s="17">
        <v>289</v>
      </c>
      <c r="B159" s="17">
        <v>1</v>
      </c>
      <c r="C159" s="17">
        <v>1994</v>
      </c>
      <c r="E159" s="41" t="s">
        <v>45</v>
      </c>
      <c r="F159" s="41" t="s">
        <v>621</v>
      </c>
      <c r="G159" s="17">
        <v>41.925800000000002</v>
      </c>
      <c r="H159" s="17">
        <v>1.8998900000000001</v>
      </c>
      <c r="I159" s="17">
        <f>(320+1500)/2</f>
        <v>910</v>
      </c>
      <c r="J159" s="46">
        <v>24300</v>
      </c>
      <c r="K159" s="17" t="s">
        <v>1330</v>
      </c>
      <c r="L159" s="17" t="s">
        <v>51</v>
      </c>
      <c r="M159" s="17" t="s">
        <v>38</v>
      </c>
      <c r="N159" s="17" t="s">
        <v>90</v>
      </c>
      <c r="O159" s="17" t="s">
        <v>433</v>
      </c>
    </row>
    <row r="160" spans="1:15" hidden="1" x14ac:dyDescent="0.35">
      <c r="A160" s="17">
        <v>289</v>
      </c>
      <c r="B160" s="17">
        <v>2</v>
      </c>
      <c r="C160" s="17">
        <v>1998</v>
      </c>
      <c r="E160" s="41" t="s">
        <v>45</v>
      </c>
      <c r="F160" s="41" t="s">
        <v>621</v>
      </c>
      <c r="G160" s="17">
        <v>41.925800000000002</v>
      </c>
      <c r="H160" s="17">
        <v>1.8998900000000001</v>
      </c>
      <c r="I160" s="17">
        <f>(320+1500)/2</f>
        <v>910</v>
      </c>
      <c r="J160" s="46">
        <v>14300</v>
      </c>
      <c r="K160" s="17" t="s">
        <v>1330</v>
      </c>
      <c r="L160" s="17" t="s">
        <v>51</v>
      </c>
      <c r="M160" s="17" t="s">
        <v>38</v>
      </c>
      <c r="N160" s="17" t="s">
        <v>90</v>
      </c>
      <c r="O160" s="17" t="s">
        <v>433</v>
      </c>
    </row>
    <row r="161" spans="1:15" x14ac:dyDescent="0.35">
      <c r="A161" s="17">
        <v>295</v>
      </c>
      <c r="B161" s="17">
        <v>1</v>
      </c>
      <c r="C161" s="17" t="s">
        <v>1344</v>
      </c>
      <c r="E161" s="41" t="s">
        <v>45</v>
      </c>
      <c r="F161" s="41" t="s">
        <v>620</v>
      </c>
      <c r="G161" s="17">
        <v>36.952500000000001</v>
      </c>
      <c r="H161" s="17">
        <v>-3.4933333333333332</v>
      </c>
      <c r="I161" s="44">
        <f>(1395+1552)/2</f>
        <v>1473.5</v>
      </c>
      <c r="J161" s="17">
        <v>1300</v>
      </c>
      <c r="K161" s="17" t="s">
        <v>33</v>
      </c>
      <c r="L161" s="17" t="s">
        <v>34</v>
      </c>
      <c r="M161" s="17" t="s">
        <v>38</v>
      </c>
      <c r="N161" s="17" t="s">
        <v>39</v>
      </c>
      <c r="O161" s="17" t="s">
        <v>730</v>
      </c>
    </row>
    <row r="162" spans="1:15" hidden="1" x14ac:dyDescent="0.35">
      <c r="A162" s="17">
        <v>334</v>
      </c>
      <c r="B162" s="17">
        <v>1</v>
      </c>
      <c r="C162" s="17">
        <v>1985</v>
      </c>
      <c r="E162" s="41" t="s">
        <v>91</v>
      </c>
      <c r="F162" s="41" t="s">
        <v>621</v>
      </c>
      <c r="G162" s="17">
        <v>-33.391599999999997</v>
      </c>
      <c r="H162" s="45">
        <v>-70.916700000000006</v>
      </c>
      <c r="I162" s="44">
        <v>430.4</v>
      </c>
      <c r="J162" s="44">
        <v>778</v>
      </c>
      <c r="K162" s="17" t="s">
        <v>73</v>
      </c>
      <c r="L162" s="17" t="s">
        <v>34</v>
      </c>
      <c r="M162" s="17" t="s">
        <v>75</v>
      </c>
      <c r="N162" s="17" t="s">
        <v>92</v>
      </c>
      <c r="O162" s="17" t="s">
        <v>433</v>
      </c>
    </row>
    <row r="163" spans="1:15" hidden="1" x14ac:dyDescent="0.35">
      <c r="A163" s="17">
        <v>334</v>
      </c>
      <c r="B163" s="17">
        <v>2</v>
      </c>
      <c r="C163" s="17">
        <v>1995</v>
      </c>
      <c r="E163" s="41" t="s">
        <v>91</v>
      </c>
      <c r="F163" s="41" t="s">
        <v>621</v>
      </c>
      <c r="G163" s="17">
        <v>-33.391599999999997</v>
      </c>
      <c r="H163" s="45">
        <v>-70.916700000000006</v>
      </c>
      <c r="I163" s="44">
        <v>547</v>
      </c>
      <c r="J163" s="44">
        <v>736</v>
      </c>
      <c r="K163" s="17" t="s">
        <v>73</v>
      </c>
      <c r="L163" s="17" t="s">
        <v>34</v>
      </c>
      <c r="M163" s="17" t="s">
        <v>75</v>
      </c>
      <c r="N163" s="17" t="s">
        <v>92</v>
      </c>
      <c r="O163" s="17" t="s">
        <v>433</v>
      </c>
    </row>
    <row r="164" spans="1:15" hidden="1" x14ac:dyDescent="0.35">
      <c r="A164" s="17">
        <v>334</v>
      </c>
      <c r="B164" s="17">
        <v>3</v>
      </c>
      <c r="C164" s="17">
        <v>2005</v>
      </c>
      <c r="E164" s="41" t="s">
        <v>91</v>
      </c>
      <c r="F164" s="41" t="s">
        <v>621</v>
      </c>
      <c r="G164" s="17">
        <v>-33.391599999999997</v>
      </c>
      <c r="H164" s="45">
        <v>-70.916700000000006</v>
      </c>
      <c r="I164" s="44">
        <v>611.29999999999995</v>
      </c>
      <c r="J164" s="44">
        <v>3630</v>
      </c>
      <c r="K164" s="17" t="s">
        <v>73</v>
      </c>
      <c r="L164" s="17" t="s">
        <v>34</v>
      </c>
      <c r="M164" s="17" t="s">
        <v>75</v>
      </c>
      <c r="N164" s="17" t="s">
        <v>92</v>
      </c>
      <c r="O164" s="17" t="s">
        <v>433</v>
      </c>
    </row>
    <row r="165" spans="1:15" hidden="1" x14ac:dyDescent="0.35">
      <c r="A165" s="17">
        <v>334</v>
      </c>
      <c r="B165" s="17">
        <v>4</v>
      </c>
      <c r="C165" s="17">
        <v>2015</v>
      </c>
      <c r="E165" s="41" t="s">
        <v>91</v>
      </c>
      <c r="F165" s="41" t="s">
        <v>621</v>
      </c>
      <c r="G165" s="17">
        <v>-33.391599999999997</v>
      </c>
      <c r="H165" s="45">
        <v>-70.916700000000006</v>
      </c>
      <c r="I165" s="44">
        <v>422.3</v>
      </c>
      <c r="J165" s="44">
        <v>5643</v>
      </c>
      <c r="K165" s="17" t="s">
        <v>73</v>
      </c>
      <c r="L165" s="17" t="s">
        <v>34</v>
      </c>
      <c r="M165" s="17" t="s">
        <v>75</v>
      </c>
      <c r="N165" s="17" t="s">
        <v>92</v>
      </c>
      <c r="O165" s="17" t="s">
        <v>433</v>
      </c>
    </row>
    <row r="166" spans="1:15" x14ac:dyDescent="0.35">
      <c r="A166" s="17">
        <v>342</v>
      </c>
      <c r="B166" s="17">
        <v>1</v>
      </c>
      <c r="C166" s="17" t="s">
        <v>1361</v>
      </c>
      <c r="D166" s="17" t="s">
        <v>404</v>
      </c>
      <c r="E166" s="41" t="s">
        <v>45</v>
      </c>
      <c r="F166" s="41" t="s">
        <v>622</v>
      </c>
      <c r="G166" s="17">
        <v>42.018599700000003</v>
      </c>
      <c r="H166" s="45">
        <v>1.7339595000000001</v>
      </c>
      <c r="I166" s="17" t="s">
        <v>1330</v>
      </c>
      <c r="J166" s="17">
        <v>43774</v>
      </c>
      <c r="K166" s="17" t="s">
        <v>93</v>
      </c>
      <c r="L166" s="17" t="s">
        <v>51</v>
      </c>
      <c r="M166" s="17" t="s">
        <v>461</v>
      </c>
      <c r="N166" s="17" t="s">
        <v>94</v>
      </c>
      <c r="O166" s="17" t="s">
        <v>44</v>
      </c>
    </row>
    <row r="167" spans="1:15" x14ac:dyDescent="0.35">
      <c r="A167" s="17">
        <v>342</v>
      </c>
      <c r="B167" s="17">
        <v>2</v>
      </c>
      <c r="C167" s="17" t="s">
        <v>1396</v>
      </c>
      <c r="D167" s="17" t="s">
        <v>404</v>
      </c>
      <c r="E167" s="41" t="s">
        <v>45</v>
      </c>
      <c r="F167" s="41" t="s">
        <v>622</v>
      </c>
      <c r="G167" s="17">
        <v>39.488849999999999</v>
      </c>
      <c r="H167" s="17">
        <v>-1.099766</v>
      </c>
      <c r="I167" s="17" t="s">
        <v>1330</v>
      </c>
      <c r="J167" s="17">
        <v>38750</v>
      </c>
      <c r="K167" s="17" t="s">
        <v>93</v>
      </c>
      <c r="L167" s="17" t="s">
        <v>51</v>
      </c>
      <c r="M167" s="17" t="s">
        <v>461</v>
      </c>
      <c r="N167" s="17" t="s">
        <v>94</v>
      </c>
      <c r="O167" s="17" t="s">
        <v>44</v>
      </c>
    </row>
    <row r="168" spans="1:15" x14ac:dyDescent="0.35">
      <c r="A168" s="17">
        <v>342</v>
      </c>
      <c r="B168" s="17">
        <v>3</v>
      </c>
      <c r="C168" s="17" t="s">
        <v>1361</v>
      </c>
      <c r="D168" s="17" t="s">
        <v>404</v>
      </c>
      <c r="E168" s="41" t="s">
        <v>45</v>
      </c>
      <c r="F168" s="41" t="s">
        <v>622</v>
      </c>
      <c r="G168" s="17">
        <v>38.189</v>
      </c>
      <c r="H168" s="17">
        <v>-1.8919999999999999</v>
      </c>
      <c r="I168" s="17" t="s">
        <v>1330</v>
      </c>
      <c r="J168" s="17">
        <v>28353</v>
      </c>
      <c r="K168" s="17" t="s">
        <v>93</v>
      </c>
      <c r="L168" s="17" t="s">
        <v>51</v>
      </c>
      <c r="M168" s="17" t="s">
        <v>461</v>
      </c>
      <c r="N168" s="17" t="s">
        <v>94</v>
      </c>
      <c r="O168" s="17" t="s">
        <v>44</v>
      </c>
    </row>
    <row r="169" spans="1:15" x14ac:dyDescent="0.35">
      <c r="A169" s="17">
        <v>342</v>
      </c>
      <c r="B169" s="17">
        <v>4</v>
      </c>
      <c r="C169" s="17" t="s">
        <v>1402</v>
      </c>
      <c r="D169" s="17" t="s">
        <v>404</v>
      </c>
      <c r="E169" s="41" t="s">
        <v>45</v>
      </c>
      <c r="F169" s="41" t="s">
        <v>622</v>
      </c>
      <c r="G169" s="17">
        <v>42.357999999999997</v>
      </c>
      <c r="H169" s="17">
        <v>-1.127</v>
      </c>
      <c r="I169" s="17" t="s">
        <v>1330</v>
      </c>
      <c r="J169" s="17">
        <v>10120</v>
      </c>
      <c r="K169" s="17" t="s">
        <v>93</v>
      </c>
      <c r="L169" s="17" t="s">
        <v>51</v>
      </c>
      <c r="M169" s="17" t="s">
        <v>461</v>
      </c>
      <c r="N169" s="17" t="s">
        <v>94</v>
      </c>
      <c r="O169" s="17" t="s">
        <v>44</v>
      </c>
    </row>
    <row r="170" spans="1:15" x14ac:dyDescent="0.35">
      <c r="A170" s="17">
        <v>342</v>
      </c>
      <c r="B170" s="17">
        <v>5</v>
      </c>
      <c r="C170" s="17" t="s">
        <v>1403</v>
      </c>
      <c r="D170" s="17" t="s">
        <v>404</v>
      </c>
      <c r="E170" s="41" t="s">
        <v>45</v>
      </c>
      <c r="F170" s="41" t="s">
        <v>622</v>
      </c>
      <c r="G170" s="17">
        <v>40.653880000000001</v>
      </c>
      <c r="H170" s="17">
        <v>-0.53059999999999996</v>
      </c>
      <c r="I170" s="17" t="s">
        <v>1330</v>
      </c>
      <c r="J170" s="17">
        <v>29119</v>
      </c>
      <c r="K170" s="17" t="s">
        <v>93</v>
      </c>
      <c r="L170" s="17" t="s">
        <v>51</v>
      </c>
      <c r="M170" s="17" t="s">
        <v>461</v>
      </c>
      <c r="N170" s="17" t="s">
        <v>94</v>
      </c>
      <c r="O170" s="17" t="s">
        <v>44</v>
      </c>
    </row>
    <row r="171" spans="1:15" x14ac:dyDescent="0.35">
      <c r="A171" s="17">
        <v>342</v>
      </c>
      <c r="B171" s="17">
        <v>6</v>
      </c>
      <c r="C171" s="17" t="s">
        <v>1404</v>
      </c>
      <c r="D171" s="17" t="s">
        <v>404</v>
      </c>
      <c r="E171" s="41" t="s">
        <v>45</v>
      </c>
      <c r="F171" s="41" t="s">
        <v>622</v>
      </c>
      <c r="G171" s="17">
        <v>38.365000000000002</v>
      </c>
      <c r="H171" s="17">
        <v>-2.3210000000000002</v>
      </c>
      <c r="I171" s="17" t="s">
        <v>1330</v>
      </c>
      <c r="J171" s="17">
        <v>12669</v>
      </c>
      <c r="K171" s="17" t="s">
        <v>93</v>
      </c>
      <c r="L171" s="17" t="s">
        <v>51</v>
      </c>
      <c r="M171" s="17" t="s">
        <v>461</v>
      </c>
      <c r="N171" s="17" t="s">
        <v>94</v>
      </c>
      <c r="O171" s="17" t="s">
        <v>44</v>
      </c>
    </row>
    <row r="172" spans="1:15" hidden="1" x14ac:dyDescent="0.35">
      <c r="A172" s="17">
        <v>346</v>
      </c>
      <c r="B172" s="17">
        <v>1</v>
      </c>
      <c r="C172" s="17">
        <v>2017</v>
      </c>
      <c r="E172" s="41" t="s">
        <v>91</v>
      </c>
      <c r="F172" s="41" t="s">
        <v>621</v>
      </c>
      <c r="G172" s="17">
        <v>-35.450833333333335</v>
      </c>
      <c r="H172" s="17">
        <v>-72.279722222222219</v>
      </c>
      <c r="I172" s="44">
        <f>(164+749)/2</f>
        <v>456.5</v>
      </c>
      <c r="J172" s="17">
        <v>160000</v>
      </c>
      <c r="K172" s="17" t="s">
        <v>95</v>
      </c>
      <c r="L172" s="17" t="s">
        <v>34</v>
      </c>
      <c r="M172" s="17" t="s">
        <v>1089</v>
      </c>
      <c r="N172" s="17" t="s">
        <v>96</v>
      </c>
      <c r="O172" s="17" t="s">
        <v>1330</v>
      </c>
    </row>
    <row r="173" spans="1:15" hidden="1" x14ac:dyDescent="0.35">
      <c r="A173" s="17">
        <v>375</v>
      </c>
      <c r="B173" s="17">
        <v>1</v>
      </c>
      <c r="C173" s="17" t="s">
        <v>55</v>
      </c>
      <c r="E173" s="41" t="s">
        <v>49</v>
      </c>
      <c r="F173" s="41" t="s">
        <v>621</v>
      </c>
      <c r="G173" s="17">
        <v>40.694000000000003</v>
      </c>
      <c r="H173" s="17">
        <v>24.643000000000001</v>
      </c>
      <c r="I173" s="17" t="s">
        <v>1330</v>
      </c>
      <c r="J173" s="17" t="s">
        <v>1330</v>
      </c>
      <c r="K173" s="17" t="s">
        <v>1330</v>
      </c>
      <c r="L173" s="17" t="s">
        <v>51</v>
      </c>
      <c r="M173" s="17" t="s">
        <v>38</v>
      </c>
      <c r="N173" s="17" t="s">
        <v>97</v>
      </c>
      <c r="O173" s="17" t="s">
        <v>433</v>
      </c>
    </row>
    <row r="174" spans="1:15" hidden="1" x14ac:dyDescent="0.35">
      <c r="A174" s="17">
        <v>375</v>
      </c>
      <c r="B174" s="17">
        <v>2</v>
      </c>
      <c r="C174" s="17" t="s">
        <v>66</v>
      </c>
      <c r="E174" s="41" t="s">
        <v>49</v>
      </c>
      <c r="F174" s="41" t="s">
        <v>621</v>
      </c>
      <c r="G174" s="17">
        <v>40.694000000000003</v>
      </c>
      <c r="H174" s="17">
        <v>24.643000000000001</v>
      </c>
      <c r="I174" s="17" t="s">
        <v>1330</v>
      </c>
      <c r="J174" s="17" t="s">
        <v>1330</v>
      </c>
      <c r="K174" s="17" t="s">
        <v>1330</v>
      </c>
      <c r="L174" s="17" t="s">
        <v>51</v>
      </c>
      <c r="M174" s="17" t="s">
        <v>38</v>
      </c>
      <c r="N174" s="17" t="s">
        <v>97</v>
      </c>
      <c r="O174" s="17" t="s">
        <v>433</v>
      </c>
    </row>
    <row r="175" spans="1:15" hidden="1" x14ac:dyDescent="0.35">
      <c r="A175" s="17">
        <v>378</v>
      </c>
      <c r="B175" s="17">
        <v>1</v>
      </c>
      <c r="C175" s="17" t="s">
        <v>1404</v>
      </c>
      <c r="D175" s="17" t="s">
        <v>404</v>
      </c>
      <c r="E175" s="41" t="s">
        <v>45</v>
      </c>
      <c r="F175" s="41" t="s">
        <v>621</v>
      </c>
      <c r="G175" s="17">
        <v>38.398499999999999</v>
      </c>
      <c r="H175" s="17">
        <v>-2.3130000000000002</v>
      </c>
      <c r="I175" s="17" t="s">
        <v>1330</v>
      </c>
      <c r="J175" s="17">
        <v>11685</v>
      </c>
      <c r="K175" s="17" t="s">
        <v>1330</v>
      </c>
      <c r="L175" s="17" t="s">
        <v>34</v>
      </c>
      <c r="M175" s="17" t="s">
        <v>38</v>
      </c>
      <c r="N175" s="17" t="s">
        <v>98</v>
      </c>
      <c r="O175" s="17" t="s">
        <v>1330</v>
      </c>
    </row>
    <row r="176" spans="1:15" hidden="1" x14ac:dyDescent="0.35">
      <c r="A176" s="17">
        <v>378</v>
      </c>
      <c r="B176" s="17">
        <v>2</v>
      </c>
      <c r="C176" s="17" t="s">
        <v>1405</v>
      </c>
      <c r="D176" s="17" t="s">
        <v>404</v>
      </c>
      <c r="E176" s="41" t="s">
        <v>45</v>
      </c>
      <c r="F176" s="41" t="s">
        <v>621</v>
      </c>
      <c r="G176" s="17">
        <v>38.398499999999999</v>
      </c>
      <c r="H176" s="17">
        <v>-2.3130000000000002</v>
      </c>
      <c r="I176" s="17" t="s">
        <v>1330</v>
      </c>
      <c r="J176" s="17">
        <v>3000</v>
      </c>
      <c r="K176" s="17" t="s">
        <v>1330</v>
      </c>
      <c r="L176" s="17" t="s">
        <v>34</v>
      </c>
      <c r="M176" s="17" t="s">
        <v>38</v>
      </c>
      <c r="N176" s="17" t="s">
        <v>98</v>
      </c>
      <c r="O176" s="17" t="s">
        <v>1330</v>
      </c>
    </row>
    <row r="177" spans="1:16" x14ac:dyDescent="0.35">
      <c r="A177" s="17">
        <v>381</v>
      </c>
      <c r="B177" s="17">
        <v>1</v>
      </c>
      <c r="C177" s="17" t="s">
        <v>62</v>
      </c>
      <c r="E177" s="41" t="s">
        <v>45</v>
      </c>
      <c r="F177" s="41" t="s">
        <v>620</v>
      </c>
      <c r="G177" s="17">
        <v>36.963999999999999</v>
      </c>
      <c r="H177" s="17">
        <v>-3.4910000000000001</v>
      </c>
      <c r="I177" s="44">
        <f>(1477+1698+2053)/3</f>
        <v>1742.6666666666667</v>
      </c>
      <c r="J177" s="17">
        <v>1300</v>
      </c>
      <c r="K177" s="17" t="s">
        <v>33</v>
      </c>
      <c r="L177" s="17" t="s">
        <v>34</v>
      </c>
      <c r="M177" s="17" t="s">
        <v>38</v>
      </c>
      <c r="N177" s="17" t="s">
        <v>99</v>
      </c>
      <c r="O177" s="17" t="s">
        <v>730</v>
      </c>
    </row>
    <row r="178" spans="1:16" x14ac:dyDescent="0.35">
      <c r="A178" s="17">
        <v>398</v>
      </c>
      <c r="B178" s="17">
        <v>1</v>
      </c>
      <c r="C178" s="17" t="s">
        <v>1406</v>
      </c>
      <c r="D178" s="17" t="s">
        <v>404</v>
      </c>
      <c r="E178" s="41" t="s">
        <v>45</v>
      </c>
      <c r="F178" s="41" t="s">
        <v>620</v>
      </c>
      <c r="G178" s="17">
        <v>38.421944444444442</v>
      </c>
      <c r="H178" s="17">
        <v>1.6375</v>
      </c>
      <c r="I178" s="17">
        <f>(520+770)/2</f>
        <v>645</v>
      </c>
      <c r="J178" s="17">
        <v>300</v>
      </c>
      <c r="K178" s="17" t="s">
        <v>33</v>
      </c>
      <c r="L178" s="17" t="s">
        <v>34</v>
      </c>
      <c r="M178" s="17" t="s">
        <v>38</v>
      </c>
      <c r="N178" s="17" t="s">
        <v>50</v>
      </c>
      <c r="O178" s="17" t="s">
        <v>44</v>
      </c>
    </row>
    <row r="179" spans="1:16" x14ac:dyDescent="0.35">
      <c r="A179" s="17">
        <v>419</v>
      </c>
      <c r="B179" s="17">
        <v>1</v>
      </c>
      <c r="C179" s="17" t="s">
        <v>1407</v>
      </c>
      <c r="D179" s="17" t="s">
        <v>404</v>
      </c>
      <c r="E179" s="41" t="s">
        <v>82</v>
      </c>
      <c r="F179" s="41" t="s">
        <v>622</v>
      </c>
      <c r="G179" s="17">
        <v>41.72</v>
      </c>
      <c r="H179" s="17">
        <v>12.33</v>
      </c>
      <c r="I179" s="17" t="s">
        <v>1330</v>
      </c>
      <c r="J179" s="17">
        <v>350</v>
      </c>
      <c r="K179" s="17" t="s">
        <v>33</v>
      </c>
      <c r="L179" s="17" t="s">
        <v>34</v>
      </c>
      <c r="M179" s="17" t="s">
        <v>460</v>
      </c>
      <c r="N179" s="17" t="s">
        <v>100</v>
      </c>
      <c r="O179" s="17" t="s">
        <v>4749</v>
      </c>
    </row>
    <row r="180" spans="1:16" hidden="1" x14ac:dyDescent="0.35">
      <c r="A180" s="17">
        <v>426</v>
      </c>
      <c r="B180" s="17" t="s">
        <v>102</v>
      </c>
      <c r="C180" s="17" t="s">
        <v>103</v>
      </c>
      <c r="E180" s="41" t="s">
        <v>37</v>
      </c>
      <c r="F180" s="41" t="s">
        <v>622</v>
      </c>
      <c r="G180" s="17">
        <v>38.475796000000003</v>
      </c>
      <c r="H180" s="17">
        <v>-8.1204999999999998</v>
      </c>
      <c r="I180" s="17" t="s">
        <v>1330</v>
      </c>
      <c r="J180" s="17">
        <v>687237</v>
      </c>
      <c r="K180" s="17" t="s">
        <v>1330</v>
      </c>
      <c r="L180" s="17" t="s">
        <v>51</v>
      </c>
      <c r="M180" s="17" t="s">
        <v>462</v>
      </c>
      <c r="N180" s="17" t="s">
        <v>104</v>
      </c>
      <c r="O180" s="17" t="s">
        <v>1330</v>
      </c>
    </row>
    <row r="181" spans="1:16" x14ac:dyDescent="0.35">
      <c r="A181" s="17">
        <v>429</v>
      </c>
      <c r="B181" s="17">
        <v>1</v>
      </c>
      <c r="C181" s="17" t="s">
        <v>1408</v>
      </c>
      <c r="D181" s="17" t="s">
        <v>404</v>
      </c>
      <c r="E181" s="41" t="s">
        <v>45</v>
      </c>
      <c r="F181" s="41" t="s">
        <v>620</v>
      </c>
      <c r="G181" s="16">
        <v>38.483559999999997</v>
      </c>
      <c r="H181" s="17">
        <v>-1.825</v>
      </c>
      <c r="I181" s="17" t="s">
        <v>1330</v>
      </c>
      <c r="J181" s="17">
        <v>1300</v>
      </c>
      <c r="K181" s="17" t="s">
        <v>93</v>
      </c>
      <c r="L181" s="17" t="s">
        <v>34</v>
      </c>
      <c r="M181" s="17" t="s">
        <v>38</v>
      </c>
      <c r="N181" s="17" t="s">
        <v>50</v>
      </c>
      <c r="O181" s="17" t="s">
        <v>433</v>
      </c>
    </row>
    <row r="182" spans="1:16" x14ac:dyDescent="0.35">
      <c r="A182" s="17">
        <v>429</v>
      </c>
      <c r="B182" s="17">
        <v>2</v>
      </c>
      <c r="C182" s="17" t="s">
        <v>1409</v>
      </c>
      <c r="D182" s="17" t="s">
        <v>404</v>
      </c>
      <c r="E182" s="41" t="s">
        <v>45</v>
      </c>
      <c r="F182" s="41" t="s">
        <v>620</v>
      </c>
      <c r="G182" s="17">
        <v>38.4878</v>
      </c>
      <c r="H182" s="17">
        <v>-1.8839999999999999</v>
      </c>
      <c r="I182" s="17" t="s">
        <v>1330</v>
      </c>
      <c r="J182" s="17">
        <v>1130</v>
      </c>
      <c r="K182" s="17" t="s">
        <v>93</v>
      </c>
      <c r="L182" s="17" t="s">
        <v>34</v>
      </c>
      <c r="M182" s="17" t="s">
        <v>38</v>
      </c>
      <c r="N182" s="17" t="s">
        <v>50</v>
      </c>
      <c r="O182" s="17" t="s">
        <v>433</v>
      </c>
    </row>
    <row r="183" spans="1:16" x14ac:dyDescent="0.35">
      <c r="A183" s="17">
        <v>429</v>
      </c>
      <c r="B183" s="17">
        <v>3</v>
      </c>
      <c r="C183" s="17" t="s">
        <v>1410</v>
      </c>
      <c r="D183" s="17" t="s">
        <v>404</v>
      </c>
      <c r="E183" s="41" t="s">
        <v>45</v>
      </c>
      <c r="F183" s="41" t="s">
        <v>620</v>
      </c>
      <c r="G183" s="17">
        <v>38.429600000000001</v>
      </c>
      <c r="H183" s="17">
        <v>-1.7589999999999999</v>
      </c>
      <c r="I183" s="17" t="s">
        <v>1330</v>
      </c>
      <c r="J183" s="17" t="s">
        <v>105</v>
      </c>
      <c r="K183" s="17" t="s">
        <v>93</v>
      </c>
      <c r="L183" s="17" t="s">
        <v>34</v>
      </c>
      <c r="M183" s="17" t="s">
        <v>38</v>
      </c>
      <c r="N183" s="17" t="s">
        <v>50</v>
      </c>
      <c r="O183" s="17" t="s">
        <v>433</v>
      </c>
    </row>
    <row r="184" spans="1:16" x14ac:dyDescent="0.35">
      <c r="A184" s="17">
        <v>438</v>
      </c>
      <c r="B184" s="17">
        <v>1</v>
      </c>
      <c r="C184" s="17" t="s">
        <v>1408</v>
      </c>
      <c r="D184" s="17" t="s">
        <v>404</v>
      </c>
      <c r="E184" s="41" t="s">
        <v>45</v>
      </c>
      <c r="F184" s="41" t="s">
        <v>620</v>
      </c>
      <c r="G184" s="16">
        <v>38.483559999999997</v>
      </c>
      <c r="H184" s="17">
        <v>-1.825</v>
      </c>
      <c r="I184" s="17">
        <f>(500+700)/2</f>
        <v>600</v>
      </c>
      <c r="J184" s="17">
        <v>1305</v>
      </c>
      <c r="K184" s="17" t="s">
        <v>93</v>
      </c>
      <c r="L184" s="17" t="s">
        <v>34</v>
      </c>
      <c r="M184" s="17" t="s">
        <v>38</v>
      </c>
      <c r="N184" s="17" t="s">
        <v>50</v>
      </c>
      <c r="O184" s="17" t="s">
        <v>433</v>
      </c>
    </row>
    <row r="185" spans="1:16" x14ac:dyDescent="0.35">
      <c r="A185" s="17">
        <v>438</v>
      </c>
      <c r="B185" s="17">
        <v>2</v>
      </c>
      <c r="C185" s="17" t="s">
        <v>1409</v>
      </c>
      <c r="D185" s="17" t="s">
        <v>404</v>
      </c>
      <c r="E185" s="41" t="s">
        <v>45</v>
      </c>
      <c r="F185" s="41" t="s">
        <v>620</v>
      </c>
      <c r="G185" s="17">
        <v>38.4878</v>
      </c>
      <c r="H185" s="17">
        <v>-1.8839999999999999</v>
      </c>
      <c r="I185" s="17">
        <f>(500+700)/2</f>
        <v>600</v>
      </c>
      <c r="J185" s="17">
        <v>1130</v>
      </c>
      <c r="K185" s="17" t="s">
        <v>93</v>
      </c>
      <c r="L185" s="17" t="s">
        <v>34</v>
      </c>
      <c r="M185" s="17" t="s">
        <v>38</v>
      </c>
      <c r="N185" s="17" t="s">
        <v>50</v>
      </c>
      <c r="O185" s="17" t="s">
        <v>433</v>
      </c>
    </row>
    <row r="186" spans="1:16" x14ac:dyDescent="0.35">
      <c r="A186" s="17">
        <v>438</v>
      </c>
      <c r="B186" s="17">
        <v>3</v>
      </c>
      <c r="C186" s="17" t="s">
        <v>1410</v>
      </c>
      <c r="D186" s="17" t="s">
        <v>404</v>
      </c>
      <c r="E186" s="41" t="s">
        <v>45</v>
      </c>
      <c r="F186" s="41" t="s">
        <v>620</v>
      </c>
      <c r="G186" s="17">
        <v>38.429600000000001</v>
      </c>
      <c r="H186" s="17">
        <v>-1.7589999999999999</v>
      </c>
      <c r="I186" s="17">
        <f>(500+700)/2</f>
        <v>600</v>
      </c>
      <c r="J186" s="17" t="s">
        <v>105</v>
      </c>
      <c r="K186" s="17" t="s">
        <v>93</v>
      </c>
      <c r="L186" s="17" t="s">
        <v>34</v>
      </c>
      <c r="M186" s="17" t="s">
        <v>38</v>
      </c>
      <c r="N186" s="17" t="s">
        <v>50</v>
      </c>
      <c r="O186" s="17" t="s">
        <v>433</v>
      </c>
    </row>
    <row r="187" spans="1:16" x14ac:dyDescent="0.35">
      <c r="A187" s="17">
        <v>443</v>
      </c>
      <c r="B187" s="17">
        <v>1</v>
      </c>
      <c r="C187" s="17">
        <v>1994</v>
      </c>
      <c r="E187" s="41" t="s">
        <v>45</v>
      </c>
      <c r="F187" s="41" t="s">
        <v>620</v>
      </c>
      <c r="G187" s="17">
        <v>41.392155000000002</v>
      </c>
      <c r="H187" s="17">
        <v>1.855874</v>
      </c>
      <c r="I187" s="17" t="s">
        <v>1330</v>
      </c>
      <c r="J187" s="17" t="s">
        <v>1330</v>
      </c>
      <c r="K187" s="17" t="s">
        <v>33</v>
      </c>
      <c r="L187" s="17" t="s">
        <v>51</v>
      </c>
      <c r="M187" s="17" t="s">
        <v>38</v>
      </c>
      <c r="N187" s="17" t="s">
        <v>50</v>
      </c>
      <c r="O187" s="17" t="s">
        <v>1330</v>
      </c>
      <c r="P187" s="17" t="s">
        <v>1006</v>
      </c>
    </row>
    <row r="188" spans="1:16" x14ac:dyDescent="0.35">
      <c r="A188" s="17">
        <v>443</v>
      </c>
      <c r="B188" s="17">
        <v>2</v>
      </c>
      <c r="C188" s="17">
        <v>2013</v>
      </c>
      <c r="E188" s="41" t="s">
        <v>45</v>
      </c>
      <c r="F188" s="41" t="s">
        <v>620</v>
      </c>
      <c r="G188" s="17">
        <v>41.367877999999997</v>
      </c>
      <c r="H188" s="17">
        <v>1.950089</v>
      </c>
      <c r="I188" s="17" t="s">
        <v>1330</v>
      </c>
      <c r="J188" s="17" t="s">
        <v>1330</v>
      </c>
      <c r="K188" s="17" t="s">
        <v>33</v>
      </c>
      <c r="L188" s="17" t="s">
        <v>51</v>
      </c>
      <c r="M188" s="17" t="s">
        <v>38</v>
      </c>
      <c r="N188" s="17" t="s">
        <v>50</v>
      </c>
      <c r="O188" s="17" t="s">
        <v>1330</v>
      </c>
      <c r="P188" s="17" t="s">
        <v>1006</v>
      </c>
    </row>
    <row r="189" spans="1:16" x14ac:dyDescent="0.35">
      <c r="A189" s="17">
        <v>443</v>
      </c>
      <c r="B189" s="17">
        <v>3</v>
      </c>
      <c r="C189" s="17">
        <v>1994</v>
      </c>
      <c r="E189" s="41" t="s">
        <v>45</v>
      </c>
      <c r="F189" s="41" t="s">
        <v>620</v>
      </c>
      <c r="G189" s="17">
        <v>41.717728999999999</v>
      </c>
      <c r="H189" s="17">
        <v>2.2590300000000001</v>
      </c>
      <c r="I189" s="17" t="s">
        <v>1330</v>
      </c>
      <c r="J189" s="17" t="s">
        <v>1330</v>
      </c>
      <c r="K189" s="17" t="s">
        <v>33</v>
      </c>
      <c r="L189" s="17" t="s">
        <v>51</v>
      </c>
      <c r="M189" s="17" t="s">
        <v>38</v>
      </c>
      <c r="N189" s="17" t="s">
        <v>50</v>
      </c>
      <c r="O189" s="17" t="s">
        <v>1330</v>
      </c>
      <c r="P189" s="17" t="s">
        <v>1006</v>
      </c>
    </row>
    <row r="190" spans="1:16" x14ac:dyDescent="0.35">
      <c r="A190" s="17">
        <v>443</v>
      </c>
      <c r="B190" s="17">
        <v>4</v>
      </c>
      <c r="C190" s="17">
        <v>2001</v>
      </c>
      <c r="E190" s="41" t="s">
        <v>45</v>
      </c>
      <c r="F190" s="41" t="s">
        <v>620</v>
      </c>
      <c r="G190" s="17">
        <v>41.724539</v>
      </c>
      <c r="H190" s="17">
        <v>1.8854029999999999</v>
      </c>
      <c r="I190" s="17" t="s">
        <v>1330</v>
      </c>
      <c r="J190" s="17" t="s">
        <v>1330</v>
      </c>
      <c r="K190" s="17" t="s">
        <v>33</v>
      </c>
      <c r="L190" s="17" t="s">
        <v>51</v>
      </c>
      <c r="M190" s="17" t="s">
        <v>38</v>
      </c>
      <c r="N190" s="17" t="s">
        <v>50</v>
      </c>
      <c r="O190" s="17" t="s">
        <v>1330</v>
      </c>
      <c r="P190" s="17" t="s">
        <v>1006</v>
      </c>
    </row>
    <row r="191" spans="1:16" x14ac:dyDescent="0.35">
      <c r="A191" s="17">
        <v>443</v>
      </c>
      <c r="B191" s="17">
        <v>5</v>
      </c>
      <c r="C191" s="17">
        <v>2003</v>
      </c>
      <c r="E191" s="41" t="s">
        <v>45</v>
      </c>
      <c r="F191" s="41" t="s">
        <v>620</v>
      </c>
      <c r="G191" s="17">
        <v>41.696948999999996</v>
      </c>
      <c r="H191" s="17">
        <v>2.068343</v>
      </c>
      <c r="I191" s="17" t="s">
        <v>1330</v>
      </c>
      <c r="J191" s="17" t="s">
        <v>1330</v>
      </c>
      <c r="K191" s="17" t="s">
        <v>33</v>
      </c>
      <c r="L191" s="17" t="s">
        <v>51</v>
      </c>
      <c r="M191" s="17" t="s">
        <v>38</v>
      </c>
      <c r="N191" s="17" t="s">
        <v>50</v>
      </c>
      <c r="O191" s="17" t="s">
        <v>1330</v>
      </c>
      <c r="P191" s="17" t="s">
        <v>1006</v>
      </c>
    </row>
    <row r="192" spans="1:16" x14ac:dyDescent="0.35">
      <c r="A192" s="17">
        <v>443</v>
      </c>
      <c r="B192" s="17">
        <v>6</v>
      </c>
      <c r="C192" s="17">
        <v>1994</v>
      </c>
      <c r="E192" s="41" t="s">
        <v>45</v>
      </c>
      <c r="F192" s="41" t="s">
        <v>620</v>
      </c>
      <c r="G192" s="17">
        <v>41.438099000000001</v>
      </c>
      <c r="H192" s="17">
        <v>2.0838809999999999</v>
      </c>
      <c r="I192" s="17" t="s">
        <v>1330</v>
      </c>
      <c r="J192" s="17" t="s">
        <v>1330</v>
      </c>
      <c r="K192" s="17" t="s">
        <v>33</v>
      </c>
      <c r="L192" s="17" t="s">
        <v>51</v>
      </c>
      <c r="M192" s="17" t="s">
        <v>38</v>
      </c>
      <c r="N192" s="17" t="s">
        <v>50</v>
      </c>
      <c r="O192" s="17" t="s">
        <v>1330</v>
      </c>
      <c r="P192" s="17" t="s">
        <v>1006</v>
      </c>
    </row>
    <row r="193" spans="1:16" x14ac:dyDescent="0.35">
      <c r="A193" s="17">
        <v>443</v>
      </c>
      <c r="B193" s="17">
        <v>7</v>
      </c>
      <c r="C193" s="17">
        <v>2006</v>
      </c>
      <c r="E193" s="41" t="s">
        <v>45</v>
      </c>
      <c r="F193" s="41" t="s">
        <v>620</v>
      </c>
      <c r="G193" s="17">
        <v>41.814511000000003</v>
      </c>
      <c r="H193" s="17">
        <v>1.8058879999999999</v>
      </c>
      <c r="I193" s="17" t="s">
        <v>1330</v>
      </c>
      <c r="J193" s="17" t="s">
        <v>1330</v>
      </c>
      <c r="K193" s="17" t="s">
        <v>33</v>
      </c>
      <c r="L193" s="17" t="s">
        <v>51</v>
      </c>
      <c r="M193" s="17" t="s">
        <v>38</v>
      </c>
      <c r="N193" s="17" t="s">
        <v>50</v>
      </c>
      <c r="O193" s="17" t="s">
        <v>1330</v>
      </c>
      <c r="P193" s="17" t="s">
        <v>1006</v>
      </c>
    </row>
    <row r="194" spans="1:16" x14ac:dyDescent="0.35">
      <c r="A194" s="17">
        <v>443</v>
      </c>
      <c r="B194" s="17">
        <v>8</v>
      </c>
      <c r="C194" s="17">
        <v>2012</v>
      </c>
      <c r="E194" s="41" t="s">
        <v>45</v>
      </c>
      <c r="F194" s="41" t="s">
        <v>620</v>
      </c>
      <c r="G194" s="17">
        <v>41.255389999999998</v>
      </c>
      <c r="H194" s="17">
        <v>1.6624140000000001</v>
      </c>
      <c r="I194" s="17" t="s">
        <v>1330</v>
      </c>
      <c r="J194" s="17" t="s">
        <v>1330</v>
      </c>
      <c r="K194" s="17" t="s">
        <v>33</v>
      </c>
      <c r="L194" s="17" t="s">
        <v>51</v>
      </c>
      <c r="M194" s="17" t="s">
        <v>38</v>
      </c>
      <c r="N194" s="17" t="s">
        <v>50</v>
      </c>
      <c r="O194" s="17" t="s">
        <v>1330</v>
      </c>
      <c r="P194" s="17" t="s">
        <v>1006</v>
      </c>
    </row>
    <row r="195" spans="1:16" x14ac:dyDescent="0.35">
      <c r="A195" s="17">
        <v>443</v>
      </c>
      <c r="B195" s="17">
        <v>9</v>
      </c>
      <c r="C195" s="17">
        <v>2003</v>
      </c>
      <c r="E195" s="41" t="s">
        <v>45</v>
      </c>
      <c r="F195" s="41" t="s">
        <v>620</v>
      </c>
      <c r="G195" s="17">
        <v>41.751742</v>
      </c>
      <c r="H195" s="17">
        <v>1.9817199999999999</v>
      </c>
      <c r="I195" s="17" t="s">
        <v>1330</v>
      </c>
      <c r="J195" s="17" t="s">
        <v>1330</v>
      </c>
      <c r="K195" s="17" t="s">
        <v>33</v>
      </c>
      <c r="L195" s="17" t="s">
        <v>51</v>
      </c>
      <c r="M195" s="17" t="s">
        <v>38</v>
      </c>
      <c r="N195" s="17" t="s">
        <v>50</v>
      </c>
      <c r="O195" s="17" t="s">
        <v>1330</v>
      </c>
      <c r="P195" s="17" t="s">
        <v>1006</v>
      </c>
    </row>
    <row r="196" spans="1:16" x14ac:dyDescent="0.35">
      <c r="A196" s="17">
        <v>443</v>
      </c>
      <c r="B196" s="17">
        <v>10</v>
      </c>
      <c r="C196" s="17">
        <v>2001</v>
      </c>
      <c r="E196" s="41" t="s">
        <v>45</v>
      </c>
      <c r="F196" s="41" t="s">
        <v>620</v>
      </c>
      <c r="G196" s="17">
        <v>42.131557999999998</v>
      </c>
      <c r="H196" s="17">
        <v>2.7392759999999998</v>
      </c>
      <c r="I196" s="17" t="s">
        <v>1330</v>
      </c>
      <c r="J196" s="17" t="s">
        <v>1330</v>
      </c>
      <c r="K196" s="17" t="s">
        <v>33</v>
      </c>
      <c r="L196" s="17" t="s">
        <v>51</v>
      </c>
      <c r="M196" s="17" t="s">
        <v>38</v>
      </c>
      <c r="N196" s="17" t="s">
        <v>50</v>
      </c>
      <c r="O196" s="17" t="s">
        <v>1330</v>
      </c>
      <c r="P196" s="17" t="s">
        <v>1006</v>
      </c>
    </row>
    <row r="197" spans="1:16" x14ac:dyDescent="0.35">
      <c r="A197" s="17">
        <v>443</v>
      </c>
      <c r="B197" s="17">
        <v>11</v>
      </c>
      <c r="C197" s="17">
        <v>2005</v>
      </c>
      <c r="E197" s="41" t="s">
        <v>45</v>
      </c>
      <c r="F197" s="41" t="s">
        <v>620</v>
      </c>
      <c r="G197" s="17">
        <v>42.293787999999999</v>
      </c>
      <c r="H197" s="17">
        <v>2.8429199999999999</v>
      </c>
      <c r="I197" s="17" t="s">
        <v>1330</v>
      </c>
      <c r="J197" s="17" t="s">
        <v>1330</v>
      </c>
      <c r="K197" s="17" t="s">
        <v>33</v>
      </c>
      <c r="L197" s="17" t="s">
        <v>51</v>
      </c>
      <c r="M197" s="17" t="s">
        <v>38</v>
      </c>
      <c r="N197" s="17" t="s">
        <v>50</v>
      </c>
      <c r="O197" s="17" t="s">
        <v>1330</v>
      </c>
      <c r="P197" s="17" t="s">
        <v>1006</v>
      </c>
    </row>
    <row r="198" spans="1:16" x14ac:dyDescent="0.35">
      <c r="A198" s="17">
        <v>443</v>
      </c>
      <c r="B198" s="17">
        <v>12</v>
      </c>
      <c r="C198" s="17">
        <v>2004</v>
      </c>
      <c r="E198" s="41" t="s">
        <v>45</v>
      </c>
      <c r="F198" s="41" t="s">
        <v>620</v>
      </c>
      <c r="G198" s="17">
        <v>42.343528999999997</v>
      </c>
      <c r="H198" s="17">
        <v>2.9094579999999999</v>
      </c>
      <c r="I198" s="17" t="s">
        <v>1330</v>
      </c>
      <c r="J198" s="17" t="s">
        <v>1330</v>
      </c>
      <c r="K198" s="17" t="s">
        <v>33</v>
      </c>
      <c r="L198" s="17" t="s">
        <v>51</v>
      </c>
      <c r="M198" s="17" t="s">
        <v>38</v>
      </c>
      <c r="N198" s="17" t="s">
        <v>50</v>
      </c>
      <c r="O198" s="17" t="s">
        <v>1330</v>
      </c>
      <c r="P198" s="17" t="s">
        <v>1006</v>
      </c>
    </row>
    <row r="199" spans="1:16" x14ac:dyDescent="0.35">
      <c r="A199" s="17">
        <v>443</v>
      </c>
      <c r="B199" s="17">
        <v>13</v>
      </c>
      <c r="C199" s="17">
        <v>2001</v>
      </c>
      <c r="E199" s="41" t="s">
        <v>45</v>
      </c>
      <c r="F199" s="41" t="s">
        <v>620</v>
      </c>
      <c r="G199" s="17">
        <v>42.098733000000003</v>
      </c>
      <c r="H199" s="17">
        <v>3.1474069999999998</v>
      </c>
      <c r="I199" s="17" t="s">
        <v>1330</v>
      </c>
      <c r="J199" s="17" t="s">
        <v>1330</v>
      </c>
      <c r="K199" s="17" t="s">
        <v>33</v>
      </c>
      <c r="L199" s="17" t="s">
        <v>51</v>
      </c>
      <c r="M199" s="17" t="s">
        <v>38</v>
      </c>
      <c r="N199" s="17" t="s">
        <v>50</v>
      </c>
      <c r="O199" s="17" t="s">
        <v>1330</v>
      </c>
      <c r="P199" s="17" t="s">
        <v>1006</v>
      </c>
    </row>
    <row r="200" spans="1:16" x14ac:dyDescent="0.35">
      <c r="A200" s="17">
        <v>443</v>
      </c>
      <c r="B200" s="17">
        <v>14</v>
      </c>
      <c r="C200" s="17">
        <v>2006</v>
      </c>
      <c r="E200" s="41" t="s">
        <v>45</v>
      </c>
      <c r="F200" s="41" t="s">
        <v>620</v>
      </c>
      <c r="G200" s="17">
        <v>42.110438000000002</v>
      </c>
      <c r="H200" s="17">
        <v>3.042335</v>
      </c>
      <c r="I200" s="17" t="s">
        <v>1330</v>
      </c>
      <c r="J200" s="17" t="s">
        <v>1330</v>
      </c>
      <c r="K200" s="17" t="s">
        <v>33</v>
      </c>
      <c r="L200" s="17" t="s">
        <v>51</v>
      </c>
      <c r="M200" s="17" t="s">
        <v>38</v>
      </c>
      <c r="N200" s="17" t="s">
        <v>50</v>
      </c>
      <c r="O200" s="17" t="s">
        <v>1330</v>
      </c>
      <c r="P200" s="17" t="s">
        <v>1006</v>
      </c>
    </row>
    <row r="201" spans="1:16" x14ac:dyDescent="0.35">
      <c r="A201" s="17">
        <v>443</v>
      </c>
      <c r="B201" s="17">
        <v>15</v>
      </c>
      <c r="C201" s="17">
        <v>2009</v>
      </c>
      <c r="E201" s="41" t="s">
        <v>45</v>
      </c>
      <c r="F201" s="41" t="s">
        <v>620</v>
      </c>
      <c r="G201" s="17">
        <v>41.260800000000003</v>
      </c>
      <c r="H201" s="17">
        <v>1.3796470000000001</v>
      </c>
      <c r="I201" s="17" t="s">
        <v>1330</v>
      </c>
      <c r="J201" s="17" t="s">
        <v>1330</v>
      </c>
      <c r="K201" s="17" t="s">
        <v>33</v>
      </c>
      <c r="L201" s="17" t="s">
        <v>51</v>
      </c>
      <c r="M201" s="17" t="s">
        <v>38</v>
      </c>
      <c r="N201" s="17" t="s">
        <v>50</v>
      </c>
      <c r="O201" s="17" t="s">
        <v>1330</v>
      </c>
      <c r="P201" s="17" t="s">
        <v>1006</v>
      </c>
    </row>
    <row r="202" spans="1:16" x14ac:dyDescent="0.35">
      <c r="A202" s="17">
        <v>443</v>
      </c>
      <c r="B202" s="17">
        <v>16</v>
      </c>
      <c r="C202" s="17">
        <v>2005</v>
      </c>
      <c r="E202" s="41" t="s">
        <v>45</v>
      </c>
      <c r="F202" s="41" t="s">
        <v>620</v>
      </c>
      <c r="G202" s="17">
        <v>41.312528</v>
      </c>
      <c r="H202" s="17">
        <v>0.74061200000000005</v>
      </c>
      <c r="I202" s="17" t="s">
        <v>1330</v>
      </c>
      <c r="J202" s="17" t="s">
        <v>1330</v>
      </c>
      <c r="K202" s="17" t="s">
        <v>33</v>
      </c>
      <c r="L202" s="17" t="s">
        <v>51</v>
      </c>
      <c r="M202" s="17" t="s">
        <v>38</v>
      </c>
      <c r="N202" s="17" t="s">
        <v>50</v>
      </c>
      <c r="O202" s="17" t="s">
        <v>1330</v>
      </c>
      <c r="P202" s="17" t="s">
        <v>1006</v>
      </c>
    </row>
    <row r="203" spans="1:16" x14ac:dyDescent="0.35">
      <c r="A203" s="17">
        <v>443</v>
      </c>
      <c r="B203" s="17">
        <v>17</v>
      </c>
      <c r="C203" s="17">
        <v>1994</v>
      </c>
      <c r="E203" s="41" t="s">
        <v>45</v>
      </c>
      <c r="F203" s="41" t="s">
        <v>620</v>
      </c>
      <c r="G203" s="17">
        <v>41.047424999999997</v>
      </c>
      <c r="H203" s="17">
        <v>0.46615600000000001</v>
      </c>
      <c r="I203" s="17" t="s">
        <v>1330</v>
      </c>
      <c r="J203" s="17" t="s">
        <v>1330</v>
      </c>
      <c r="K203" s="17" t="s">
        <v>33</v>
      </c>
      <c r="L203" s="17" t="s">
        <v>51</v>
      </c>
      <c r="M203" s="17" t="s">
        <v>38</v>
      </c>
      <c r="N203" s="17" t="s">
        <v>50</v>
      </c>
      <c r="O203" s="17" t="s">
        <v>1330</v>
      </c>
      <c r="P203" s="17" t="s">
        <v>1006</v>
      </c>
    </row>
    <row r="204" spans="1:16" x14ac:dyDescent="0.35">
      <c r="A204" s="17">
        <v>443</v>
      </c>
      <c r="B204" s="17">
        <v>18</v>
      </c>
      <c r="C204" s="17">
        <v>1998</v>
      </c>
      <c r="E204" s="41" t="s">
        <v>45</v>
      </c>
      <c r="F204" s="41" t="s">
        <v>620</v>
      </c>
      <c r="G204" s="17">
        <v>41.47296</v>
      </c>
      <c r="H204" s="17">
        <v>1.367858</v>
      </c>
      <c r="I204" s="17" t="s">
        <v>1330</v>
      </c>
      <c r="J204" s="17" t="s">
        <v>1330</v>
      </c>
      <c r="K204" s="17" t="s">
        <v>33</v>
      </c>
      <c r="L204" s="17" t="s">
        <v>51</v>
      </c>
      <c r="M204" s="17" t="s">
        <v>38</v>
      </c>
      <c r="N204" s="17" t="s">
        <v>50</v>
      </c>
      <c r="O204" s="17" t="s">
        <v>1330</v>
      </c>
      <c r="P204" s="17" t="s">
        <v>1006</v>
      </c>
    </row>
    <row r="205" spans="1:16" x14ac:dyDescent="0.35">
      <c r="A205" s="17">
        <v>443</v>
      </c>
      <c r="B205" s="17">
        <v>19</v>
      </c>
      <c r="C205" s="17">
        <v>1997</v>
      </c>
      <c r="E205" s="41" t="s">
        <v>45</v>
      </c>
      <c r="F205" s="41" t="s">
        <v>620</v>
      </c>
      <c r="G205" s="17">
        <v>41.337381999999998</v>
      </c>
      <c r="H205" s="17">
        <v>1.506235</v>
      </c>
      <c r="I205" s="17" t="s">
        <v>1330</v>
      </c>
      <c r="J205" s="17" t="s">
        <v>1330</v>
      </c>
      <c r="K205" s="17" t="s">
        <v>33</v>
      </c>
      <c r="L205" s="17" t="s">
        <v>51</v>
      </c>
      <c r="M205" s="17" t="s">
        <v>38</v>
      </c>
      <c r="N205" s="17" t="s">
        <v>50</v>
      </c>
      <c r="O205" s="17" t="s">
        <v>1330</v>
      </c>
      <c r="P205" s="17" t="s">
        <v>1006</v>
      </c>
    </row>
    <row r="206" spans="1:16" x14ac:dyDescent="0.35">
      <c r="A206" s="17">
        <v>443</v>
      </c>
      <c r="B206" s="17">
        <v>20</v>
      </c>
      <c r="C206" s="17">
        <v>2002</v>
      </c>
      <c r="E206" s="41" t="s">
        <v>45</v>
      </c>
      <c r="F206" s="41" t="s">
        <v>620</v>
      </c>
      <c r="G206" s="17">
        <v>41.036982999999999</v>
      </c>
      <c r="H206" s="17">
        <v>0.76914499999999997</v>
      </c>
      <c r="I206" s="17" t="s">
        <v>1330</v>
      </c>
      <c r="J206" s="17" t="s">
        <v>1330</v>
      </c>
      <c r="K206" s="17" t="s">
        <v>33</v>
      </c>
      <c r="L206" s="17" t="s">
        <v>51</v>
      </c>
      <c r="M206" s="17" t="s">
        <v>38</v>
      </c>
      <c r="N206" s="17" t="s">
        <v>50</v>
      </c>
      <c r="O206" s="17" t="s">
        <v>1330</v>
      </c>
      <c r="P206" s="17" t="s">
        <v>1006</v>
      </c>
    </row>
    <row r="207" spans="1:16" x14ac:dyDescent="0.35">
      <c r="A207" s="17">
        <v>443</v>
      </c>
      <c r="B207" s="17">
        <v>21</v>
      </c>
      <c r="C207" s="17">
        <v>2007</v>
      </c>
      <c r="E207" s="41" t="s">
        <v>45</v>
      </c>
      <c r="F207" s="41" t="s">
        <v>620</v>
      </c>
      <c r="G207" s="17">
        <v>41.132092999999998</v>
      </c>
      <c r="H207" s="17">
        <v>0.88484099999999999</v>
      </c>
      <c r="I207" s="17" t="s">
        <v>1330</v>
      </c>
      <c r="J207" s="17" t="s">
        <v>1330</v>
      </c>
      <c r="K207" s="17" t="s">
        <v>33</v>
      </c>
      <c r="L207" s="17" t="s">
        <v>51</v>
      </c>
      <c r="M207" s="17" t="s">
        <v>38</v>
      </c>
      <c r="N207" s="17" t="s">
        <v>50</v>
      </c>
      <c r="O207" s="17" t="s">
        <v>1330</v>
      </c>
      <c r="P207" s="17" t="s">
        <v>1006</v>
      </c>
    </row>
    <row r="208" spans="1:16" x14ac:dyDescent="0.35">
      <c r="A208" s="17">
        <v>443</v>
      </c>
      <c r="B208" s="17">
        <v>22</v>
      </c>
      <c r="C208" s="17">
        <v>2005</v>
      </c>
      <c r="E208" s="41" t="s">
        <v>45</v>
      </c>
      <c r="F208" s="41" t="s">
        <v>620</v>
      </c>
      <c r="G208" s="17">
        <v>41.231698999999999</v>
      </c>
      <c r="H208" s="17">
        <v>0.42857899999999999</v>
      </c>
      <c r="I208" s="17" t="s">
        <v>1330</v>
      </c>
      <c r="J208" s="17" t="s">
        <v>1330</v>
      </c>
      <c r="K208" s="17" t="s">
        <v>33</v>
      </c>
      <c r="L208" s="17" t="s">
        <v>51</v>
      </c>
      <c r="M208" s="17" t="s">
        <v>38</v>
      </c>
      <c r="N208" s="17" t="s">
        <v>50</v>
      </c>
      <c r="O208" s="17" t="s">
        <v>1330</v>
      </c>
      <c r="P208" s="17" t="s">
        <v>1006</v>
      </c>
    </row>
    <row r="209" spans="1:16" x14ac:dyDescent="0.35">
      <c r="A209" s="17">
        <v>443</v>
      </c>
      <c r="B209" s="17">
        <v>23</v>
      </c>
      <c r="C209" s="17">
        <v>2000</v>
      </c>
      <c r="E209" s="41" t="s">
        <v>45</v>
      </c>
      <c r="F209" s="41" t="s">
        <v>620</v>
      </c>
      <c r="G209" s="17">
        <v>41.399059000000001</v>
      </c>
      <c r="H209" s="17">
        <v>1.2965370000000001</v>
      </c>
      <c r="I209" s="17" t="s">
        <v>1330</v>
      </c>
      <c r="J209" s="17" t="s">
        <v>1330</v>
      </c>
      <c r="K209" s="17" t="s">
        <v>33</v>
      </c>
      <c r="L209" s="17" t="s">
        <v>51</v>
      </c>
      <c r="M209" s="17" t="s">
        <v>38</v>
      </c>
      <c r="N209" s="17" t="s">
        <v>50</v>
      </c>
      <c r="O209" s="17" t="s">
        <v>1330</v>
      </c>
      <c r="P209" s="17" t="s">
        <v>1006</v>
      </c>
    </row>
    <row r="210" spans="1:16" x14ac:dyDescent="0.35">
      <c r="A210" s="17">
        <v>443</v>
      </c>
      <c r="B210" s="17">
        <v>24</v>
      </c>
      <c r="C210" s="17">
        <v>2006</v>
      </c>
      <c r="E210" s="41" t="s">
        <v>45</v>
      </c>
      <c r="F210" s="41" t="s">
        <v>620</v>
      </c>
      <c r="G210" s="17">
        <v>41.371350999999997</v>
      </c>
      <c r="H210" s="17">
        <v>1.0170239999999999</v>
      </c>
      <c r="I210" s="17" t="s">
        <v>1330</v>
      </c>
      <c r="J210" s="17" t="s">
        <v>1330</v>
      </c>
      <c r="K210" s="17" t="s">
        <v>33</v>
      </c>
      <c r="L210" s="17" t="s">
        <v>51</v>
      </c>
      <c r="M210" s="17" t="s">
        <v>38</v>
      </c>
      <c r="N210" s="17" t="s">
        <v>50</v>
      </c>
      <c r="O210" s="17" t="s">
        <v>1330</v>
      </c>
      <c r="P210" s="17" t="s">
        <v>1006</v>
      </c>
    </row>
    <row r="211" spans="1:16" x14ac:dyDescent="0.35">
      <c r="A211" s="17">
        <v>443</v>
      </c>
      <c r="B211" s="17">
        <v>25</v>
      </c>
      <c r="C211" s="17">
        <v>1994</v>
      </c>
      <c r="E211" s="41" t="s">
        <v>45</v>
      </c>
      <c r="F211" s="41" t="s">
        <v>620</v>
      </c>
      <c r="G211" s="17">
        <v>41.181896999999999</v>
      </c>
      <c r="H211" s="17">
        <v>0.44093700000000002</v>
      </c>
      <c r="I211" s="17" t="s">
        <v>1330</v>
      </c>
      <c r="J211" s="17" t="s">
        <v>1330</v>
      </c>
      <c r="K211" s="17" t="s">
        <v>33</v>
      </c>
      <c r="L211" s="17" t="s">
        <v>51</v>
      </c>
      <c r="M211" s="17" t="s">
        <v>38</v>
      </c>
      <c r="N211" s="17" t="s">
        <v>50</v>
      </c>
      <c r="O211" s="17" t="s">
        <v>1330</v>
      </c>
      <c r="P211" s="17" t="s">
        <v>1006</v>
      </c>
    </row>
    <row r="212" spans="1:16" x14ac:dyDescent="0.35">
      <c r="A212" s="17">
        <v>443</v>
      </c>
      <c r="B212" s="17">
        <v>26</v>
      </c>
      <c r="C212" s="17">
        <v>2012</v>
      </c>
      <c r="E212" s="41" t="s">
        <v>45</v>
      </c>
      <c r="F212" s="41" t="s">
        <v>620</v>
      </c>
      <c r="G212" s="17">
        <v>41.241481999999998</v>
      </c>
      <c r="H212" s="17">
        <v>0.76457699999999995</v>
      </c>
      <c r="I212" s="17" t="s">
        <v>1330</v>
      </c>
      <c r="J212" s="17" t="s">
        <v>1330</v>
      </c>
      <c r="K212" s="17" t="s">
        <v>33</v>
      </c>
      <c r="L212" s="17" t="s">
        <v>51</v>
      </c>
      <c r="M212" s="17" t="s">
        <v>38</v>
      </c>
      <c r="N212" s="17" t="s">
        <v>50</v>
      </c>
      <c r="O212" s="17" t="s">
        <v>1330</v>
      </c>
      <c r="P212" s="17" t="s">
        <v>1006</v>
      </c>
    </row>
    <row r="213" spans="1:16" x14ac:dyDescent="0.35">
      <c r="A213" s="17">
        <v>443</v>
      </c>
      <c r="B213" s="17">
        <v>27</v>
      </c>
      <c r="C213" s="17">
        <v>2000</v>
      </c>
      <c r="E213" s="41" t="s">
        <v>45</v>
      </c>
      <c r="F213" s="41" t="s">
        <v>620</v>
      </c>
      <c r="G213" s="17">
        <v>39.057474999999997</v>
      </c>
      <c r="H213" s="17">
        <v>-0.383573</v>
      </c>
      <c r="I213" s="17" t="s">
        <v>1330</v>
      </c>
      <c r="J213" s="17" t="s">
        <v>1330</v>
      </c>
      <c r="K213" s="17" t="s">
        <v>33</v>
      </c>
      <c r="L213" s="17" t="s">
        <v>51</v>
      </c>
      <c r="M213" s="17" t="s">
        <v>38</v>
      </c>
      <c r="N213" s="17" t="s">
        <v>50</v>
      </c>
      <c r="O213" s="17" t="s">
        <v>1330</v>
      </c>
      <c r="P213" s="17" t="s">
        <v>1006</v>
      </c>
    </row>
    <row r="214" spans="1:16" x14ac:dyDescent="0.35">
      <c r="A214" s="17">
        <v>443</v>
      </c>
      <c r="B214" s="17">
        <v>28</v>
      </c>
      <c r="C214" s="17">
        <v>1994</v>
      </c>
      <c r="E214" s="41" t="s">
        <v>45</v>
      </c>
      <c r="F214" s="41" t="s">
        <v>620</v>
      </c>
      <c r="G214" s="17">
        <v>39.758119999999998</v>
      </c>
      <c r="H214" s="17">
        <v>-0.31020199999999998</v>
      </c>
      <c r="I214" s="17" t="s">
        <v>1330</v>
      </c>
      <c r="J214" s="17" t="s">
        <v>1330</v>
      </c>
      <c r="K214" s="17" t="s">
        <v>33</v>
      </c>
      <c r="L214" s="17" t="s">
        <v>51</v>
      </c>
      <c r="M214" s="17" t="s">
        <v>38</v>
      </c>
      <c r="N214" s="17" t="s">
        <v>50</v>
      </c>
      <c r="O214" s="17" t="s">
        <v>1330</v>
      </c>
      <c r="P214" s="17" t="s">
        <v>1006</v>
      </c>
    </row>
    <row r="215" spans="1:16" x14ac:dyDescent="0.35">
      <c r="A215" s="17">
        <v>443</v>
      </c>
      <c r="B215" s="17">
        <v>29</v>
      </c>
      <c r="C215" s="17">
        <v>2004</v>
      </c>
      <c r="E215" s="41" t="s">
        <v>45</v>
      </c>
      <c r="F215" s="41" t="s">
        <v>620</v>
      </c>
      <c r="G215" s="17">
        <v>39.672536999999998</v>
      </c>
      <c r="H215" s="17">
        <v>-0.40021000000000001</v>
      </c>
      <c r="I215" s="17" t="s">
        <v>1330</v>
      </c>
      <c r="J215" s="17" t="s">
        <v>1330</v>
      </c>
      <c r="K215" s="17" t="s">
        <v>33</v>
      </c>
      <c r="L215" s="17" t="s">
        <v>51</v>
      </c>
      <c r="M215" s="17" t="s">
        <v>38</v>
      </c>
      <c r="N215" s="17" t="s">
        <v>50</v>
      </c>
      <c r="O215" s="17" t="s">
        <v>1330</v>
      </c>
      <c r="P215" s="17" t="s">
        <v>1006</v>
      </c>
    </row>
    <row r="216" spans="1:16" x14ac:dyDescent="0.35">
      <c r="A216" s="17">
        <v>443</v>
      </c>
      <c r="B216" s="17">
        <v>30</v>
      </c>
      <c r="C216" s="17">
        <v>2005</v>
      </c>
      <c r="E216" s="41" t="s">
        <v>45</v>
      </c>
      <c r="F216" s="41" t="s">
        <v>620</v>
      </c>
      <c r="G216" s="17">
        <v>39.039870999999998</v>
      </c>
      <c r="H216" s="17">
        <v>-0.34889500000000001</v>
      </c>
      <c r="I216" s="17" t="s">
        <v>1330</v>
      </c>
      <c r="J216" s="17" t="s">
        <v>1330</v>
      </c>
      <c r="K216" s="17" t="s">
        <v>33</v>
      </c>
      <c r="L216" s="17" t="s">
        <v>51</v>
      </c>
      <c r="M216" s="17" t="s">
        <v>38</v>
      </c>
      <c r="N216" s="17" t="s">
        <v>50</v>
      </c>
      <c r="O216" s="17" t="s">
        <v>1330</v>
      </c>
      <c r="P216" s="17" t="s">
        <v>1006</v>
      </c>
    </row>
    <row r="217" spans="1:16" x14ac:dyDescent="0.35">
      <c r="A217" s="17">
        <v>443</v>
      </c>
      <c r="B217" s="17">
        <v>31</v>
      </c>
      <c r="C217" s="17">
        <v>1994</v>
      </c>
      <c r="E217" s="41" t="s">
        <v>45</v>
      </c>
      <c r="F217" s="41" t="s">
        <v>620</v>
      </c>
      <c r="G217" s="17">
        <v>39.820284000000001</v>
      </c>
      <c r="H217" s="17">
        <v>-0.53077200000000002</v>
      </c>
      <c r="I217" s="17" t="s">
        <v>1330</v>
      </c>
      <c r="J217" s="17" t="s">
        <v>1330</v>
      </c>
      <c r="K217" s="17" t="s">
        <v>33</v>
      </c>
      <c r="L217" s="17" t="s">
        <v>51</v>
      </c>
      <c r="M217" s="17" t="s">
        <v>38</v>
      </c>
      <c r="N217" s="17" t="s">
        <v>50</v>
      </c>
      <c r="O217" s="17" t="s">
        <v>1330</v>
      </c>
      <c r="P217" s="17" t="s">
        <v>1006</v>
      </c>
    </row>
    <row r="218" spans="1:16" x14ac:dyDescent="0.35">
      <c r="A218" s="17">
        <v>443</v>
      </c>
      <c r="B218" s="17">
        <v>32</v>
      </c>
      <c r="C218" s="17">
        <v>2000</v>
      </c>
      <c r="E218" s="41" t="s">
        <v>45</v>
      </c>
      <c r="F218" s="41" t="s">
        <v>620</v>
      </c>
      <c r="G218" s="17">
        <v>38.777786999999996</v>
      </c>
      <c r="H218" s="17">
        <v>-5.0638000000000002E-2</v>
      </c>
      <c r="I218" s="17" t="s">
        <v>1330</v>
      </c>
      <c r="J218" s="17" t="s">
        <v>1330</v>
      </c>
      <c r="K218" s="17" t="s">
        <v>33</v>
      </c>
      <c r="L218" s="17" t="s">
        <v>51</v>
      </c>
      <c r="M218" s="17" t="s">
        <v>38</v>
      </c>
      <c r="N218" s="17" t="s">
        <v>50</v>
      </c>
      <c r="O218" s="17" t="s">
        <v>1330</v>
      </c>
      <c r="P218" s="17" t="s">
        <v>1006</v>
      </c>
    </row>
    <row r="219" spans="1:16" x14ac:dyDescent="0.35">
      <c r="A219" s="17">
        <v>443</v>
      </c>
      <c r="B219" s="17">
        <v>33</v>
      </c>
      <c r="C219" s="17">
        <v>1999</v>
      </c>
      <c r="E219" s="41" t="s">
        <v>45</v>
      </c>
      <c r="F219" s="41" t="s">
        <v>620</v>
      </c>
      <c r="G219" s="17">
        <v>38.821868000000002</v>
      </c>
      <c r="H219" s="17">
        <v>7.4246000000000006E-2</v>
      </c>
      <c r="I219" s="17" t="s">
        <v>1330</v>
      </c>
      <c r="J219" s="17" t="s">
        <v>1330</v>
      </c>
      <c r="K219" s="17" t="s">
        <v>33</v>
      </c>
      <c r="L219" s="17" t="s">
        <v>51</v>
      </c>
      <c r="M219" s="17" t="s">
        <v>38</v>
      </c>
      <c r="N219" s="17" t="s">
        <v>50</v>
      </c>
      <c r="O219" s="17" t="s">
        <v>1330</v>
      </c>
      <c r="P219" s="17" t="s">
        <v>1006</v>
      </c>
    </row>
    <row r="220" spans="1:16" x14ac:dyDescent="0.35">
      <c r="A220" s="17">
        <v>443</v>
      </c>
      <c r="B220" s="17">
        <v>34</v>
      </c>
      <c r="C220" s="17">
        <v>2000</v>
      </c>
      <c r="E220" s="41" t="s">
        <v>45</v>
      </c>
      <c r="F220" s="41" t="s">
        <v>620</v>
      </c>
      <c r="G220" s="17">
        <v>38.783583</v>
      </c>
      <c r="H220" s="17">
        <v>5.4400000000000004E-3</v>
      </c>
      <c r="I220" s="17" t="s">
        <v>1330</v>
      </c>
      <c r="J220" s="17" t="s">
        <v>1330</v>
      </c>
      <c r="K220" s="17" t="s">
        <v>33</v>
      </c>
      <c r="L220" s="17" t="s">
        <v>51</v>
      </c>
      <c r="M220" s="17" t="s">
        <v>38</v>
      </c>
      <c r="N220" s="17" t="s">
        <v>50</v>
      </c>
      <c r="O220" s="17" t="s">
        <v>1330</v>
      </c>
      <c r="P220" s="17" t="s">
        <v>1006</v>
      </c>
    </row>
    <row r="221" spans="1:16" x14ac:dyDescent="0.35">
      <c r="A221" s="17">
        <v>443</v>
      </c>
      <c r="B221" s="17">
        <v>35</v>
      </c>
      <c r="C221" s="17">
        <v>2002</v>
      </c>
      <c r="E221" s="41" t="s">
        <v>45</v>
      </c>
      <c r="F221" s="41" t="s">
        <v>620</v>
      </c>
      <c r="G221" s="17">
        <v>38.745958000000002</v>
      </c>
      <c r="H221" s="17">
        <v>-9.5215999999999995E-2</v>
      </c>
      <c r="I221" s="17" t="s">
        <v>1330</v>
      </c>
      <c r="J221" s="17" t="s">
        <v>1330</v>
      </c>
      <c r="K221" s="17" t="s">
        <v>33</v>
      </c>
      <c r="L221" s="17" t="s">
        <v>51</v>
      </c>
      <c r="M221" s="17" t="s">
        <v>38</v>
      </c>
      <c r="N221" s="17" t="s">
        <v>50</v>
      </c>
      <c r="O221" s="17" t="s">
        <v>1330</v>
      </c>
      <c r="P221" s="17" t="s">
        <v>1006</v>
      </c>
    </row>
    <row r="222" spans="1:16" x14ac:dyDescent="0.35">
      <c r="A222" s="17">
        <v>443</v>
      </c>
      <c r="B222" s="17">
        <v>36</v>
      </c>
      <c r="C222" s="17">
        <v>2003</v>
      </c>
      <c r="E222" s="41" t="s">
        <v>45</v>
      </c>
      <c r="F222" s="41" t="s">
        <v>620</v>
      </c>
      <c r="G222" s="17">
        <v>38.722814</v>
      </c>
      <c r="H222" s="17">
        <v>-9.1760000000000001E-3</v>
      </c>
      <c r="I222" s="17" t="s">
        <v>1330</v>
      </c>
      <c r="J222" s="17" t="s">
        <v>1330</v>
      </c>
      <c r="K222" s="17" t="s">
        <v>33</v>
      </c>
      <c r="L222" s="17" t="s">
        <v>51</v>
      </c>
      <c r="M222" s="17" t="s">
        <v>38</v>
      </c>
      <c r="N222" s="17" t="s">
        <v>50</v>
      </c>
      <c r="O222" s="17" t="s">
        <v>1330</v>
      </c>
      <c r="P222" s="17" t="s">
        <v>1006</v>
      </c>
    </row>
    <row r="223" spans="1:16" x14ac:dyDescent="0.35">
      <c r="A223" s="17">
        <v>443</v>
      </c>
      <c r="B223" s="17">
        <v>37</v>
      </c>
      <c r="C223" s="17">
        <v>1994</v>
      </c>
      <c r="E223" s="41" t="s">
        <v>45</v>
      </c>
      <c r="F223" s="41" t="s">
        <v>620</v>
      </c>
      <c r="G223" s="17">
        <v>40.073597999999997</v>
      </c>
      <c r="H223" s="17">
        <v>-0.36479899999999998</v>
      </c>
      <c r="I223" s="17" t="s">
        <v>1330</v>
      </c>
      <c r="J223" s="17" t="s">
        <v>1330</v>
      </c>
      <c r="K223" s="17" t="s">
        <v>33</v>
      </c>
      <c r="L223" s="17" t="s">
        <v>51</v>
      </c>
      <c r="M223" s="17" t="s">
        <v>38</v>
      </c>
      <c r="N223" s="17" t="s">
        <v>50</v>
      </c>
      <c r="O223" s="17" t="s">
        <v>1330</v>
      </c>
      <c r="P223" s="17" t="s">
        <v>1006</v>
      </c>
    </row>
    <row r="224" spans="1:16" x14ac:dyDescent="0.35">
      <c r="A224" s="17">
        <v>443</v>
      </c>
      <c r="B224" s="17">
        <v>38</v>
      </c>
      <c r="C224" s="17">
        <v>1994</v>
      </c>
      <c r="E224" s="41" t="s">
        <v>45</v>
      </c>
      <c r="F224" s="41" t="s">
        <v>620</v>
      </c>
      <c r="G224" s="17">
        <v>40.010207999999999</v>
      </c>
      <c r="H224" s="17">
        <v>-0.41594999999999999</v>
      </c>
      <c r="I224" s="17" t="s">
        <v>1330</v>
      </c>
      <c r="J224" s="17" t="s">
        <v>1330</v>
      </c>
      <c r="K224" s="17" t="s">
        <v>33</v>
      </c>
      <c r="L224" s="17" t="s">
        <v>51</v>
      </c>
      <c r="M224" s="17" t="s">
        <v>38</v>
      </c>
      <c r="N224" s="17" t="s">
        <v>50</v>
      </c>
      <c r="O224" s="17" t="s">
        <v>1330</v>
      </c>
      <c r="P224" s="17" t="s">
        <v>1006</v>
      </c>
    </row>
    <row r="225" spans="1:16" x14ac:dyDescent="0.35">
      <c r="A225" s="17">
        <v>443</v>
      </c>
      <c r="B225" s="17">
        <v>39</v>
      </c>
      <c r="C225" s="17">
        <v>1994</v>
      </c>
      <c r="E225" s="41" t="s">
        <v>45</v>
      </c>
      <c r="F225" s="41" t="s">
        <v>620</v>
      </c>
      <c r="G225" s="17">
        <v>40.106191000000003</v>
      </c>
      <c r="H225" s="17">
        <v>-0.12567200000000001</v>
      </c>
      <c r="I225" s="17" t="s">
        <v>1330</v>
      </c>
      <c r="J225" s="17" t="s">
        <v>1330</v>
      </c>
      <c r="K225" s="17" t="s">
        <v>33</v>
      </c>
      <c r="L225" s="17" t="s">
        <v>51</v>
      </c>
      <c r="M225" s="17" t="s">
        <v>38</v>
      </c>
      <c r="N225" s="17" t="s">
        <v>50</v>
      </c>
      <c r="O225" s="17" t="s">
        <v>1330</v>
      </c>
      <c r="P225" s="17" t="s">
        <v>1006</v>
      </c>
    </row>
    <row r="226" spans="1:16" x14ac:dyDescent="0.35">
      <c r="A226" s="17">
        <v>443</v>
      </c>
      <c r="B226" s="17">
        <v>40</v>
      </c>
      <c r="C226" s="17">
        <v>1994</v>
      </c>
      <c r="E226" s="41" t="s">
        <v>45</v>
      </c>
      <c r="F226" s="41" t="s">
        <v>620</v>
      </c>
      <c r="G226" s="17">
        <v>40.046619</v>
      </c>
      <c r="H226" s="17">
        <v>-8.5901000000000005E-2</v>
      </c>
      <c r="I226" s="17" t="s">
        <v>1330</v>
      </c>
      <c r="J226" s="17" t="s">
        <v>1330</v>
      </c>
      <c r="K226" s="17" t="s">
        <v>33</v>
      </c>
      <c r="L226" s="17" t="s">
        <v>51</v>
      </c>
      <c r="M226" s="17" t="s">
        <v>38</v>
      </c>
      <c r="N226" s="17" t="s">
        <v>50</v>
      </c>
      <c r="O226" s="17" t="s">
        <v>1330</v>
      </c>
      <c r="P226" s="17" t="s">
        <v>1006</v>
      </c>
    </row>
    <row r="227" spans="1:16" x14ac:dyDescent="0.35">
      <c r="A227" s="17">
        <v>443</v>
      </c>
      <c r="B227" s="17">
        <v>41</v>
      </c>
      <c r="C227" s="17">
        <v>1999</v>
      </c>
      <c r="E227" s="41" t="s">
        <v>45</v>
      </c>
      <c r="F227" s="41" t="s">
        <v>620</v>
      </c>
      <c r="G227" s="17">
        <v>39.959788000000003</v>
      </c>
      <c r="H227" s="17">
        <v>-0.32814599999999999</v>
      </c>
      <c r="I227" s="17" t="s">
        <v>1330</v>
      </c>
      <c r="J227" s="17" t="s">
        <v>1330</v>
      </c>
      <c r="K227" s="17" t="s">
        <v>33</v>
      </c>
      <c r="L227" s="17" t="s">
        <v>51</v>
      </c>
      <c r="M227" s="17" t="s">
        <v>38</v>
      </c>
      <c r="N227" s="17" t="s">
        <v>50</v>
      </c>
      <c r="O227" s="17" t="s">
        <v>1330</v>
      </c>
      <c r="P227" s="17" t="s">
        <v>1006</v>
      </c>
    </row>
    <row r="228" spans="1:16" x14ac:dyDescent="0.35">
      <c r="A228" s="17">
        <v>443</v>
      </c>
      <c r="B228" s="17">
        <v>42</v>
      </c>
      <c r="C228" s="17">
        <v>2000</v>
      </c>
      <c r="E228" s="41" t="s">
        <v>45</v>
      </c>
      <c r="F228" s="41" t="s">
        <v>620</v>
      </c>
      <c r="G228" s="17">
        <v>39.926881999999999</v>
      </c>
      <c r="H228" s="17">
        <v>-0.51689300000000005</v>
      </c>
      <c r="I228" s="17" t="s">
        <v>1330</v>
      </c>
      <c r="J228" s="17" t="s">
        <v>1330</v>
      </c>
      <c r="K228" s="17" t="s">
        <v>33</v>
      </c>
      <c r="L228" s="17" t="s">
        <v>51</v>
      </c>
      <c r="M228" s="17" t="s">
        <v>38</v>
      </c>
      <c r="N228" s="17" t="s">
        <v>50</v>
      </c>
      <c r="O228" s="17" t="s">
        <v>1330</v>
      </c>
      <c r="P228" s="17" t="s">
        <v>1006</v>
      </c>
    </row>
    <row r="229" spans="1:16" x14ac:dyDescent="0.35">
      <c r="A229" s="17">
        <v>443</v>
      </c>
      <c r="B229" s="17">
        <v>43</v>
      </c>
      <c r="C229" s="17">
        <v>2007</v>
      </c>
      <c r="E229" s="41" t="s">
        <v>45</v>
      </c>
      <c r="F229" s="41" t="s">
        <v>620</v>
      </c>
      <c r="G229" s="17">
        <v>40.160642000000003</v>
      </c>
      <c r="H229" s="17">
        <v>-0.20918400000000001</v>
      </c>
      <c r="I229" s="17" t="s">
        <v>1330</v>
      </c>
      <c r="J229" s="17" t="s">
        <v>1330</v>
      </c>
      <c r="K229" s="17" t="s">
        <v>33</v>
      </c>
      <c r="L229" s="17" t="s">
        <v>51</v>
      </c>
      <c r="M229" s="17" t="s">
        <v>38</v>
      </c>
      <c r="N229" s="17" t="s">
        <v>50</v>
      </c>
      <c r="O229" s="17" t="s">
        <v>1330</v>
      </c>
      <c r="P229" s="17" t="s">
        <v>1006</v>
      </c>
    </row>
    <row r="230" spans="1:16" hidden="1" x14ac:dyDescent="0.35">
      <c r="A230" s="17">
        <v>505</v>
      </c>
      <c r="B230" s="17">
        <v>1</v>
      </c>
      <c r="C230" s="17">
        <v>1994</v>
      </c>
      <c r="E230" s="41" t="s">
        <v>45</v>
      </c>
      <c r="F230" s="41" t="s">
        <v>620</v>
      </c>
      <c r="G230" s="17">
        <v>38.366666666666667</v>
      </c>
      <c r="H230" s="17">
        <v>-2.3333333333333335</v>
      </c>
      <c r="I230" s="17" t="s">
        <v>1330</v>
      </c>
      <c r="J230" s="17" t="s">
        <v>1330</v>
      </c>
      <c r="K230" s="17" t="s">
        <v>1330</v>
      </c>
      <c r="L230" s="17" t="s">
        <v>34</v>
      </c>
      <c r="M230" s="17" t="s">
        <v>38</v>
      </c>
      <c r="N230" s="17" t="s">
        <v>50</v>
      </c>
      <c r="O230" s="17" t="s">
        <v>44</v>
      </c>
    </row>
    <row r="231" spans="1:16" hidden="1" x14ac:dyDescent="0.35">
      <c r="A231" s="17">
        <v>505</v>
      </c>
      <c r="B231" s="17">
        <v>2</v>
      </c>
      <c r="C231" s="17">
        <v>1994</v>
      </c>
      <c r="E231" s="41" t="s">
        <v>45</v>
      </c>
      <c r="F231" s="41" t="s">
        <v>620</v>
      </c>
      <c r="G231" s="17">
        <v>38.266666666666666</v>
      </c>
      <c r="H231" s="17">
        <v>-1.6333333333333333</v>
      </c>
      <c r="I231" s="17" t="s">
        <v>1330</v>
      </c>
      <c r="J231" s="17" t="s">
        <v>1330</v>
      </c>
      <c r="K231" s="17" t="s">
        <v>1330</v>
      </c>
      <c r="L231" s="17" t="s">
        <v>34</v>
      </c>
      <c r="M231" s="17" t="s">
        <v>38</v>
      </c>
      <c r="N231" s="17" t="s">
        <v>50</v>
      </c>
      <c r="O231" s="17" t="s">
        <v>44</v>
      </c>
    </row>
    <row r="232" spans="1:16" x14ac:dyDescent="0.35">
      <c r="A232" s="17">
        <v>509</v>
      </c>
      <c r="B232" s="17">
        <v>1</v>
      </c>
      <c r="C232" s="16" t="s">
        <v>1411</v>
      </c>
      <c r="D232" s="17" t="s">
        <v>404</v>
      </c>
      <c r="E232" s="41" t="s">
        <v>45</v>
      </c>
      <c r="F232" s="41" t="s">
        <v>622</v>
      </c>
      <c r="G232" s="17">
        <v>41.676000000000002</v>
      </c>
      <c r="H232" s="17">
        <v>2.2240000000000002</v>
      </c>
      <c r="I232" s="17" t="s">
        <v>1330</v>
      </c>
      <c r="J232" s="17">
        <v>2692</v>
      </c>
      <c r="K232" s="17" t="s">
        <v>93</v>
      </c>
      <c r="L232" s="17" t="s">
        <v>34</v>
      </c>
      <c r="M232" s="17" t="s">
        <v>460</v>
      </c>
      <c r="N232" s="17" t="s">
        <v>106</v>
      </c>
      <c r="O232" s="17" t="s">
        <v>44</v>
      </c>
    </row>
    <row r="233" spans="1:16" x14ac:dyDescent="0.35">
      <c r="A233" s="17">
        <v>523</v>
      </c>
      <c r="B233" s="17">
        <v>1</v>
      </c>
      <c r="C233" s="17" t="s">
        <v>107</v>
      </c>
      <c r="E233" s="41" t="s">
        <v>45</v>
      </c>
      <c r="F233" s="41" t="s">
        <v>620</v>
      </c>
      <c r="G233" s="17">
        <v>42.059444444444445</v>
      </c>
      <c r="H233" s="17">
        <v>3.1227777777777779</v>
      </c>
      <c r="I233" s="17" t="s">
        <v>1330</v>
      </c>
      <c r="J233" s="17">
        <v>627</v>
      </c>
      <c r="K233" s="17" t="s">
        <v>33</v>
      </c>
      <c r="L233" s="17" t="s">
        <v>34</v>
      </c>
      <c r="M233" s="17" t="s">
        <v>38</v>
      </c>
      <c r="N233" s="17" t="s">
        <v>50</v>
      </c>
      <c r="O233" s="17" t="s">
        <v>730</v>
      </c>
    </row>
    <row r="234" spans="1:16" x14ac:dyDescent="0.35">
      <c r="A234" s="17">
        <v>523</v>
      </c>
      <c r="B234" s="17">
        <v>2</v>
      </c>
      <c r="C234" s="17" t="s">
        <v>59</v>
      </c>
      <c r="E234" s="41" t="s">
        <v>45</v>
      </c>
      <c r="F234" s="41" t="s">
        <v>620</v>
      </c>
      <c r="G234" s="17">
        <v>41.681944444444447</v>
      </c>
      <c r="H234" s="17">
        <v>2.0313888888888889</v>
      </c>
      <c r="I234" s="17" t="s">
        <v>1330</v>
      </c>
      <c r="J234" s="17">
        <v>4559</v>
      </c>
      <c r="K234" s="17" t="s">
        <v>33</v>
      </c>
      <c r="L234" s="17" t="s">
        <v>34</v>
      </c>
      <c r="M234" s="17" t="s">
        <v>38</v>
      </c>
      <c r="N234" s="17" t="s">
        <v>50</v>
      </c>
      <c r="O234" s="17" t="s">
        <v>730</v>
      </c>
    </row>
    <row r="235" spans="1:16" x14ac:dyDescent="0.35">
      <c r="A235" s="17">
        <v>523</v>
      </c>
      <c r="B235" s="17">
        <v>3</v>
      </c>
      <c r="C235" s="17" t="s">
        <v>108</v>
      </c>
      <c r="E235" s="41" t="s">
        <v>45</v>
      </c>
      <c r="F235" s="41" t="s">
        <v>620</v>
      </c>
      <c r="G235" s="17">
        <v>41.908611111111114</v>
      </c>
      <c r="H235" s="17">
        <v>1.7213888888888889</v>
      </c>
      <c r="I235" s="17" t="s">
        <v>1330</v>
      </c>
      <c r="J235" s="17">
        <v>1438</v>
      </c>
      <c r="K235" s="17" t="s">
        <v>33</v>
      </c>
      <c r="L235" s="17" t="s">
        <v>34</v>
      </c>
      <c r="M235" s="17" t="s">
        <v>38</v>
      </c>
      <c r="N235" s="17" t="s">
        <v>50</v>
      </c>
      <c r="O235" s="17" t="s">
        <v>730</v>
      </c>
    </row>
    <row r="236" spans="1:16" hidden="1" x14ac:dyDescent="0.35">
      <c r="A236" s="17">
        <v>532</v>
      </c>
      <c r="B236" s="17" t="s">
        <v>102</v>
      </c>
      <c r="C236" s="17" t="s">
        <v>1330</v>
      </c>
      <c r="E236" s="41" t="s">
        <v>32</v>
      </c>
      <c r="F236" s="41" t="s">
        <v>622</v>
      </c>
      <c r="G236" s="17">
        <v>-32.302</v>
      </c>
      <c r="H236" s="17">
        <v>121.773</v>
      </c>
      <c r="I236" s="17" t="s">
        <v>1330</v>
      </c>
      <c r="J236" s="17" t="s">
        <v>1330</v>
      </c>
      <c r="K236" s="17" t="s">
        <v>1330</v>
      </c>
      <c r="L236" s="17" t="s">
        <v>51</v>
      </c>
      <c r="M236" s="17" t="s">
        <v>35</v>
      </c>
      <c r="N236" s="17" t="s">
        <v>109</v>
      </c>
      <c r="O236" s="17" t="s">
        <v>433</v>
      </c>
    </row>
    <row r="237" spans="1:16" hidden="1" x14ac:dyDescent="0.35">
      <c r="A237" s="17">
        <v>533</v>
      </c>
      <c r="B237" s="17">
        <v>1</v>
      </c>
      <c r="C237" s="17" t="s">
        <v>1412</v>
      </c>
      <c r="D237" s="17" t="s">
        <v>404</v>
      </c>
      <c r="E237" s="41" t="s">
        <v>45</v>
      </c>
      <c r="F237" s="41" t="s">
        <v>621</v>
      </c>
      <c r="G237" s="47">
        <v>38.372</v>
      </c>
      <c r="H237" s="45">
        <v>-2.3624999999999998</v>
      </c>
      <c r="I237" s="17">
        <v>1000</v>
      </c>
      <c r="J237" s="17">
        <v>8</v>
      </c>
      <c r="K237" s="17" t="s">
        <v>1330</v>
      </c>
      <c r="L237" s="17" t="s">
        <v>34</v>
      </c>
      <c r="M237" s="17" t="s">
        <v>463</v>
      </c>
      <c r="N237" s="17" t="s">
        <v>110</v>
      </c>
      <c r="O237" s="17" t="s">
        <v>1330</v>
      </c>
    </row>
    <row r="238" spans="1:16" hidden="1" x14ac:dyDescent="0.35">
      <c r="A238" s="17">
        <v>533</v>
      </c>
      <c r="B238" s="17">
        <v>2</v>
      </c>
      <c r="C238" s="17" t="s">
        <v>1413</v>
      </c>
      <c r="D238" s="17" t="s">
        <v>404</v>
      </c>
      <c r="E238" s="41" t="s">
        <v>45</v>
      </c>
      <c r="F238" s="41" t="s">
        <v>621</v>
      </c>
      <c r="G238" s="45">
        <v>38.340000000000003</v>
      </c>
      <c r="H238" s="45">
        <v>-2.4958</v>
      </c>
      <c r="I238" s="17">
        <v>1200</v>
      </c>
      <c r="J238" s="17">
        <v>90</v>
      </c>
      <c r="K238" s="17" t="s">
        <v>1330</v>
      </c>
      <c r="L238" s="17" t="s">
        <v>34</v>
      </c>
      <c r="M238" s="17" t="s">
        <v>463</v>
      </c>
      <c r="N238" s="17" t="s">
        <v>110</v>
      </c>
      <c r="O238" s="17" t="s">
        <v>1330</v>
      </c>
    </row>
    <row r="239" spans="1:16" hidden="1" x14ac:dyDescent="0.35">
      <c r="A239" s="17">
        <v>533</v>
      </c>
      <c r="B239" s="17">
        <v>3</v>
      </c>
      <c r="C239" s="17" t="s">
        <v>1414</v>
      </c>
      <c r="D239" s="17" t="s">
        <v>404</v>
      </c>
      <c r="E239" s="41" t="s">
        <v>45</v>
      </c>
      <c r="F239" s="41" t="s">
        <v>621</v>
      </c>
      <c r="G239" s="45">
        <v>38.357999999999997</v>
      </c>
      <c r="H239" s="45">
        <v>-2.35</v>
      </c>
      <c r="I239" s="17">
        <v>900</v>
      </c>
      <c r="J239" s="17">
        <v>1450</v>
      </c>
      <c r="K239" s="17" t="s">
        <v>1330</v>
      </c>
      <c r="L239" s="17" t="s">
        <v>34</v>
      </c>
      <c r="M239" s="17" t="s">
        <v>463</v>
      </c>
      <c r="N239" s="17" t="s">
        <v>110</v>
      </c>
      <c r="O239" s="17" t="s">
        <v>1330</v>
      </c>
    </row>
    <row r="240" spans="1:16" hidden="1" x14ac:dyDescent="0.35">
      <c r="A240" s="17">
        <v>533</v>
      </c>
      <c r="B240" s="17">
        <v>4</v>
      </c>
      <c r="C240" s="17" t="s">
        <v>1415</v>
      </c>
      <c r="D240" s="17" t="s">
        <v>404</v>
      </c>
      <c r="E240" s="41" t="s">
        <v>45</v>
      </c>
      <c r="F240" s="41" t="s">
        <v>621</v>
      </c>
      <c r="G240" s="45">
        <v>38.421999999999997</v>
      </c>
      <c r="H240" s="45">
        <v>-2.5499999999999998</v>
      </c>
      <c r="I240" s="17">
        <v>1300</v>
      </c>
      <c r="J240" s="17">
        <v>36</v>
      </c>
      <c r="K240" s="17" t="s">
        <v>1330</v>
      </c>
      <c r="L240" s="17" t="s">
        <v>34</v>
      </c>
      <c r="M240" s="17" t="s">
        <v>463</v>
      </c>
      <c r="N240" s="17" t="s">
        <v>110</v>
      </c>
      <c r="O240" s="17" t="s">
        <v>1330</v>
      </c>
    </row>
    <row r="241" spans="1:15" hidden="1" x14ac:dyDescent="0.35">
      <c r="A241" s="17">
        <v>533</v>
      </c>
      <c r="B241" s="17">
        <v>5</v>
      </c>
      <c r="C241" s="17" t="s">
        <v>1414</v>
      </c>
      <c r="D241" s="17" t="s">
        <v>404</v>
      </c>
      <c r="E241" s="41" t="s">
        <v>45</v>
      </c>
      <c r="F241" s="41" t="s">
        <v>621</v>
      </c>
      <c r="G241" s="45">
        <v>38.495800000000003</v>
      </c>
      <c r="H241" s="45">
        <v>-2.3079999999999998</v>
      </c>
      <c r="I241" s="17">
        <v>1200</v>
      </c>
      <c r="J241" s="17">
        <v>300</v>
      </c>
      <c r="K241" s="17" t="s">
        <v>1330</v>
      </c>
      <c r="L241" s="17" t="s">
        <v>34</v>
      </c>
      <c r="M241" s="17" t="s">
        <v>463</v>
      </c>
      <c r="N241" s="17" t="s">
        <v>110</v>
      </c>
      <c r="O241" s="17" t="s">
        <v>1330</v>
      </c>
    </row>
    <row r="242" spans="1:15" hidden="1" x14ac:dyDescent="0.35">
      <c r="A242" s="17">
        <v>533</v>
      </c>
      <c r="B242" s="17">
        <v>6</v>
      </c>
      <c r="C242" s="17" t="s">
        <v>1416</v>
      </c>
      <c r="D242" s="17" t="s">
        <v>405</v>
      </c>
      <c r="E242" s="41" t="s">
        <v>45</v>
      </c>
      <c r="F242" s="41" t="s">
        <v>621</v>
      </c>
      <c r="G242" s="45">
        <v>38.356900000000003</v>
      </c>
      <c r="H242" s="45">
        <v>-2.5596999999999999</v>
      </c>
      <c r="I242" s="17">
        <v>1000</v>
      </c>
      <c r="J242" s="17">
        <v>36</v>
      </c>
      <c r="K242" s="17" t="s">
        <v>1330</v>
      </c>
      <c r="L242" s="17" t="s">
        <v>34</v>
      </c>
      <c r="M242" s="17" t="s">
        <v>463</v>
      </c>
      <c r="N242" s="17" t="s">
        <v>110</v>
      </c>
      <c r="O242" s="17" t="s">
        <v>1330</v>
      </c>
    </row>
    <row r="243" spans="1:15" hidden="1" x14ac:dyDescent="0.35">
      <c r="A243" s="17">
        <v>533</v>
      </c>
      <c r="B243" s="17">
        <v>7</v>
      </c>
      <c r="C243" s="17" t="s">
        <v>1417</v>
      </c>
      <c r="D243" s="17" t="s">
        <v>404</v>
      </c>
      <c r="E243" s="41" t="s">
        <v>45</v>
      </c>
      <c r="F243" s="41" t="s">
        <v>621</v>
      </c>
      <c r="G243" s="45">
        <v>38.353999999999999</v>
      </c>
      <c r="H243" s="45">
        <v>-2.4609999999999999</v>
      </c>
      <c r="I243" s="17">
        <v>1300</v>
      </c>
      <c r="J243" s="17">
        <v>370</v>
      </c>
      <c r="K243" s="17" t="s">
        <v>1330</v>
      </c>
      <c r="L243" s="17" t="s">
        <v>34</v>
      </c>
      <c r="M243" s="17" t="s">
        <v>463</v>
      </c>
      <c r="N243" s="17" t="s">
        <v>110</v>
      </c>
      <c r="O243" s="17" t="s">
        <v>1330</v>
      </c>
    </row>
    <row r="244" spans="1:15" hidden="1" x14ac:dyDescent="0.35">
      <c r="A244" s="17">
        <v>533</v>
      </c>
      <c r="B244" s="17">
        <v>8</v>
      </c>
      <c r="C244" s="17" t="s">
        <v>1418</v>
      </c>
      <c r="D244" s="17" t="s">
        <v>404</v>
      </c>
      <c r="E244" s="41" t="s">
        <v>45</v>
      </c>
      <c r="F244" s="41" t="s">
        <v>621</v>
      </c>
      <c r="G244" s="45">
        <v>38.343000000000004</v>
      </c>
      <c r="H244" s="45">
        <v>-2.4458000000000002</v>
      </c>
      <c r="I244" s="17">
        <v>1100</v>
      </c>
      <c r="J244" s="17">
        <v>478</v>
      </c>
      <c r="K244" s="17" t="s">
        <v>1330</v>
      </c>
      <c r="L244" s="17" t="s">
        <v>34</v>
      </c>
      <c r="M244" s="17" t="s">
        <v>463</v>
      </c>
      <c r="N244" s="17" t="s">
        <v>110</v>
      </c>
      <c r="O244" s="17" t="s">
        <v>1330</v>
      </c>
    </row>
    <row r="245" spans="1:15" hidden="1" x14ac:dyDescent="0.35">
      <c r="A245" s="17">
        <v>533</v>
      </c>
      <c r="B245" s="17">
        <v>9</v>
      </c>
      <c r="C245" s="17" t="s">
        <v>1419</v>
      </c>
      <c r="D245" s="17" t="s">
        <v>404</v>
      </c>
      <c r="E245" s="41" t="s">
        <v>45</v>
      </c>
      <c r="F245" s="41" t="s">
        <v>621</v>
      </c>
      <c r="G245" s="45">
        <v>38.475999999999999</v>
      </c>
      <c r="H245" s="45">
        <v>-2.3610000000000002</v>
      </c>
      <c r="I245" s="17">
        <v>1000</v>
      </c>
      <c r="J245" s="17">
        <v>273</v>
      </c>
      <c r="K245" s="17" t="s">
        <v>1330</v>
      </c>
      <c r="L245" s="17" t="s">
        <v>34</v>
      </c>
      <c r="M245" s="17" t="s">
        <v>463</v>
      </c>
      <c r="N245" s="17" t="s">
        <v>110</v>
      </c>
      <c r="O245" s="17" t="s">
        <v>1330</v>
      </c>
    </row>
    <row r="246" spans="1:15" x14ac:dyDescent="0.35">
      <c r="A246" s="17">
        <v>550</v>
      </c>
      <c r="B246" s="17">
        <v>1</v>
      </c>
      <c r="C246" s="17" t="s">
        <v>1420</v>
      </c>
      <c r="D246" s="17" t="s">
        <v>404</v>
      </c>
      <c r="E246" s="41" t="s">
        <v>45</v>
      </c>
      <c r="F246" s="41" t="s">
        <v>622</v>
      </c>
      <c r="G246" s="17">
        <v>40.9375</v>
      </c>
      <c r="H246" s="17">
        <v>-2.2909999999999999</v>
      </c>
      <c r="I246" s="17">
        <f>(1100+1400)/2</f>
        <v>1250</v>
      </c>
      <c r="J246" s="17">
        <v>13000</v>
      </c>
      <c r="K246" s="17" t="s">
        <v>464</v>
      </c>
      <c r="L246" s="17" t="s">
        <v>34</v>
      </c>
      <c r="M246" s="17" t="s">
        <v>38</v>
      </c>
      <c r="N246" s="17" t="s">
        <v>39</v>
      </c>
      <c r="O246" s="17" t="s">
        <v>1330</v>
      </c>
    </row>
    <row r="247" spans="1:15" hidden="1" x14ac:dyDescent="0.35">
      <c r="A247" s="17">
        <v>553</v>
      </c>
      <c r="B247" s="17">
        <v>1</v>
      </c>
      <c r="C247" s="17">
        <v>1989</v>
      </c>
      <c r="E247" s="41" t="s">
        <v>74</v>
      </c>
      <c r="F247" s="41" t="s">
        <v>620</v>
      </c>
      <c r="G247" s="17">
        <v>32.749980000000001</v>
      </c>
      <c r="H247" s="17">
        <v>35.023499999999999</v>
      </c>
      <c r="I247" s="17">
        <v>370</v>
      </c>
      <c r="J247" s="17" t="s">
        <v>1330</v>
      </c>
      <c r="K247" s="17" t="s">
        <v>1330</v>
      </c>
      <c r="L247" s="17" t="s">
        <v>465</v>
      </c>
      <c r="M247" s="17" t="s">
        <v>38</v>
      </c>
      <c r="N247" s="17" t="s">
        <v>50</v>
      </c>
      <c r="O247" s="17" t="s">
        <v>433</v>
      </c>
    </row>
    <row r="248" spans="1:15" hidden="1" x14ac:dyDescent="0.35">
      <c r="A248" s="17">
        <v>553</v>
      </c>
      <c r="B248" s="17">
        <v>2</v>
      </c>
      <c r="C248" s="17" t="s">
        <v>111</v>
      </c>
      <c r="E248" s="41" t="s">
        <v>74</v>
      </c>
      <c r="F248" s="41" t="s">
        <v>620</v>
      </c>
      <c r="G248" s="17">
        <v>32.665999999999997</v>
      </c>
      <c r="H248" s="17">
        <v>34.973579999999998</v>
      </c>
      <c r="I248" s="17">
        <v>340</v>
      </c>
      <c r="J248" s="17" t="s">
        <v>1330</v>
      </c>
      <c r="K248" s="17" t="s">
        <v>1330</v>
      </c>
      <c r="L248" s="17" t="s">
        <v>465</v>
      </c>
      <c r="M248" s="17" t="s">
        <v>38</v>
      </c>
      <c r="N248" s="17" t="s">
        <v>50</v>
      </c>
      <c r="O248" s="17" t="s">
        <v>433</v>
      </c>
    </row>
    <row r="249" spans="1:15" hidden="1" x14ac:dyDescent="0.35">
      <c r="A249" s="17">
        <v>553</v>
      </c>
      <c r="B249" s="17">
        <v>3</v>
      </c>
      <c r="C249" s="17" t="s">
        <v>112</v>
      </c>
      <c r="E249" s="41" t="s">
        <v>74</v>
      </c>
      <c r="F249" s="41" t="s">
        <v>620</v>
      </c>
      <c r="G249" s="17">
        <v>32.735500000000002</v>
      </c>
      <c r="H249" s="17">
        <v>34.993670000000002</v>
      </c>
      <c r="I249" s="17">
        <v>160</v>
      </c>
      <c r="J249" s="17" t="s">
        <v>1330</v>
      </c>
      <c r="K249" s="17" t="s">
        <v>1330</v>
      </c>
      <c r="L249" s="17" t="s">
        <v>465</v>
      </c>
      <c r="M249" s="17" t="s">
        <v>38</v>
      </c>
      <c r="N249" s="17" t="s">
        <v>50</v>
      </c>
      <c r="O249" s="17" t="s">
        <v>433</v>
      </c>
    </row>
    <row r="250" spans="1:15" hidden="1" x14ac:dyDescent="0.35">
      <c r="A250" s="17">
        <v>553</v>
      </c>
      <c r="B250" s="17">
        <v>4</v>
      </c>
      <c r="C250" s="17" t="s">
        <v>112</v>
      </c>
      <c r="E250" s="41" t="s">
        <v>74</v>
      </c>
      <c r="F250" s="41" t="s">
        <v>620</v>
      </c>
      <c r="G250" s="17">
        <v>32.707999999999998</v>
      </c>
      <c r="H250" s="17">
        <v>34.981999999999999</v>
      </c>
      <c r="I250" s="17">
        <v>180</v>
      </c>
      <c r="J250" s="17" t="s">
        <v>1330</v>
      </c>
      <c r="K250" s="17" t="s">
        <v>1330</v>
      </c>
      <c r="L250" s="17" t="s">
        <v>465</v>
      </c>
      <c r="M250" s="17" t="s">
        <v>38</v>
      </c>
      <c r="N250" s="17" t="s">
        <v>50</v>
      </c>
      <c r="O250" s="17" t="s">
        <v>433</v>
      </c>
    </row>
    <row r="251" spans="1:15" hidden="1" x14ac:dyDescent="0.35">
      <c r="A251" s="17">
        <v>553</v>
      </c>
      <c r="B251" s="17">
        <v>5</v>
      </c>
      <c r="C251" s="17">
        <v>1956</v>
      </c>
      <c r="E251" s="41" t="s">
        <v>74</v>
      </c>
      <c r="F251" s="41" t="s">
        <v>620</v>
      </c>
      <c r="G251" s="17">
        <v>32.722000000000001</v>
      </c>
      <c r="H251" s="17">
        <v>35.021000000000001</v>
      </c>
      <c r="I251" s="17">
        <v>420</v>
      </c>
      <c r="J251" s="17" t="s">
        <v>1330</v>
      </c>
      <c r="K251" s="17" t="s">
        <v>1330</v>
      </c>
      <c r="L251" s="17" t="s">
        <v>465</v>
      </c>
      <c r="M251" s="17" t="s">
        <v>38</v>
      </c>
      <c r="N251" s="17" t="s">
        <v>50</v>
      </c>
      <c r="O251" s="17" t="s">
        <v>433</v>
      </c>
    </row>
    <row r="252" spans="1:15" hidden="1" x14ac:dyDescent="0.35">
      <c r="A252" s="17">
        <v>561</v>
      </c>
      <c r="B252" s="17">
        <v>1</v>
      </c>
      <c r="C252" s="17" t="s">
        <v>1369</v>
      </c>
      <c r="D252" s="17" t="s">
        <v>404</v>
      </c>
      <c r="E252" s="41" t="s">
        <v>45</v>
      </c>
      <c r="F252" s="41" t="s">
        <v>621</v>
      </c>
      <c r="G252" s="17">
        <v>41.924999999999997</v>
      </c>
      <c r="H252" s="17">
        <v>1.825</v>
      </c>
      <c r="I252" s="17">
        <f>(350+950)/2</f>
        <v>650</v>
      </c>
      <c r="J252" s="17">
        <v>24300</v>
      </c>
      <c r="K252" s="17" t="s">
        <v>1330</v>
      </c>
      <c r="L252" s="17" t="s">
        <v>34</v>
      </c>
      <c r="M252" s="17" t="s">
        <v>38</v>
      </c>
      <c r="N252" s="17" t="s">
        <v>113</v>
      </c>
      <c r="O252" s="17" t="s">
        <v>1330</v>
      </c>
    </row>
    <row r="253" spans="1:15" x14ac:dyDescent="0.35">
      <c r="A253" s="17">
        <v>566</v>
      </c>
      <c r="B253" s="17">
        <v>1</v>
      </c>
      <c r="C253" s="17" t="s">
        <v>1370</v>
      </c>
      <c r="D253" s="17" t="s">
        <v>405</v>
      </c>
      <c r="E253" s="41" t="s">
        <v>45</v>
      </c>
      <c r="F253" s="41" t="s">
        <v>620</v>
      </c>
      <c r="G253" s="17">
        <v>38.722000000000001</v>
      </c>
      <c r="H253" s="17">
        <v>6.2299999999999996E-4</v>
      </c>
      <c r="I253" s="17">
        <f>(800+1000)/2</f>
        <v>900</v>
      </c>
      <c r="J253" s="17">
        <v>220</v>
      </c>
      <c r="K253" s="17" t="s">
        <v>95</v>
      </c>
      <c r="L253" s="17" t="s">
        <v>34</v>
      </c>
      <c r="M253" s="17" t="s">
        <v>38</v>
      </c>
      <c r="N253" s="17" t="s">
        <v>50</v>
      </c>
      <c r="O253" s="17" t="s">
        <v>4750</v>
      </c>
    </row>
    <row r="254" spans="1:15" hidden="1" x14ac:dyDescent="0.35">
      <c r="A254" s="17">
        <v>568</v>
      </c>
      <c r="B254" s="17">
        <v>1</v>
      </c>
      <c r="C254" s="17" t="s">
        <v>1371</v>
      </c>
      <c r="D254" s="17" t="s">
        <v>404</v>
      </c>
      <c r="E254" s="41" t="s">
        <v>37</v>
      </c>
      <c r="F254" s="41" t="s">
        <v>620</v>
      </c>
      <c r="G254" s="17" t="s">
        <v>115</v>
      </c>
      <c r="H254" s="17" t="s">
        <v>116</v>
      </c>
      <c r="I254" s="17" t="s">
        <v>1330</v>
      </c>
      <c r="J254" s="17" t="s">
        <v>1330</v>
      </c>
      <c r="K254" s="17" t="s">
        <v>1330</v>
      </c>
      <c r="L254" s="17" t="s">
        <v>34</v>
      </c>
      <c r="M254" s="17" t="s">
        <v>35</v>
      </c>
      <c r="N254" s="17" t="s">
        <v>117</v>
      </c>
      <c r="O254" s="17" t="s">
        <v>1330</v>
      </c>
    </row>
    <row r="255" spans="1:15" hidden="1" x14ac:dyDescent="0.35">
      <c r="A255" s="17">
        <v>597</v>
      </c>
      <c r="B255" s="17">
        <v>1</v>
      </c>
      <c r="C255" s="17" t="s">
        <v>1330</v>
      </c>
      <c r="E255" s="41" t="s">
        <v>45</v>
      </c>
      <c r="F255" s="41" t="s">
        <v>620</v>
      </c>
      <c r="G255" s="17">
        <v>41.80833333333333</v>
      </c>
      <c r="H255" s="17">
        <v>-3.5724999999999998</v>
      </c>
      <c r="I255" s="17">
        <v>900</v>
      </c>
      <c r="J255" s="17" t="s">
        <v>1330</v>
      </c>
      <c r="K255" s="17" t="s">
        <v>1330</v>
      </c>
      <c r="L255" s="17" t="s">
        <v>51</v>
      </c>
      <c r="M255" s="17" t="s">
        <v>38</v>
      </c>
      <c r="N255" s="17" t="s">
        <v>90</v>
      </c>
      <c r="O255" s="17" t="s">
        <v>118</v>
      </c>
    </row>
    <row r="256" spans="1:15" hidden="1" x14ac:dyDescent="0.35">
      <c r="A256" s="17">
        <v>597</v>
      </c>
      <c r="B256" s="17">
        <v>2</v>
      </c>
      <c r="C256" s="17" t="s">
        <v>1330</v>
      </c>
      <c r="E256" s="41" t="s">
        <v>45</v>
      </c>
      <c r="F256" s="41" t="s">
        <v>620</v>
      </c>
      <c r="G256" s="17">
        <v>41.956666666666663</v>
      </c>
      <c r="H256" s="17">
        <v>-3.9350000000000001</v>
      </c>
      <c r="I256" s="17">
        <v>885</v>
      </c>
      <c r="J256" s="17" t="s">
        <v>1330</v>
      </c>
      <c r="K256" s="17" t="s">
        <v>1330</v>
      </c>
      <c r="L256" s="17" t="s">
        <v>51</v>
      </c>
      <c r="M256" s="17" t="s">
        <v>38</v>
      </c>
      <c r="N256" s="17" t="s">
        <v>90</v>
      </c>
      <c r="O256" s="17" t="s">
        <v>118</v>
      </c>
    </row>
    <row r="257" spans="1:15" hidden="1" x14ac:dyDescent="0.35">
      <c r="A257" s="17">
        <v>603</v>
      </c>
      <c r="B257" s="17">
        <v>1</v>
      </c>
      <c r="C257" s="17" t="s">
        <v>1372</v>
      </c>
      <c r="D257" s="17" t="s">
        <v>404</v>
      </c>
      <c r="E257" s="41" t="s">
        <v>32</v>
      </c>
      <c r="F257" s="41" t="s">
        <v>621</v>
      </c>
      <c r="G257" s="17">
        <v>-32.948999999999998</v>
      </c>
      <c r="H257" s="17">
        <v>115.9975</v>
      </c>
      <c r="I257" s="44">
        <f>(351+346+277+245)/4</f>
        <v>304.75</v>
      </c>
      <c r="J257" s="17">
        <v>69165</v>
      </c>
      <c r="K257" s="17" t="s">
        <v>119</v>
      </c>
      <c r="L257" s="17" t="s">
        <v>34</v>
      </c>
      <c r="M257" s="17" t="s">
        <v>35</v>
      </c>
      <c r="N257" s="17" t="s">
        <v>120</v>
      </c>
      <c r="O257" s="17" t="s">
        <v>1330</v>
      </c>
    </row>
    <row r="258" spans="1:15" x14ac:dyDescent="0.35">
      <c r="A258" s="17">
        <v>604</v>
      </c>
      <c r="B258" s="17">
        <v>1</v>
      </c>
      <c r="C258" s="16" t="s">
        <v>1369</v>
      </c>
      <c r="D258" s="16" t="s">
        <v>404</v>
      </c>
      <c r="E258" s="41" t="s">
        <v>45</v>
      </c>
      <c r="F258" s="41" t="s">
        <v>622</v>
      </c>
      <c r="G258" s="17">
        <v>38.365760000000002</v>
      </c>
      <c r="H258" s="17">
        <v>-2.3210000000000002</v>
      </c>
      <c r="I258" s="17">
        <v>1010</v>
      </c>
      <c r="J258" s="17">
        <v>14000</v>
      </c>
      <c r="K258" s="17" t="s">
        <v>33</v>
      </c>
      <c r="L258" s="17" t="s">
        <v>34</v>
      </c>
      <c r="M258" s="17" t="s">
        <v>38</v>
      </c>
      <c r="N258" s="17" t="s">
        <v>50</v>
      </c>
      <c r="O258" s="17" t="s">
        <v>44</v>
      </c>
    </row>
    <row r="259" spans="1:15" x14ac:dyDescent="0.35">
      <c r="A259" s="17">
        <v>604</v>
      </c>
      <c r="B259" s="17">
        <v>2</v>
      </c>
      <c r="C259" s="16" t="s">
        <v>1369</v>
      </c>
      <c r="D259" s="16" t="s">
        <v>404</v>
      </c>
      <c r="E259" s="41" t="s">
        <v>45</v>
      </c>
      <c r="F259" s="41" t="s">
        <v>622</v>
      </c>
      <c r="G259" s="17">
        <v>38.228999999999999</v>
      </c>
      <c r="H259" s="17">
        <v>-1.7010000000000001</v>
      </c>
      <c r="I259" s="17">
        <v>325</v>
      </c>
      <c r="J259" s="17">
        <v>30000</v>
      </c>
      <c r="K259" s="17" t="s">
        <v>33</v>
      </c>
      <c r="L259" s="17" t="s">
        <v>34</v>
      </c>
      <c r="M259" s="17" t="s">
        <v>38</v>
      </c>
      <c r="N259" s="17" t="s">
        <v>50</v>
      </c>
      <c r="O259" s="17" t="s">
        <v>44</v>
      </c>
    </row>
    <row r="260" spans="1:15" hidden="1" x14ac:dyDescent="0.35">
      <c r="A260" s="17">
        <v>612</v>
      </c>
      <c r="B260" s="17" t="s">
        <v>102</v>
      </c>
      <c r="C260" s="17" t="s">
        <v>1330</v>
      </c>
      <c r="E260" s="41" t="s">
        <v>45</v>
      </c>
      <c r="F260" s="41" t="s">
        <v>622</v>
      </c>
      <c r="G260" s="17">
        <v>41.967500000000001</v>
      </c>
      <c r="H260" s="17">
        <v>-3.95167</v>
      </c>
      <c r="I260" s="17" t="s">
        <v>1330</v>
      </c>
      <c r="J260" s="17" t="s">
        <v>1330</v>
      </c>
      <c r="K260" s="17" t="s">
        <v>1330</v>
      </c>
      <c r="L260" s="17" t="s">
        <v>51</v>
      </c>
      <c r="M260" s="17" t="s">
        <v>38</v>
      </c>
      <c r="N260" s="17" t="s">
        <v>90</v>
      </c>
      <c r="O260" s="17" t="s">
        <v>433</v>
      </c>
    </row>
    <row r="261" spans="1:15" hidden="1" x14ac:dyDescent="0.35">
      <c r="A261" s="17">
        <v>612</v>
      </c>
      <c r="B261" s="17" t="s">
        <v>102</v>
      </c>
      <c r="C261" s="17" t="s">
        <v>1330</v>
      </c>
      <c r="E261" s="41" t="s">
        <v>45</v>
      </c>
      <c r="F261" s="41" t="s">
        <v>622</v>
      </c>
      <c r="G261" s="17">
        <v>40.622599999999998</v>
      </c>
      <c r="H261" s="17">
        <v>-4.0169899999999998</v>
      </c>
      <c r="I261" s="17" t="s">
        <v>1330</v>
      </c>
      <c r="J261" s="17" t="s">
        <v>1330</v>
      </c>
      <c r="K261" s="17" t="s">
        <v>1330</v>
      </c>
      <c r="L261" s="17" t="s">
        <v>51</v>
      </c>
      <c r="M261" s="17" t="s">
        <v>38</v>
      </c>
      <c r="N261" s="17" t="s">
        <v>39</v>
      </c>
      <c r="O261" s="17" t="s">
        <v>433</v>
      </c>
    </row>
    <row r="262" spans="1:15" hidden="1" x14ac:dyDescent="0.35">
      <c r="A262" s="17">
        <v>612</v>
      </c>
      <c r="B262" s="17" t="s">
        <v>102</v>
      </c>
      <c r="C262" s="17" t="s">
        <v>1330</v>
      </c>
      <c r="E262" s="41" t="s">
        <v>37</v>
      </c>
      <c r="F262" s="41" t="s">
        <v>622</v>
      </c>
      <c r="G262" s="17">
        <v>38.305</v>
      </c>
      <c r="H262" s="17">
        <v>-8.7735000000000003</v>
      </c>
      <c r="I262" s="17" t="s">
        <v>1330</v>
      </c>
      <c r="J262" s="17" t="s">
        <v>1330</v>
      </c>
      <c r="K262" s="17" t="s">
        <v>1330</v>
      </c>
      <c r="L262" s="17" t="s">
        <v>51</v>
      </c>
      <c r="M262" s="17" t="s">
        <v>38</v>
      </c>
      <c r="N262" s="17" t="s">
        <v>1718</v>
      </c>
      <c r="O262" s="17" t="s">
        <v>433</v>
      </c>
    </row>
    <row r="263" spans="1:15" hidden="1" x14ac:dyDescent="0.35">
      <c r="A263" s="17">
        <v>612</v>
      </c>
      <c r="B263" s="17" t="s">
        <v>102</v>
      </c>
      <c r="C263" s="17" t="s">
        <v>1330</v>
      </c>
      <c r="E263" s="41" t="s">
        <v>37</v>
      </c>
      <c r="F263" s="41" t="s">
        <v>620</v>
      </c>
      <c r="G263" s="17">
        <v>38.152500000000003</v>
      </c>
      <c r="H263" s="17">
        <v>-8.8160000000000007</v>
      </c>
      <c r="I263" s="17" t="s">
        <v>1330</v>
      </c>
      <c r="J263" s="17" t="s">
        <v>1330</v>
      </c>
      <c r="K263" s="17" t="s">
        <v>1330</v>
      </c>
      <c r="L263" s="17" t="s">
        <v>51</v>
      </c>
      <c r="M263" s="17" t="s">
        <v>38</v>
      </c>
      <c r="N263" s="17" t="s">
        <v>1718</v>
      </c>
      <c r="O263" s="17" t="s">
        <v>433</v>
      </c>
    </row>
    <row r="264" spans="1:15" hidden="1" x14ac:dyDescent="0.35">
      <c r="A264" s="17">
        <v>617</v>
      </c>
      <c r="B264" s="17" t="s">
        <v>102</v>
      </c>
      <c r="C264" s="17" t="s">
        <v>1330</v>
      </c>
      <c r="E264" s="17" t="s">
        <v>377</v>
      </c>
      <c r="F264" s="17" t="s">
        <v>622</v>
      </c>
      <c r="G264" s="17">
        <v>38</v>
      </c>
      <c r="H264" s="17">
        <v>18</v>
      </c>
      <c r="I264" s="17" t="s">
        <v>1330</v>
      </c>
      <c r="J264" s="17" t="s">
        <v>1330</v>
      </c>
      <c r="K264" s="17" t="s">
        <v>1330</v>
      </c>
      <c r="L264" s="17" t="s">
        <v>51</v>
      </c>
      <c r="M264" s="17" t="s">
        <v>378</v>
      </c>
      <c r="N264" s="17" t="s">
        <v>1723</v>
      </c>
      <c r="O264" s="17" t="s">
        <v>1330</v>
      </c>
    </row>
    <row r="265" spans="1:15" hidden="1" x14ac:dyDescent="0.35">
      <c r="A265" s="17">
        <v>617</v>
      </c>
      <c r="B265" s="17" t="s">
        <v>102</v>
      </c>
      <c r="C265" s="17" t="s">
        <v>1330</v>
      </c>
      <c r="E265" s="17" t="s">
        <v>379</v>
      </c>
      <c r="F265" s="17" t="s">
        <v>622</v>
      </c>
      <c r="G265" s="17">
        <v>34</v>
      </c>
      <c r="H265" s="17">
        <v>-118</v>
      </c>
      <c r="I265" s="17" t="s">
        <v>1330</v>
      </c>
      <c r="J265" s="17" t="s">
        <v>1330</v>
      </c>
      <c r="K265" s="17" t="s">
        <v>1330</v>
      </c>
      <c r="L265" s="17" t="s">
        <v>51</v>
      </c>
      <c r="M265" s="17" t="s">
        <v>378</v>
      </c>
      <c r="N265" s="17" t="s">
        <v>1723</v>
      </c>
      <c r="O265" s="17" t="s">
        <v>1330</v>
      </c>
    </row>
    <row r="266" spans="1:15" hidden="1" x14ac:dyDescent="0.35">
      <c r="A266" s="17">
        <v>617</v>
      </c>
      <c r="B266" s="17" t="s">
        <v>102</v>
      </c>
      <c r="C266" s="17" t="s">
        <v>1330</v>
      </c>
      <c r="E266" s="17" t="s">
        <v>32</v>
      </c>
      <c r="F266" s="17" t="s">
        <v>622</v>
      </c>
      <c r="G266" s="17">
        <v>-34</v>
      </c>
      <c r="H266" s="17">
        <v>128</v>
      </c>
      <c r="I266" s="17" t="s">
        <v>1330</v>
      </c>
      <c r="J266" s="17" t="s">
        <v>1330</v>
      </c>
      <c r="K266" s="17" t="s">
        <v>1330</v>
      </c>
      <c r="L266" s="17" t="s">
        <v>51</v>
      </c>
      <c r="M266" s="17" t="s">
        <v>40</v>
      </c>
      <c r="N266" s="17" t="s">
        <v>1723</v>
      </c>
      <c r="O266" s="17" t="s">
        <v>1330</v>
      </c>
    </row>
    <row r="267" spans="1:15" hidden="1" x14ac:dyDescent="0.35">
      <c r="A267" s="17">
        <v>617</v>
      </c>
      <c r="B267" s="17" t="s">
        <v>102</v>
      </c>
      <c r="C267" s="17" t="s">
        <v>1330</v>
      </c>
      <c r="E267" s="41" t="s">
        <v>380</v>
      </c>
      <c r="F267" s="41" t="s">
        <v>622</v>
      </c>
      <c r="G267" s="17">
        <v>-33</v>
      </c>
      <c r="H267" s="17">
        <v>19</v>
      </c>
      <c r="I267" s="17" t="s">
        <v>1330</v>
      </c>
      <c r="J267" s="17" t="s">
        <v>1330</v>
      </c>
      <c r="K267" s="17" t="s">
        <v>1330</v>
      </c>
      <c r="L267" s="17" t="s">
        <v>51</v>
      </c>
      <c r="M267" s="17" t="s">
        <v>40</v>
      </c>
      <c r="N267" s="17" t="s">
        <v>1723</v>
      </c>
      <c r="O267" s="17" t="s">
        <v>1330</v>
      </c>
    </row>
    <row r="268" spans="1:15" hidden="1" x14ac:dyDescent="0.35">
      <c r="A268" s="17">
        <v>617</v>
      </c>
      <c r="B268" s="17" t="s">
        <v>102</v>
      </c>
      <c r="C268" s="17" t="s">
        <v>1330</v>
      </c>
      <c r="E268" s="41" t="s">
        <v>91</v>
      </c>
      <c r="F268" s="41" t="s">
        <v>622</v>
      </c>
      <c r="G268" s="17">
        <v>-33</v>
      </c>
      <c r="H268" s="17">
        <v>-71</v>
      </c>
      <c r="I268" s="17" t="s">
        <v>1330</v>
      </c>
      <c r="J268" s="17" t="s">
        <v>1330</v>
      </c>
      <c r="K268" s="17" t="s">
        <v>1330</v>
      </c>
      <c r="L268" s="17" t="s">
        <v>51</v>
      </c>
      <c r="M268" s="17" t="s">
        <v>466</v>
      </c>
      <c r="N268" s="17" t="s">
        <v>1723</v>
      </c>
      <c r="O268" s="17" t="s">
        <v>1330</v>
      </c>
    </row>
    <row r="269" spans="1:15" hidden="1" x14ac:dyDescent="0.35">
      <c r="A269" s="17">
        <v>621</v>
      </c>
      <c r="B269" s="17">
        <v>1</v>
      </c>
      <c r="C269" s="17" t="s">
        <v>1373</v>
      </c>
      <c r="D269" s="17" t="s">
        <v>404</v>
      </c>
      <c r="E269" s="41" t="s">
        <v>45</v>
      </c>
      <c r="F269" s="41" t="s">
        <v>622</v>
      </c>
      <c r="G269" s="17">
        <v>38.168999999999997</v>
      </c>
      <c r="H269" s="17">
        <v>-2.7286999999999999</v>
      </c>
      <c r="I269" s="17">
        <f>(760+1390)/2</f>
        <v>1075</v>
      </c>
      <c r="J269" s="17">
        <v>836</v>
      </c>
      <c r="K269" s="17" t="s">
        <v>1330</v>
      </c>
      <c r="L269" s="17" t="s">
        <v>34</v>
      </c>
      <c r="M269" s="17" t="s">
        <v>38</v>
      </c>
      <c r="N269" s="17" t="s">
        <v>383</v>
      </c>
      <c r="O269" s="17" t="s">
        <v>48</v>
      </c>
    </row>
    <row r="270" spans="1:15" hidden="1" x14ac:dyDescent="0.35">
      <c r="A270" s="48">
        <v>10</v>
      </c>
      <c r="B270" s="17">
        <v>1</v>
      </c>
      <c r="C270" s="17" t="s">
        <v>1421</v>
      </c>
      <c r="D270" s="17" t="s">
        <v>405</v>
      </c>
      <c r="E270" s="41" t="s">
        <v>74</v>
      </c>
      <c r="F270" s="41" t="s">
        <v>622</v>
      </c>
      <c r="G270" s="17">
        <v>32.740360000000003</v>
      </c>
      <c r="H270" s="17">
        <v>35.030189999999997</v>
      </c>
      <c r="I270" s="17">
        <v>546</v>
      </c>
      <c r="J270" s="17">
        <v>2530</v>
      </c>
      <c r="K270" s="17" t="s">
        <v>33</v>
      </c>
      <c r="L270" s="17" t="s">
        <v>34</v>
      </c>
      <c r="M270" s="17" t="s">
        <v>38</v>
      </c>
      <c r="N270" s="17" t="s">
        <v>387</v>
      </c>
      <c r="O270" s="17" t="s">
        <v>433</v>
      </c>
    </row>
    <row r="271" spans="1:15" hidden="1" x14ac:dyDescent="0.35">
      <c r="A271" s="17">
        <v>12</v>
      </c>
      <c r="B271" s="17">
        <v>1</v>
      </c>
      <c r="C271" s="17">
        <v>1999</v>
      </c>
      <c r="E271" s="41" t="s">
        <v>379</v>
      </c>
      <c r="F271" s="41" t="s">
        <v>622</v>
      </c>
      <c r="G271" s="17">
        <v>39.394336000000003</v>
      </c>
      <c r="H271" s="17">
        <v>-121.152534</v>
      </c>
      <c r="I271" s="17">
        <v>1385</v>
      </c>
      <c r="J271" s="17">
        <v>4975</v>
      </c>
      <c r="K271" s="17" t="s">
        <v>102</v>
      </c>
      <c r="L271" s="17" t="s">
        <v>51</v>
      </c>
      <c r="M271" s="17" t="s">
        <v>391</v>
      </c>
      <c r="N271" s="17" t="s">
        <v>392</v>
      </c>
      <c r="O271" s="17" t="s">
        <v>433</v>
      </c>
    </row>
    <row r="272" spans="1:15" hidden="1" x14ac:dyDescent="0.35">
      <c r="A272" s="17">
        <v>12</v>
      </c>
      <c r="B272" s="17">
        <v>2</v>
      </c>
      <c r="C272" s="17">
        <v>2002</v>
      </c>
      <c r="E272" s="41" t="s">
        <v>379</v>
      </c>
      <c r="F272" s="41" t="s">
        <v>622</v>
      </c>
      <c r="G272" s="17">
        <v>39.394336000000003</v>
      </c>
      <c r="H272" s="17">
        <v>-121.152534</v>
      </c>
      <c r="I272" s="17">
        <v>1385</v>
      </c>
      <c r="J272" s="17">
        <v>294</v>
      </c>
      <c r="K272" s="17" t="s">
        <v>102</v>
      </c>
      <c r="L272" s="17" t="s">
        <v>51</v>
      </c>
      <c r="M272" s="17" t="s">
        <v>391</v>
      </c>
      <c r="N272" s="17" t="s">
        <v>392</v>
      </c>
      <c r="O272" s="17" t="s">
        <v>433</v>
      </c>
    </row>
    <row r="273" spans="1:15" hidden="1" x14ac:dyDescent="0.35">
      <c r="A273" s="17">
        <v>12</v>
      </c>
      <c r="B273" s="17">
        <v>3</v>
      </c>
      <c r="C273" s="17">
        <v>2003</v>
      </c>
      <c r="E273" s="41" t="s">
        <v>379</v>
      </c>
      <c r="F273" s="41" t="s">
        <v>622</v>
      </c>
      <c r="G273" s="17">
        <v>39.394336000000003</v>
      </c>
      <c r="H273" s="17">
        <v>-121.152534</v>
      </c>
      <c r="I273" s="17">
        <v>1385</v>
      </c>
      <c r="J273" s="17">
        <v>2333</v>
      </c>
      <c r="K273" s="17" t="s">
        <v>102</v>
      </c>
      <c r="L273" s="17" t="s">
        <v>51</v>
      </c>
      <c r="M273" s="17" t="s">
        <v>391</v>
      </c>
      <c r="N273" s="17" t="s">
        <v>392</v>
      </c>
      <c r="O273" s="17" t="s">
        <v>433</v>
      </c>
    </row>
    <row r="274" spans="1:15" hidden="1" x14ac:dyDescent="0.35">
      <c r="A274" s="17">
        <v>12</v>
      </c>
      <c r="B274" s="17">
        <v>4</v>
      </c>
      <c r="C274" s="17">
        <v>2004</v>
      </c>
      <c r="E274" s="41" t="s">
        <v>379</v>
      </c>
      <c r="F274" s="41" t="s">
        <v>622</v>
      </c>
      <c r="G274" s="17">
        <v>39.394336000000003</v>
      </c>
      <c r="H274" s="17">
        <v>-121.152534</v>
      </c>
      <c r="I274" s="17">
        <v>1385</v>
      </c>
      <c r="J274" s="17">
        <v>480</v>
      </c>
      <c r="K274" s="17" t="s">
        <v>102</v>
      </c>
      <c r="L274" s="17" t="s">
        <v>51</v>
      </c>
      <c r="M274" s="17" t="s">
        <v>391</v>
      </c>
      <c r="N274" s="17" t="s">
        <v>392</v>
      </c>
      <c r="O274" s="17" t="s">
        <v>433</v>
      </c>
    </row>
    <row r="275" spans="1:15" hidden="1" x14ac:dyDescent="0.35">
      <c r="A275" s="17">
        <v>12</v>
      </c>
      <c r="B275" s="17">
        <v>5</v>
      </c>
      <c r="C275" s="17">
        <v>2004</v>
      </c>
      <c r="E275" s="41" t="s">
        <v>379</v>
      </c>
      <c r="F275" s="41" t="s">
        <v>622</v>
      </c>
      <c r="G275" s="17">
        <v>39.394336000000003</v>
      </c>
      <c r="H275" s="17">
        <v>-121.152534</v>
      </c>
      <c r="I275" s="17">
        <v>1385</v>
      </c>
      <c r="J275" s="17">
        <v>1716</v>
      </c>
      <c r="K275" s="17" t="s">
        <v>102</v>
      </c>
      <c r="L275" s="17" t="s">
        <v>51</v>
      </c>
      <c r="M275" s="17" t="s">
        <v>391</v>
      </c>
      <c r="N275" s="17" t="s">
        <v>392</v>
      </c>
      <c r="O275" s="17" t="s">
        <v>433</v>
      </c>
    </row>
    <row r="276" spans="1:15" hidden="1" x14ac:dyDescent="0.35">
      <c r="A276" s="17">
        <v>12</v>
      </c>
      <c r="B276" s="17">
        <v>6</v>
      </c>
      <c r="C276" s="17">
        <v>2004</v>
      </c>
      <c r="E276" s="41" t="s">
        <v>379</v>
      </c>
      <c r="F276" s="41" t="s">
        <v>622</v>
      </c>
      <c r="G276" s="17">
        <v>39.394336000000003</v>
      </c>
      <c r="H276" s="17">
        <v>-121.152534</v>
      </c>
      <c r="I276" s="17">
        <v>1385</v>
      </c>
      <c r="J276" s="17">
        <v>5144</v>
      </c>
      <c r="K276" s="17" t="s">
        <v>102</v>
      </c>
      <c r="L276" s="17" t="s">
        <v>51</v>
      </c>
      <c r="M276" s="17" t="s">
        <v>391</v>
      </c>
      <c r="N276" s="17" t="s">
        <v>392</v>
      </c>
      <c r="O276" s="17" t="s">
        <v>433</v>
      </c>
    </row>
    <row r="277" spans="1:15" hidden="1" x14ac:dyDescent="0.35">
      <c r="A277" s="17">
        <v>12</v>
      </c>
      <c r="B277" s="17">
        <v>7</v>
      </c>
      <c r="C277" s="17">
        <v>2004</v>
      </c>
      <c r="E277" s="41" t="s">
        <v>379</v>
      </c>
      <c r="F277" s="41" t="s">
        <v>622</v>
      </c>
      <c r="G277" s="17">
        <v>39.394336000000003</v>
      </c>
      <c r="H277" s="17">
        <v>-121.152534</v>
      </c>
      <c r="I277" s="17">
        <v>1385</v>
      </c>
      <c r="J277" s="17">
        <v>985</v>
      </c>
      <c r="K277" s="17" t="s">
        <v>102</v>
      </c>
      <c r="L277" s="17" t="s">
        <v>51</v>
      </c>
      <c r="M277" s="17" t="s">
        <v>391</v>
      </c>
      <c r="N277" s="17" t="s">
        <v>392</v>
      </c>
      <c r="O277" s="17" t="s">
        <v>433</v>
      </c>
    </row>
    <row r="278" spans="1:15" hidden="1" x14ac:dyDescent="0.35">
      <c r="A278" s="17">
        <v>12</v>
      </c>
      <c r="B278" s="17">
        <v>8</v>
      </c>
      <c r="C278" s="17">
        <v>2004</v>
      </c>
      <c r="E278" s="41" t="s">
        <v>379</v>
      </c>
      <c r="F278" s="41" t="s">
        <v>622</v>
      </c>
      <c r="G278" s="17">
        <v>39.394336000000003</v>
      </c>
      <c r="H278" s="17">
        <v>-121.152534</v>
      </c>
      <c r="I278" s="17">
        <v>1385</v>
      </c>
      <c r="J278" s="17">
        <v>1192</v>
      </c>
      <c r="K278" s="17" t="s">
        <v>102</v>
      </c>
      <c r="L278" s="17" t="s">
        <v>51</v>
      </c>
      <c r="M278" s="17" t="s">
        <v>391</v>
      </c>
      <c r="N278" s="17" t="s">
        <v>392</v>
      </c>
      <c r="O278" s="17" t="s">
        <v>433</v>
      </c>
    </row>
    <row r="279" spans="1:15" hidden="1" x14ac:dyDescent="0.35">
      <c r="A279" s="17">
        <v>12</v>
      </c>
      <c r="B279" s="17">
        <v>9</v>
      </c>
      <c r="C279" s="17">
        <v>2005</v>
      </c>
      <c r="E279" s="41" t="s">
        <v>379</v>
      </c>
      <c r="F279" s="41" t="s">
        <v>622</v>
      </c>
      <c r="G279" s="17">
        <v>39.394336000000003</v>
      </c>
      <c r="H279" s="17">
        <v>-121.152534</v>
      </c>
      <c r="I279" s="17">
        <v>1385</v>
      </c>
      <c r="J279" s="17">
        <v>477</v>
      </c>
      <c r="K279" s="17" t="s">
        <v>102</v>
      </c>
      <c r="L279" s="17" t="s">
        <v>51</v>
      </c>
      <c r="M279" s="17" t="s">
        <v>391</v>
      </c>
      <c r="N279" s="17" t="s">
        <v>392</v>
      </c>
      <c r="O279" s="17" t="s">
        <v>433</v>
      </c>
    </row>
    <row r="280" spans="1:15" hidden="1" x14ac:dyDescent="0.35">
      <c r="A280" s="17">
        <v>12</v>
      </c>
      <c r="B280" s="17">
        <v>10</v>
      </c>
      <c r="C280" s="17">
        <v>2006</v>
      </c>
      <c r="E280" s="41" t="s">
        <v>379</v>
      </c>
      <c r="F280" s="41" t="s">
        <v>622</v>
      </c>
      <c r="G280" s="17">
        <v>39.394336000000003</v>
      </c>
      <c r="H280" s="17">
        <v>-121.152534</v>
      </c>
      <c r="I280" s="17">
        <v>1385</v>
      </c>
      <c r="J280" s="17">
        <v>37.886000000000003</v>
      </c>
      <c r="K280" s="17" t="s">
        <v>102</v>
      </c>
      <c r="L280" s="17" t="s">
        <v>51</v>
      </c>
      <c r="M280" s="17" t="s">
        <v>391</v>
      </c>
      <c r="N280" s="17" t="s">
        <v>392</v>
      </c>
      <c r="O280" s="17" t="s">
        <v>433</v>
      </c>
    </row>
    <row r="281" spans="1:15" hidden="1" x14ac:dyDescent="0.35">
      <c r="A281" s="17">
        <v>12</v>
      </c>
      <c r="B281" s="17">
        <v>11</v>
      </c>
      <c r="C281" s="17">
        <v>2006</v>
      </c>
      <c r="E281" s="41" t="s">
        <v>379</v>
      </c>
      <c r="F281" s="41" t="s">
        <v>622</v>
      </c>
      <c r="G281" s="17">
        <v>39.394336000000003</v>
      </c>
      <c r="H281" s="17">
        <v>-121.152534</v>
      </c>
      <c r="I281" s="17">
        <v>1385</v>
      </c>
      <c r="J281" s="17">
        <v>874</v>
      </c>
      <c r="K281" s="17" t="s">
        <v>102</v>
      </c>
      <c r="L281" s="17" t="s">
        <v>51</v>
      </c>
      <c r="M281" s="17" t="s">
        <v>391</v>
      </c>
      <c r="N281" s="17" t="s">
        <v>392</v>
      </c>
      <c r="O281" s="17" t="s">
        <v>433</v>
      </c>
    </row>
    <row r="282" spans="1:15" hidden="1" x14ac:dyDescent="0.35">
      <c r="A282" s="17">
        <v>12</v>
      </c>
      <c r="B282" s="17">
        <v>12</v>
      </c>
      <c r="C282" s="17">
        <v>2006</v>
      </c>
      <c r="E282" s="41" t="s">
        <v>379</v>
      </c>
      <c r="F282" s="41" t="s">
        <v>622</v>
      </c>
      <c r="G282" s="17">
        <v>39.394336000000003</v>
      </c>
      <c r="H282" s="17">
        <v>-121.152534</v>
      </c>
      <c r="I282" s="17">
        <v>1385</v>
      </c>
      <c r="J282" s="17">
        <v>2385</v>
      </c>
      <c r="K282" s="17" t="s">
        <v>102</v>
      </c>
      <c r="L282" s="17" t="s">
        <v>51</v>
      </c>
      <c r="M282" s="17" t="s">
        <v>391</v>
      </c>
      <c r="N282" s="17" t="s">
        <v>392</v>
      </c>
      <c r="O282" s="17" t="s">
        <v>433</v>
      </c>
    </row>
    <row r="283" spans="1:15" hidden="1" x14ac:dyDescent="0.35">
      <c r="A283" s="17">
        <v>12</v>
      </c>
      <c r="B283" s="17">
        <v>13</v>
      </c>
      <c r="C283" s="17">
        <v>2007</v>
      </c>
      <c r="E283" s="41" t="s">
        <v>379</v>
      </c>
      <c r="F283" s="41" t="s">
        <v>622</v>
      </c>
      <c r="G283" s="17">
        <v>39.394336000000003</v>
      </c>
      <c r="H283" s="17">
        <v>-121.152534</v>
      </c>
      <c r="I283" s="17">
        <v>1385</v>
      </c>
      <c r="J283" s="17">
        <v>9022</v>
      </c>
      <c r="K283" s="17" t="s">
        <v>102</v>
      </c>
      <c r="L283" s="17" t="s">
        <v>51</v>
      </c>
      <c r="M283" s="17" t="s">
        <v>391</v>
      </c>
      <c r="N283" s="17" t="s">
        <v>392</v>
      </c>
      <c r="O283" s="17" t="s">
        <v>433</v>
      </c>
    </row>
    <row r="284" spans="1:15" hidden="1" x14ac:dyDescent="0.35">
      <c r="A284" s="17">
        <v>12</v>
      </c>
      <c r="B284" s="17">
        <v>14</v>
      </c>
      <c r="C284" s="17">
        <v>2007</v>
      </c>
      <c r="E284" s="41" t="s">
        <v>379</v>
      </c>
      <c r="F284" s="41" t="s">
        <v>622</v>
      </c>
      <c r="G284" s="17">
        <v>39.394336000000003</v>
      </c>
      <c r="H284" s="17">
        <v>-121.152534</v>
      </c>
      <c r="I284" s="17">
        <v>1385</v>
      </c>
      <c r="J284" s="17">
        <v>18.216000000000001</v>
      </c>
      <c r="K284" s="17" t="s">
        <v>102</v>
      </c>
      <c r="L284" s="17" t="s">
        <v>51</v>
      </c>
      <c r="M284" s="17" t="s">
        <v>391</v>
      </c>
      <c r="N284" s="17" t="s">
        <v>392</v>
      </c>
      <c r="O284" s="17" t="s">
        <v>433</v>
      </c>
    </row>
    <row r="285" spans="1:15" hidden="1" x14ac:dyDescent="0.35">
      <c r="A285" s="17">
        <v>22</v>
      </c>
      <c r="B285" s="17">
        <v>1</v>
      </c>
      <c r="C285" s="17" t="s">
        <v>1374</v>
      </c>
      <c r="E285" s="41" t="s">
        <v>74</v>
      </c>
      <c r="F285" s="41" t="s">
        <v>621</v>
      </c>
      <c r="G285" s="49">
        <v>32.740360000000003</v>
      </c>
      <c r="H285" s="49">
        <v>35.030189999999997</v>
      </c>
      <c r="I285" s="17">
        <v>546</v>
      </c>
      <c r="J285" s="17">
        <v>2500</v>
      </c>
      <c r="K285" s="17" t="s">
        <v>33</v>
      </c>
      <c r="L285" s="17" t="s">
        <v>34</v>
      </c>
      <c r="M285" s="17" t="s">
        <v>396</v>
      </c>
      <c r="N285" s="17" t="s">
        <v>397</v>
      </c>
      <c r="O285" s="17" t="s">
        <v>433</v>
      </c>
    </row>
    <row r="286" spans="1:15" x14ac:dyDescent="0.35">
      <c r="A286" s="17">
        <v>32</v>
      </c>
      <c r="B286" s="17">
        <v>1</v>
      </c>
      <c r="C286" s="17" t="s">
        <v>1375</v>
      </c>
      <c r="D286" s="17" t="s">
        <v>404</v>
      </c>
      <c r="E286" s="41" t="s">
        <v>82</v>
      </c>
      <c r="F286" s="41" t="s">
        <v>620</v>
      </c>
      <c r="G286" s="17">
        <v>40.783999999999999</v>
      </c>
      <c r="H286" s="17">
        <v>9.1639999999999997</v>
      </c>
      <c r="I286" s="17">
        <v>600</v>
      </c>
      <c r="J286" s="17" t="s">
        <v>1330</v>
      </c>
      <c r="K286" s="17" t="s">
        <v>33</v>
      </c>
      <c r="L286" s="17" t="s">
        <v>34</v>
      </c>
      <c r="M286" s="17" t="s">
        <v>402</v>
      </c>
      <c r="N286" s="17" t="s">
        <v>400</v>
      </c>
      <c r="O286" s="17" t="s">
        <v>44</v>
      </c>
    </row>
    <row r="287" spans="1:15" x14ac:dyDescent="0.35">
      <c r="A287" s="17">
        <v>52</v>
      </c>
      <c r="B287" s="17" t="s">
        <v>102</v>
      </c>
      <c r="C287" s="17">
        <v>1989</v>
      </c>
      <c r="E287" s="41" t="s">
        <v>45</v>
      </c>
      <c r="F287" s="41" t="s">
        <v>622</v>
      </c>
      <c r="G287" s="17">
        <v>41.640791</v>
      </c>
      <c r="H287" s="17">
        <v>2.0170680000000001</v>
      </c>
      <c r="I287" s="17">
        <v>590</v>
      </c>
      <c r="J287" s="17">
        <v>550</v>
      </c>
      <c r="K287" s="17" t="s">
        <v>95</v>
      </c>
      <c r="L287" s="17" t="s">
        <v>51</v>
      </c>
      <c r="M287" s="17" t="s">
        <v>412</v>
      </c>
      <c r="N287" s="17" t="s">
        <v>408</v>
      </c>
      <c r="O287" s="17" t="s">
        <v>433</v>
      </c>
    </row>
    <row r="288" spans="1:15" hidden="1" x14ac:dyDescent="0.35">
      <c r="A288" s="17">
        <v>65</v>
      </c>
      <c r="B288" s="17" t="s">
        <v>102</v>
      </c>
      <c r="C288" s="17" t="s">
        <v>1330</v>
      </c>
      <c r="E288" s="41" t="s">
        <v>49</v>
      </c>
      <c r="F288" s="41" t="s">
        <v>620</v>
      </c>
      <c r="G288" s="17">
        <v>40.619655100000003</v>
      </c>
      <c r="H288" s="17">
        <v>21.549108199999999</v>
      </c>
      <c r="I288" s="17">
        <v>606</v>
      </c>
      <c r="J288" s="17" t="s">
        <v>1330</v>
      </c>
      <c r="K288" s="17" t="s">
        <v>1330</v>
      </c>
      <c r="L288" s="17" t="s">
        <v>51</v>
      </c>
      <c r="M288" s="17" t="s">
        <v>418</v>
      </c>
      <c r="N288" s="17" t="s">
        <v>419</v>
      </c>
      <c r="O288" s="17" t="s">
        <v>44</v>
      </c>
    </row>
    <row r="289" spans="1:16" ht="29" x14ac:dyDescent="0.35">
      <c r="A289" s="17">
        <v>75</v>
      </c>
      <c r="B289" s="17">
        <v>1</v>
      </c>
      <c r="C289" s="17" t="s">
        <v>1361</v>
      </c>
      <c r="D289" s="17" t="s">
        <v>404</v>
      </c>
      <c r="E289" s="41" t="s">
        <v>45</v>
      </c>
      <c r="F289" s="41" t="s">
        <v>621</v>
      </c>
      <c r="G289" s="17">
        <v>38.280414999999998</v>
      </c>
      <c r="H289" s="17">
        <v>-1.8693740000000001</v>
      </c>
      <c r="I289" s="17">
        <v>716</v>
      </c>
      <c r="J289" s="17" t="s">
        <v>1330</v>
      </c>
      <c r="K289" s="17" t="s">
        <v>425</v>
      </c>
      <c r="L289" s="17" t="s">
        <v>34</v>
      </c>
      <c r="M289" s="17" t="s">
        <v>396</v>
      </c>
      <c r="N289" s="43" t="s">
        <v>426</v>
      </c>
      <c r="O289" s="17" t="s">
        <v>433</v>
      </c>
    </row>
    <row r="290" spans="1:16" ht="29" x14ac:dyDescent="0.35">
      <c r="A290" s="17">
        <v>75</v>
      </c>
      <c r="B290" s="17">
        <v>2</v>
      </c>
      <c r="C290" s="17" t="s">
        <v>1404</v>
      </c>
      <c r="D290" s="17" t="s">
        <v>404</v>
      </c>
      <c r="E290" s="41" t="s">
        <v>45</v>
      </c>
      <c r="F290" s="41" t="s">
        <v>621</v>
      </c>
      <c r="G290" s="17">
        <v>38.280414999999998</v>
      </c>
      <c r="H290" s="17">
        <v>-1.8693740000000001</v>
      </c>
      <c r="I290" s="17">
        <v>716</v>
      </c>
      <c r="J290" s="17" t="s">
        <v>1330</v>
      </c>
      <c r="K290" s="17" t="s">
        <v>425</v>
      </c>
      <c r="L290" s="17" t="s">
        <v>34</v>
      </c>
      <c r="M290" s="17" t="s">
        <v>396</v>
      </c>
      <c r="N290" s="43" t="s">
        <v>426</v>
      </c>
      <c r="O290" s="17" t="s">
        <v>433</v>
      </c>
    </row>
    <row r="291" spans="1:16" hidden="1" x14ac:dyDescent="0.35">
      <c r="A291" s="16">
        <v>631</v>
      </c>
      <c r="B291" s="17">
        <v>1</v>
      </c>
      <c r="C291" s="17">
        <v>1989</v>
      </c>
      <c r="E291" s="17" t="s">
        <v>74</v>
      </c>
      <c r="F291" s="17" t="s">
        <v>622</v>
      </c>
      <c r="G291" s="17">
        <v>32.75</v>
      </c>
      <c r="H291" s="17">
        <v>35.0167</v>
      </c>
      <c r="I291" s="17">
        <v>370</v>
      </c>
      <c r="J291" s="17" t="s">
        <v>1330</v>
      </c>
      <c r="K291" s="17" t="s">
        <v>1330</v>
      </c>
      <c r="L291" s="17" t="s">
        <v>34</v>
      </c>
      <c r="M291" s="17" t="s">
        <v>437</v>
      </c>
      <c r="N291" s="17" t="s">
        <v>438</v>
      </c>
      <c r="O291" s="17" t="s">
        <v>1330</v>
      </c>
    </row>
    <row r="292" spans="1:16" hidden="1" x14ac:dyDescent="0.35">
      <c r="A292" s="16">
        <v>631</v>
      </c>
      <c r="B292" s="17">
        <v>2</v>
      </c>
      <c r="C292" s="17">
        <v>1983</v>
      </c>
      <c r="E292" s="17" t="s">
        <v>74</v>
      </c>
      <c r="F292" s="17" t="s">
        <v>622</v>
      </c>
      <c r="G292" s="17">
        <v>34.9833</v>
      </c>
      <c r="H292" s="17">
        <v>32.7333</v>
      </c>
      <c r="I292" s="17">
        <v>340</v>
      </c>
      <c r="J292" s="17" t="s">
        <v>1330</v>
      </c>
      <c r="K292" s="17" t="s">
        <v>1330</v>
      </c>
      <c r="L292" s="17" t="s">
        <v>34</v>
      </c>
      <c r="M292" s="17" t="s">
        <v>437</v>
      </c>
      <c r="N292" s="17" t="s">
        <v>438</v>
      </c>
      <c r="O292" s="17" t="s">
        <v>1330</v>
      </c>
    </row>
    <row r="293" spans="1:16" hidden="1" x14ac:dyDescent="0.35">
      <c r="A293" s="16">
        <v>631</v>
      </c>
      <c r="B293" s="17">
        <v>3</v>
      </c>
      <c r="C293" s="17">
        <v>1974</v>
      </c>
      <c r="E293" s="17" t="s">
        <v>74</v>
      </c>
      <c r="F293" s="17" t="s">
        <v>622</v>
      </c>
      <c r="G293" s="17">
        <v>34.966700000000003</v>
      </c>
      <c r="H293" s="17">
        <v>32.716700000000003</v>
      </c>
      <c r="I293" s="17">
        <v>180</v>
      </c>
      <c r="J293" s="17" t="s">
        <v>1330</v>
      </c>
      <c r="K293" s="17" t="s">
        <v>1330</v>
      </c>
      <c r="L293" s="17" t="s">
        <v>34</v>
      </c>
      <c r="M293" s="17" t="s">
        <v>437</v>
      </c>
      <c r="N293" s="17" t="s">
        <v>438</v>
      </c>
      <c r="O293" s="17" t="s">
        <v>1330</v>
      </c>
    </row>
    <row r="294" spans="1:16" hidden="1" x14ac:dyDescent="0.35">
      <c r="A294" s="16">
        <v>634</v>
      </c>
      <c r="B294" s="17">
        <v>1</v>
      </c>
      <c r="C294" s="17" t="s">
        <v>1376</v>
      </c>
      <c r="D294" s="17" t="s">
        <v>404</v>
      </c>
      <c r="E294" s="17" t="s">
        <v>45</v>
      </c>
      <c r="F294" s="17" t="s">
        <v>621</v>
      </c>
      <c r="G294" s="17">
        <v>39.583300000000001</v>
      </c>
      <c r="H294" s="17">
        <v>-1.4167000000000001</v>
      </c>
      <c r="I294" s="17" t="s">
        <v>1330</v>
      </c>
      <c r="J294" s="17">
        <v>33000</v>
      </c>
      <c r="K294" s="17" t="s">
        <v>1330</v>
      </c>
      <c r="L294" s="17" t="s">
        <v>51</v>
      </c>
      <c r="M294" s="17" t="s">
        <v>38</v>
      </c>
      <c r="N294" s="17" t="s">
        <v>439</v>
      </c>
      <c r="O294" s="17" t="s">
        <v>4749</v>
      </c>
    </row>
    <row r="295" spans="1:16" hidden="1" x14ac:dyDescent="0.35">
      <c r="A295" s="17">
        <v>634</v>
      </c>
      <c r="B295" s="17">
        <v>2</v>
      </c>
      <c r="C295" s="17">
        <v>1991</v>
      </c>
      <c r="E295" s="41" t="s">
        <v>45</v>
      </c>
      <c r="F295" s="41" t="s">
        <v>621</v>
      </c>
      <c r="G295" s="17">
        <v>39.583300000000001</v>
      </c>
      <c r="H295" s="17">
        <v>-1.4167000000000001</v>
      </c>
      <c r="I295" s="17" t="s">
        <v>1330</v>
      </c>
      <c r="J295" s="17">
        <v>5000</v>
      </c>
      <c r="K295" s="17" t="s">
        <v>1330</v>
      </c>
      <c r="L295" s="17" t="s">
        <v>34</v>
      </c>
      <c r="M295" s="17" t="s">
        <v>38</v>
      </c>
      <c r="N295" s="17" t="s">
        <v>439</v>
      </c>
      <c r="O295" s="17" t="s">
        <v>4749</v>
      </c>
    </row>
    <row r="296" spans="1:16" x14ac:dyDescent="0.35">
      <c r="A296" s="16">
        <v>647</v>
      </c>
      <c r="B296" s="17">
        <v>1</v>
      </c>
      <c r="C296" s="17" t="s">
        <v>1368</v>
      </c>
      <c r="E296" s="17" t="s">
        <v>37</v>
      </c>
      <c r="F296" s="17" t="s">
        <v>620</v>
      </c>
      <c r="G296" s="17">
        <v>38.967500000000001</v>
      </c>
      <c r="H296" s="17">
        <v>-9.2514000000000003</v>
      </c>
      <c r="I296" s="17">
        <v>225</v>
      </c>
      <c r="J296" s="17" t="s">
        <v>1330</v>
      </c>
      <c r="K296" s="17" t="s">
        <v>33</v>
      </c>
      <c r="L296" s="17" t="s">
        <v>34</v>
      </c>
      <c r="M296" s="17" t="s">
        <v>460</v>
      </c>
      <c r="N296" s="17" t="s">
        <v>440</v>
      </c>
      <c r="O296" s="17" t="s">
        <v>1725</v>
      </c>
    </row>
    <row r="297" spans="1:16" x14ac:dyDescent="0.35">
      <c r="A297" s="16">
        <v>674</v>
      </c>
      <c r="B297" s="17">
        <v>1</v>
      </c>
      <c r="C297" s="17" t="s">
        <v>1377</v>
      </c>
      <c r="D297" s="17" t="s">
        <v>405</v>
      </c>
      <c r="E297" s="41" t="s">
        <v>82</v>
      </c>
      <c r="F297" s="41" t="s">
        <v>620</v>
      </c>
      <c r="G297" s="17">
        <v>45.15</v>
      </c>
      <c r="H297" s="17">
        <v>7.0670000000000002</v>
      </c>
      <c r="I297" s="17">
        <v>1500</v>
      </c>
      <c r="J297" s="17">
        <v>4000</v>
      </c>
      <c r="K297" s="17" t="s">
        <v>467</v>
      </c>
      <c r="L297" s="17" t="s">
        <v>34</v>
      </c>
      <c r="M297" s="17" t="s">
        <v>38</v>
      </c>
      <c r="N297" s="17" t="s">
        <v>533</v>
      </c>
      <c r="O297" s="17" t="s">
        <v>433</v>
      </c>
    </row>
    <row r="298" spans="1:16" hidden="1" x14ac:dyDescent="0.35">
      <c r="A298" s="16">
        <v>683</v>
      </c>
      <c r="B298" s="17">
        <v>1</v>
      </c>
      <c r="C298" s="17">
        <v>1982</v>
      </c>
      <c r="E298" s="41" t="s">
        <v>82</v>
      </c>
      <c r="F298" s="41" t="s">
        <v>621</v>
      </c>
      <c r="G298" s="17">
        <v>38.100999999999999</v>
      </c>
      <c r="H298" s="17">
        <v>13.263</v>
      </c>
      <c r="I298" s="17">
        <v>507.5</v>
      </c>
      <c r="J298" s="17" t="s">
        <v>1330</v>
      </c>
      <c r="K298" s="17" t="s">
        <v>1330</v>
      </c>
      <c r="L298" s="17" t="s">
        <v>34</v>
      </c>
      <c r="M298" s="17" t="s">
        <v>555</v>
      </c>
      <c r="N298" s="17" t="s">
        <v>557</v>
      </c>
      <c r="O298" s="17" t="s">
        <v>44</v>
      </c>
    </row>
    <row r="299" spans="1:16" hidden="1" x14ac:dyDescent="0.35">
      <c r="A299" s="16">
        <v>683</v>
      </c>
      <c r="B299" s="17">
        <v>2</v>
      </c>
      <c r="C299" s="17">
        <v>1954</v>
      </c>
      <c r="E299" s="41" t="s">
        <v>82</v>
      </c>
      <c r="F299" s="41" t="s">
        <v>621</v>
      </c>
      <c r="G299" s="17">
        <v>38.100999999999999</v>
      </c>
      <c r="H299" s="17">
        <v>13.263</v>
      </c>
      <c r="I299" s="17">
        <v>505</v>
      </c>
      <c r="J299" s="17" t="s">
        <v>1330</v>
      </c>
      <c r="K299" s="17" t="s">
        <v>1330</v>
      </c>
      <c r="L299" s="17" t="s">
        <v>34</v>
      </c>
      <c r="M299" s="17" t="s">
        <v>556</v>
      </c>
      <c r="N299" s="17" t="s">
        <v>557</v>
      </c>
      <c r="O299" s="17" t="s">
        <v>44</v>
      </c>
    </row>
    <row r="300" spans="1:16" hidden="1" x14ac:dyDescent="0.35">
      <c r="A300" s="16">
        <v>687</v>
      </c>
      <c r="B300" s="17" t="s">
        <v>102</v>
      </c>
      <c r="C300" s="17" t="s">
        <v>569</v>
      </c>
      <c r="E300" s="41" t="s">
        <v>45</v>
      </c>
      <c r="F300" s="41" t="s">
        <v>622</v>
      </c>
      <c r="G300" s="17">
        <v>41.704000000000001</v>
      </c>
      <c r="H300" s="17">
        <v>1.5028999999999999</v>
      </c>
      <c r="I300" s="17" t="s">
        <v>1330</v>
      </c>
      <c r="J300" s="17" t="s">
        <v>1330</v>
      </c>
      <c r="K300" s="17" t="s">
        <v>1330</v>
      </c>
      <c r="L300" s="17" t="s">
        <v>51</v>
      </c>
      <c r="M300" s="17" t="s">
        <v>460</v>
      </c>
      <c r="N300" s="17" t="s">
        <v>579</v>
      </c>
      <c r="O300" s="17" t="s">
        <v>44</v>
      </c>
    </row>
    <row r="301" spans="1:16" hidden="1" x14ac:dyDescent="0.35">
      <c r="A301" s="17">
        <v>708</v>
      </c>
      <c r="B301" s="17" t="s">
        <v>102</v>
      </c>
      <c r="C301" s="17">
        <v>1994</v>
      </c>
      <c r="E301" s="41" t="s">
        <v>45</v>
      </c>
      <c r="F301" s="41" t="s">
        <v>622</v>
      </c>
      <c r="G301" s="17">
        <v>41.689599999999999</v>
      </c>
      <c r="H301" s="17">
        <v>2.1320000000000001</v>
      </c>
      <c r="I301" s="17" t="s">
        <v>1330</v>
      </c>
      <c r="J301" s="17" t="s">
        <v>1330</v>
      </c>
      <c r="K301" s="17" t="s">
        <v>1330</v>
      </c>
      <c r="L301" s="17" t="s">
        <v>51</v>
      </c>
      <c r="M301" s="17" t="s">
        <v>460</v>
      </c>
      <c r="N301" s="17" t="s">
        <v>580</v>
      </c>
      <c r="O301" s="17" t="s">
        <v>433</v>
      </c>
      <c r="P301" s="17" t="s">
        <v>581</v>
      </c>
    </row>
    <row r="302" spans="1:16" hidden="1" x14ac:dyDescent="0.35">
      <c r="A302" s="17">
        <v>724</v>
      </c>
      <c r="B302" s="17" t="s">
        <v>102</v>
      </c>
      <c r="C302" s="17" t="s">
        <v>596</v>
      </c>
      <c r="E302" s="41" t="s">
        <v>45</v>
      </c>
      <c r="F302" s="41" t="s">
        <v>622</v>
      </c>
      <c r="G302" s="17">
        <v>41.704000000000001</v>
      </c>
      <c r="H302" s="17">
        <v>1.5028999999999999</v>
      </c>
      <c r="I302" s="17" t="s">
        <v>1330</v>
      </c>
      <c r="J302" s="17" t="s">
        <v>1330</v>
      </c>
      <c r="K302" s="17" t="s">
        <v>1330</v>
      </c>
      <c r="L302" s="17" t="s">
        <v>51</v>
      </c>
      <c r="M302" s="17" t="s">
        <v>598</v>
      </c>
      <c r="N302" s="17" t="s">
        <v>597</v>
      </c>
      <c r="O302" s="17" t="s">
        <v>1330</v>
      </c>
    </row>
    <row r="303" spans="1:16" hidden="1" x14ac:dyDescent="0.35">
      <c r="A303" s="17">
        <v>738</v>
      </c>
      <c r="B303" s="17">
        <v>1</v>
      </c>
      <c r="C303" s="17" t="s">
        <v>1422</v>
      </c>
      <c r="D303" s="17" t="s">
        <v>404</v>
      </c>
      <c r="E303" s="41" t="s">
        <v>49</v>
      </c>
      <c r="F303" s="41" t="s">
        <v>622</v>
      </c>
      <c r="G303" s="17">
        <v>38.177999999999997</v>
      </c>
      <c r="H303" s="17">
        <v>23.719000000000001</v>
      </c>
      <c r="I303" s="17">
        <f>(400+450)/2</f>
        <v>425</v>
      </c>
      <c r="J303" s="17">
        <v>1500</v>
      </c>
      <c r="K303" s="17" t="s">
        <v>1330</v>
      </c>
      <c r="L303" s="17" t="s">
        <v>34</v>
      </c>
      <c r="M303" s="17" t="s">
        <v>38</v>
      </c>
      <c r="N303" s="17" t="s">
        <v>50</v>
      </c>
      <c r="O303" s="17" t="s">
        <v>44</v>
      </c>
    </row>
    <row r="304" spans="1:16" hidden="1" x14ac:dyDescent="0.35">
      <c r="A304" s="17">
        <v>743</v>
      </c>
      <c r="B304" s="17">
        <v>1</v>
      </c>
      <c r="C304" s="17" t="s">
        <v>1362</v>
      </c>
      <c r="D304" s="17" t="s">
        <v>404</v>
      </c>
      <c r="E304" s="41" t="s">
        <v>45</v>
      </c>
      <c r="F304" s="41" t="s">
        <v>622</v>
      </c>
      <c r="G304" s="17">
        <v>41.795999999999999</v>
      </c>
      <c r="H304" s="17">
        <v>2.403</v>
      </c>
      <c r="I304" s="17">
        <v>407</v>
      </c>
      <c r="J304" s="17">
        <v>8700</v>
      </c>
      <c r="K304" s="17" t="s">
        <v>1330</v>
      </c>
      <c r="L304" s="17" t="s">
        <v>34</v>
      </c>
      <c r="M304" s="17" t="s">
        <v>463</v>
      </c>
      <c r="N304" s="17" t="s">
        <v>47</v>
      </c>
      <c r="O304" s="17" t="s">
        <v>1330</v>
      </c>
    </row>
    <row r="305" spans="1:16" hidden="1" x14ac:dyDescent="0.35">
      <c r="A305" s="17">
        <v>753</v>
      </c>
      <c r="B305" s="17">
        <v>1</v>
      </c>
      <c r="C305" s="17">
        <v>1990</v>
      </c>
      <c r="E305" s="41" t="s">
        <v>86</v>
      </c>
      <c r="F305" s="41" t="s">
        <v>620</v>
      </c>
      <c r="G305" s="17">
        <v>43.05</v>
      </c>
      <c r="H305" s="17">
        <v>6.05</v>
      </c>
      <c r="I305" s="17" t="s">
        <v>1330</v>
      </c>
      <c r="J305" s="17">
        <v>25000</v>
      </c>
      <c r="K305" s="17" t="s">
        <v>1330</v>
      </c>
      <c r="L305" s="17" t="s">
        <v>51</v>
      </c>
      <c r="M305" s="17" t="s">
        <v>722</v>
      </c>
      <c r="N305" s="17" t="s">
        <v>723</v>
      </c>
      <c r="O305" s="17" t="s">
        <v>1330</v>
      </c>
    </row>
    <row r="306" spans="1:16" hidden="1" x14ac:dyDescent="0.35">
      <c r="A306" s="17">
        <v>753</v>
      </c>
      <c r="B306" s="17">
        <v>2</v>
      </c>
      <c r="C306" s="17">
        <v>2003</v>
      </c>
      <c r="E306" s="41" t="s">
        <v>86</v>
      </c>
      <c r="F306" s="41" t="s">
        <v>620</v>
      </c>
      <c r="G306" s="17">
        <v>43.05</v>
      </c>
      <c r="H306" s="17">
        <v>6.05</v>
      </c>
      <c r="I306" s="17" t="s">
        <v>1330</v>
      </c>
      <c r="J306" s="17">
        <v>14000</v>
      </c>
      <c r="K306" s="17" t="s">
        <v>1330</v>
      </c>
      <c r="L306" s="17" t="s">
        <v>51</v>
      </c>
      <c r="M306" s="17" t="s">
        <v>724</v>
      </c>
      <c r="N306" s="17" t="s">
        <v>723</v>
      </c>
      <c r="O306" s="17" t="s">
        <v>1330</v>
      </c>
    </row>
    <row r="307" spans="1:16" x14ac:dyDescent="0.35">
      <c r="A307" s="17">
        <v>778</v>
      </c>
      <c r="B307" s="17">
        <v>1</v>
      </c>
      <c r="C307" s="17" t="s">
        <v>1378</v>
      </c>
      <c r="D307" s="17" t="s">
        <v>404</v>
      </c>
      <c r="E307" s="41" t="s">
        <v>82</v>
      </c>
      <c r="F307" s="41" t="s">
        <v>622</v>
      </c>
      <c r="G307" s="17">
        <v>40.832590000000003</v>
      </c>
      <c r="H307" s="17">
        <v>14.4299</v>
      </c>
      <c r="I307" s="17">
        <v>730</v>
      </c>
      <c r="J307" s="17" t="s">
        <v>1330</v>
      </c>
      <c r="K307" s="17" t="s">
        <v>73</v>
      </c>
      <c r="L307" s="17" t="s">
        <v>34</v>
      </c>
      <c r="M307" s="17" t="s">
        <v>725</v>
      </c>
      <c r="N307" s="17" t="s">
        <v>726</v>
      </c>
      <c r="O307" s="17" t="s">
        <v>1330</v>
      </c>
    </row>
    <row r="308" spans="1:16" x14ac:dyDescent="0.35">
      <c r="A308" s="17">
        <v>788</v>
      </c>
      <c r="B308" s="17">
        <v>1</v>
      </c>
      <c r="C308" s="17" t="s">
        <v>1345</v>
      </c>
      <c r="E308" s="41" t="s">
        <v>45</v>
      </c>
      <c r="F308" s="41" t="s">
        <v>622</v>
      </c>
      <c r="G308" s="17">
        <v>38.396549999999998</v>
      </c>
      <c r="H308" s="17">
        <v>-1.6878</v>
      </c>
      <c r="I308" s="17">
        <v>506</v>
      </c>
      <c r="J308" s="17">
        <v>6500</v>
      </c>
      <c r="K308" s="17" t="s">
        <v>432</v>
      </c>
      <c r="L308" s="17" t="s">
        <v>34</v>
      </c>
      <c r="M308" s="17" t="s">
        <v>38</v>
      </c>
      <c r="N308" s="17" t="s">
        <v>727</v>
      </c>
      <c r="O308" s="17" t="s">
        <v>376</v>
      </c>
    </row>
    <row r="309" spans="1:16" x14ac:dyDescent="0.35">
      <c r="A309" s="17">
        <v>803</v>
      </c>
      <c r="B309" s="17">
        <v>1</v>
      </c>
      <c r="C309" s="17" t="s">
        <v>1346</v>
      </c>
      <c r="D309" s="17" t="s">
        <v>405</v>
      </c>
      <c r="E309" s="41" t="s">
        <v>37</v>
      </c>
      <c r="F309" s="41" t="s">
        <v>622</v>
      </c>
      <c r="G309" s="17">
        <v>39.760680000000001</v>
      </c>
      <c r="H309" s="17">
        <v>-8.9907590000000006</v>
      </c>
      <c r="I309" s="17" t="s">
        <v>1330</v>
      </c>
      <c r="J309" s="17">
        <v>9400</v>
      </c>
      <c r="K309" s="17" t="s">
        <v>102</v>
      </c>
      <c r="L309" s="17" t="s">
        <v>34</v>
      </c>
      <c r="M309" s="17" t="s">
        <v>38</v>
      </c>
      <c r="N309" s="17" t="s">
        <v>728</v>
      </c>
      <c r="O309" s="17" t="s">
        <v>4749</v>
      </c>
    </row>
    <row r="310" spans="1:16" x14ac:dyDescent="0.35">
      <c r="A310" s="17">
        <v>811</v>
      </c>
      <c r="B310" s="17">
        <v>1</v>
      </c>
      <c r="C310" s="17" t="s">
        <v>1379</v>
      </c>
      <c r="E310" s="41" t="s">
        <v>45</v>
      </c>
      <c r="F310" s="41" t="s">
        <v>622</v>
      </c>
      <c r="G310" s="17">
        <v>38.516680000000001</v>
      </c>
      <c r="H310" s="17">
        <v>-1.823</v>
      </c>
      <c r="I310" s="17">
        <f>(520+770)/2</f>
        <v>645</v>
      </c>
      <c r="J310" s="17" t="s">
        <v>1330</v>
      </c>
      <c r="K310" s="17" t="s">
        <v>33</v>
      </c>
      <c r="L310" s="17" t="s">
        <v>34</v>
      </c>
      <c r="M310" s="17" t="s">
        <v>38</v>
      </c>
      <c r="N310" s="17" t="s">
        <v>729</v>
      </c>
      <c r="O310" s="17" t="s">
        <v>730</v>
      </c>
    </row>
    <row r="311" spans="1:16" x14ac:dyDescent="0.35">
      <c r="A311" s="17">
        <v>824</v>
      </c>
      <c r="B311" s="17">
        <v>1</v>
      </c>
      <c r="C311" s="16">
        <v>2009</v>
      </c>
      <c r="D311" s="17" t="s">
        <v>404</v>
      </c>
      <c r="E311" s="41" t="s">
        <v>45</v>
      </c>
      <c r="F311" s="41" t="s">
        <v>620</v>
      </c>
      <c r="G311" s="17">
        <v>40.266111111111108</v>
      </c>
      <c r="H311" s="17">
        <v>-1.9494444444444445</v>
      </c>
      <c r="I311" s="17">
        <v>1416</v>
      </c>
      <c r="J311" s="17" t="s">
        <v>1330</v>
      </c>
      <c r="K311" s="17" t="s">
        <v>33</v>
      </c>
      <c r="L311" s="17" t="s">
        <v>34</v>
      </c>
      <c r="M311" s="17" t="s">
        <v>38</v>
      </c>
      <c r="N311" s="17" t="s">
        <v>731</v>
      </c>
      <c r="O311" s="17" t="s">
        <v>4749</v>
      </c>
    </row>
    <row r="312" spans="1:16" hidden="1" x14ac:dyDescent="0.35">
      <c r="A312" s="17">
        <v>833</v>
      </c>
      <c r="B312" s="17" t="s">
        <v>102</v>
      </c>
      <c r="C312" s="17" t="s">
        <v>732</v>
      </c>
      <c r="E312" s="41" t="s">
        <v>82</v>
      </c>
      <c r="F312" s="41" t="s">
        <v>622</v>
      </c>
      <c r="G312" s="17">
        <v>43.355600000000003</v>
      </c>
      <c r="H312" s="17">
        <v>11.055</v>
      </c>
      <c r="I312" s="17">
        <v>320</v>
      </c>
      <c r="J312" s="17">
        <v>3394</v>
      </c>
      <c r="K312" s="17" t="s">
        <v>1330</v>
      </c>
      <c r="L312" s="17" t="s">
        <v>51</v>
      </c>
      <c r="M312" s="17" t="s">
        <v>733</v>
      </c>
      <c r="N312" s="17" t="s">
        <v>734</v>
      </c>
      <c r="O312" s="17" t="s">
        <v>1330</v>
      </c>
    </row>
    <row r="313" spans="1:16" x14ac:dyDescent="0.35">
      <c r="A313" s="17">
        <v>841</v>
      </c>
      <c r="B313" s="17">
        <v>1</v>
      </c>
      <c r="C313" s="17" t="s">
        <v>1423</v>
      </c>
      <c r="D313" s="17" t="s">
        <v>404</v>
      </c>
      <c r="E313" s="41" t="s">
        <v>45</v>
      </c>
      <c r="F313" s="41" t="s">
        <v>620</v>
      </c>
      <c r="G313" s="17">
        <v>39.833333333333336</v>
      </c>
      <c r="H313" s="17">
        <v>-4.083333333333333</v>
      </c>
      <c r="I313" s="17">
        <v>700</v>
      </c>
      <c r="J313" s="17">
        <v>1600</v>
      </c>
      <c r="K313" s="17" t="s">
        <v>102</v>
      </c>
      <c r="L313" s="17" t="s">
        <v>34</v>
      </c>
      <c r="M313" s="17" t="s">
        <v>412</v>
      </c>
      <c r="N313" s="17" t="s">
        <v>735</v>
      </c>
      <c r="O313" s="17" t="s">
        <v>1330</v>
      </c>
    </row>
    <row r="314" spans="1:16" x14ac:dyDescent="0.35">
      <c r="A314" s="17">
        <v>849</v>
      </c>
      <c r="B314" s="17">
        <v>1</v>
      </c>
      <c r="C314" s="17" t="s">
        <v>1424</v>
      </c>
      <c r="D314" s="17" t="s">
        <v>404</v>
      </c>
      <c r="E314" s="41" t="s">
        <v>82</v>
      </c>
      <c r="F314" s="41" t="s">
        <v>622</v>
      </c>
      <c r="G314" s="17">
        <v>40.158999999999999</v>
      </c>
      <c r="H314" s="17">
        <v>8.6329999999999991</v>
      </c>
      <c r="I314" s="17">
        <f>(800+1050)/2</f>
        <v>925</v>
      </c>
      <c r="J314" s="17">
        <v>12000</v>
      </c>
      <c r="K314" s="17" t="s">
        <v>102</v>
      </c>
      <c r="L314" s="17" t="s">
        <v>34</v>
      </c>
      <c r="M314" s="17" t="s">
        <v>75</v>
      </c>
      <c r="N314" s="17" t="s">
        <v>736</v>
      </c>
      <c r="O314" s="17" t="s">
        <v>1330</v>
      </c>
    </row>
    <row r="315" spans="1:16" hidden="1" x14ac:dyDescent="0.35">
      <c r="A315" s="17">
        <v>854</v>
      </c>
      <c r="B315" s="17">
        <v>1</v>
      </c>
      <c r="C315" s="17">
        <v>2017</v>
      </c>
      <c r="E315" s="41" t="s">
        <v>91</v>
      </c>
      <c r="F315" s="41" t="s">
        <v>621</v>
      </c>
      <c r="G315" s="17">
        <v>-35.6</v>
      </c>
      <c r="H315" s="17">
        <v>-72.283000000000001</v>
      </c>
      <c r="I315" s="17" t="s">
        <v>1330</v>
      </c>
      <c r="J315" s="17">
        <v>184000</v>
      </c>
      <c r="K315" s="17" t="s">
        <v>432</v>
      </c>
      <c r="L315" s="17" t="s">
        <v>34</v>
      </c>
      <c r="M315" s="17" t="s">
        <v>737</v>
      </c>
      <c r="N315" s="17" t="s">
        <v>738</v>
      </c>
      <c r="O315" s="17" t="s">
        <v>433</v>
      </c>
      <c r="P315" s="17" t="s">
        <v>739</v>
      </c>
    </row>
    <row r="316" spans="1:16" x14ac:dyDescent="0.35">
      <c r="A316" s="17">
        <v>866</v>
      </c>
      <c r="B316" s="17">
        <v>1</v>
      </c>
      <c r="C316" s="17" t="s">
        <v>1424</v>
      </c>
      <c r="D316" s="17" t="s">
        <v>404</v>
      </c>
      <c r="E316" s="41" t="s">
        <v>82</v>
      </c>
      <c r="F316" s="41" t="s">
        <v>621</v>
      </c>
      <c r="G316" s="17">
        <v>40.191699999999997</v>
      </c>
      <c r="H316" s="17">
        <v>8.5830000000000002</v>
      </c>
      <c r="I316" s="17">
        <v>1000</v>
      </c>
      <c r="J316" s="17">
        <v>12236</v>
      </c>
      <c r="K316" s="17" t="s">
        <v>432</v>
      </c>
      <c r="L316" s="17" t="s">
        <v>34</v>
      </c>
      <c r="M316" s="17" t="s">
        <v>40</v>
      </c>
      <c r="N316" s="17" t="s">
        <v>740</v>
      </c>
      <c r="O316" s="17" t="s">
        <v>1330</v>
      </c>
    </row>
    <row r="317" spans="1:16" hidden="1" x14ac:dyDescent="0.35">
      <c r="A317" s="17">
        <v>868</v>
      </c>
      <c r="B317" s="17">
        <v>1</v>
      </c>
      <c r="C317" s="17" t="s">
        <v>1425</v>
      </c>
      <c r="D317" s="17" t="s">
        <v>404</v>
      </c>
      <c r="E317" s="41" t="s">
        <v>45</v>
      </c>
      <c r="F317" s="41" t="s">
        <v>621</v>
      </c>
      <c r="G317" s="17">
        <v>42.238999999999997</v>
      </c>
      <c r="H317" s="17">
        <v>-6.1520000000000001</v>
      </c>
      <c r="I317" s="44">
        <f>(836+1493)/2</f>
        <v>1164.5</v>
      </c>
      <c r="J317" s="17">
        <v>11900</v>
      </c>
      <c r="K317" s="17" t="s">
        <v>1330</v>
      </c>
      <c r="L317" s="17" t="s">
        <v>34</v>
      </c>
      <c r="M317" s="17" t="s">
        <v>38</v>
      </c>
      <c r="N317" s="17" t="s">
        <v>741</v>
      </c>
      <c r="O317" s="17" t="s">
        <v>48</v>
      </c>
    </row>
    <row r="318" spans="1:16" x14ac:dyDescent="0.35">
      <c r="A318" s="17">
        <v>868</v>
      </c>
      <c r="B318" s="17" t="s">
        <v>102</v>
      </c>
      <c r="C318" s="17" t="s">
        <v>742</v>
      </c>
      <c r="E318" s="41" t="s">
        <v>45</v>
      </c>
      <c r="F318" s="41" t="s">
        <v>621</v>
      </c>
      <c r="G318" s="17">
        <v>42.238999999999997</v>
      </c>
      <c r="H318" s="17">
        <v>-6.1520000000000001</v>
      </c>
      <c r="I318" s="44">
        <f>(836+1493)/2</f>
        <v>1164.5</v>
      </c>
      <c r="J318" s="17">
        <v>3850</v>
      </c>
      <c r="K318" s="17" t="s">
        <v>102</v>
      </c>
      <c r="L318" s="17" t="s">
        <v>51</v>
      </c>
      <c r="M318" s="17" t="s">
        <v>38</v>
      </c>
      <c r="N318" s="17" t="s">
        <v>741</v>
      </c>
      <c r="O318" s="17" t="s">
        <v>1330</v>
      </c>
      <c r="P318" s="17" t="s">
        <v>1007</v>
      </c>
    </row>
    <row r="319" spans="1:16" hidden="1" x14ac:dyDescent="0.35">
      <c r="A319" s="17">
        <v>871</v>
      </c>
      <c r="B319" s="17">
        <v>1</v>
      </c>
      <c r="C319" s="17" t="s">
        <v>1426</v>
      </c>
      <c r="D319" s="17" t="s">
        <v>404</v>
      </c>
      <c r="E319" s="41" t="s">
        <v>41</v>
      </c>
      <c r="F319" s="41" t="s">
        <v>621</v>
      </c>
      <c r="G319" s="17">
        <v>34.791666666666664</v>
      </c>
      <c r="H319" s="17">
        <v>-119.875</v>
      </c>
      <c r="I319" s="44">
        <f>(254+2077)/2</f>
        <v>1165.5</v>
      </c>
      <c r="J319" s="17">
        <v>97270</v>
      </c>
      <c r="K319" s="17" t="s">
        <v>1330</v>
      </c>
      <c r="L319" s="17" t="s">
        <v>34</v>
      </c>
      <c r="M319" s="17" t="s">
        <v>743</v>
      </c>
      <c r="N319" s="17" t="s">
        <v>744</v>
      </c>
      <c r="O319" s="17" t="s">
        <v>1330</v>
      </c>
    </row>
    <row r="320" spans="1:16" hidden="1" x14ac:dyDescent="0.35">
      <c r="A320" s="17">
        <v>874</v>
      </c>
      <c r="B320" s="17">
        <v>1</v>
      </c>
      <c r="C320" s="17" t="s">
        <v>1427</v>
      </c>
      <c r="D320" s="17" t="s">
        <v>405</v>
      </c>
      <c r="E320" s="41" t="s">
        <v>41</v>
      </c>
      <c r="F320" s="41" t="s">
        <v>620</v>
      </c>
      <c r="G320" s="17">
        <v>38.57</v>
      </c>
      <c r="H320" s="17">
        <v>-122.67999666766001</v>
      </c>
      <c r="I320" s="17">
        <f>(61+475)/2</f>
        <v>268</v>
      </c>
      <c r="J320" s="17">
        <v>14895</v>
      </c>
      <c r="K320" s="17" t="s">
        <v>102</v>
      </c>
      <c r="L320" s="17" t="s">
        <v>34</v>
      </c>
      <c r="M320" s="17" t="s">
        <v>881</v>
      </c>
      <c r="N320" s="17" t="s">
        <v>880</v>
      </c>
      <c r="O320" s="17" t="s">
        <v>1330</v>
      </c>
    </row>
    <row r="321" spans="1:15" hidden="1" x14ac:dyDescent="0.35">
      <c r="A321" s="17">
        <v>875</v>
      </c>
      <c r="B321" s="17" t="s">
        <v>102</v>
      </c>
      <c r="C321" s="17" t="s">
        <v>887</v>
      </c>
      <c r="E321" s="41" t="s">
        <v>49</v>
      </c>
      <c r="F321" s="41" t="s">
        <v>621</v>
      </c>
      <c r="G321" s="17">
        <v>37.54</v>
      </c>
      <c r="H321" s="17">
        <v>21.85</v>
      </c>
      <c r="I321" s="17" t="s">
        <v>1330</v>
      </c>
      <c r="J321" s="17" t="s">
        <v>1330</v>
      </c>
      <c r="K321" s="17" t="s">
        <v>1330</v>
      </c>
      <c r="L321" s="17" t="s">
        <v>51</v>
      </c>
      <c r="M321" s="17" t="s">
        <v>38</v>
      </c>
      <c r="N321" s="17" t="s">
        <v>1716</v>
      </c>
      <c r="O321" s="17" t="s">
        <v>1330</v>
      </c>
    </row>
    <row r="322" spans="1:15" hidden="1" x14ac:dyDescent="0.35">
      <c r="A322" s="17">
        <v>875</v>
      </c>
      <c r="B322" s="17">
        <v>1</v>
      </c>
      <c r="C322" s="17" t="s">
        <v>1330</v>
      </c>
      <c r="E322" s="41" t="s">
        <v>49</v>
      </c>
      <c r="F322" s="41" t="s">
        <v>621</v>
      </c>
      <c r="G322" s="17">
        <v>37.54</v>
      </c>
      <c r="H322" s="17">
        <v>21.85</v>
      </c>
      <c r="I322" s="17" t="s">
        <v>1330</v>
      </c>
      <c r="J322" s="17" t="s">
        <v>1330</v>
      </c>
      <c r="K322" s="17" t="s">
        <v>1330</v>
      </c>
      <c r="L322" s="17" t="s">
        <v>34</v>
      </c>
      <c r="M322" s="17" t="s">
        <v>38</v>
      </c>
      <c r="N322" s="17" t="s">
        <v>50</v>
      </c>
      <c r="O322" s="17" t="s">
        <v>1330</v>
      </c>
    </row>
    <row r="323" spans="1:15" hidden="1" x14ac:dyDescent="0.35">
      <c r="A323" s="17">
        <v>882</v>
      </c>
      <c r="B323" s="17">
        <v>5</v>
      </c>
      <c r="C323" s="17">
        <v>2007</v>
      </c>
      <c r="E323" s="41" t="s">
        <v>49</v>
      </c>
      <c r="F323" s="41" t="s">
        <v>622</v>
      </c>
      <c r="G323" s="17">
        <v>37.026000000000003</v>
      </c>
      <c r="H323" s="17">
        <v>22.186</v>
      </c>
      <c r="I323" s="17">
        <v>1050</v>
      </c>
      <c r="J323" s="17" t="s">
        <v>1330</v>
      </c>
      <c r="K323" s="17" t="s">
        <v>1330</v>
      </c>
      <c r="L323" s="17" t="s">
        <v>34</v>
      </c>
      <c r="M323" s="17" t="s">
        <v>737</v>
      </c>
      <c r="N323" s="17" t="s">
        <v>895</v>
      </c>
      <c r="O323" s="17" t="s">
        <v>1330</v>
      </c>
    </row>
    <row r="324" spans="1:15" hidden="1" x14ac:dyDescent="0.35">
      <c r="A324" s="17">
        <v>882</v>
      </c>
      <c r="B324" s="17">
        <v>6</v>
      </c>
      <c r="C324" s="17" t="s">
        <v>394</v>
      </c>
      <c r="E324" s="41" t="s">
        <v>49</v>
      </c>
      <c r="F324" s="41" t="s">
        <v>622</v>
      </c>
      <c r="G324" s="17">
        <v>40.997799999999998</v>
      </c>
      <c r="H324" s="17">
        <v>26.134499999999999</v>
      </c>
      <c r="I324" s="17">
        <v>210</v>
      </c>
      <c r="J324" s="17">
        <v>25100</v>
      </c>
      <c r="K324" s="17" t="s">
        <v>1330</v>
      </c>
      <c r="L324" s="17" t="s">
        <v>34</v>
      </c>
      <c r="M324" s="17" t="s">
        <v>1089</v>
      </c>
      <c r="N324" s="17" t="s">
        <v>1719</v>
      </c>
      <c r="O324" s="17" t="s">
        <v>1330</v>
      </c>
    </row>
    <row r="325" spans="1:15" hidden="1" x14ac:dyDescent="0.35">
      <c r="A325" s="17">
        <v>885</v>
      </c>
      <c r="B325" s="17">
        <v>1</v>
      </c>
      <c r="C325" s="17" t="s">
        <v>80</v>
      </c>
      <c r="D325" s="17" t="s">
        <v>404</v>
      </c>
      <c r="E325" s="41" t="s">
        <v>45</v>
      </c>
      <c r="F325" s="41" t="s">
        <v>620</v>
      </c>
      <c r="G325" s="17">
        <v>39.666666666666664</v>
      </c>
      <c r="H325" s="17">
        <v>-1.85</v>
      </c>
      <c r="I325" s="17">
        <v>1020</v>
      </c>
      <c r="J325" s="17">
        <v>172</v>
      </c>
      <c r="K325" s="17" t="s">
        <v>1330</v>
      </c>
      <c r="L325" s="17" t="s">
        <v>34</v>
      </c>
      <c r="M325" s="17" t="s">
        <v>897</v>
      </c>
      <c r="N325" s="17" t="s">
        <v>898</v>
      </c>
      <c r="O325" s="17" t="s">
        <v>433</v>
      </c>
    </row>
    <row r="326" spans="1:15" x14ac:dyDescent="0.35">
      <c r="A326" s="17">
        <v>892</v>
      </c>
      <c r="B326" s="17">
        <v>1</v>
      </c>
      <c r="C326" s="17" t="s">
        <v>1380</v>
      </c>
      <c r="D326" s="17" t="s">
        <v>404</v>
      </c>
      <c r="E326" s="41" t="s">
        <v>82</v>
      </c>
      <c r="F326" s="41" t="s">
        <v>620</v>
      </c>
      <c r="G326" s="17">
        <v>37.214444444444446</v>
      </c>
      <c r="H326" s="17">
        <v>14.372777777777777</v>
      </c>
      <c r="I326" s="17">
        <f>(200+300)/2</f>
        <v>250</v>
      </c>
      <c r="J326" s="17">
        <v>50</v>
      </c>
      <c r="K326" s="17" t="s">
        <v>432</v>
      </c>
      <c r="L326" s="17" t="s">
        <v>34</v>
      </c>
      <c r="M326" s="17" t="s">
        <v>922</v>
      </c>
      <c r="N326" s="17" t="s">
        <v>921</v>
      </c>
      <c r="O326" s="17" t="s">
        <v>44</v>
      </c>
    </row>
    <row r="327" spans="1:15" x14ac:dyDescent="0.35">
      <c r="A327" s="17">
        <v>904</v>
      </c>
      <c r="B327" s="17">
        <v>1</v>
      </c>
      <c r="C327" s="17" t="s">
        <v>1381</v>
      </c>
      <c r="D327" s="17" t="s">
        <v>404</v>
      </c>
      <c r="E327" s="41" t="s">
        <v>82</v>
      </c>
      <c r="F327" s="41" t="s">
        <v>621</v>
      </c>
      <c r="G327" s="17">
        <v>44.258299999999998</v>
      </c>
      <c r="H327" s="17">
        <v>8.4167000000000005</v>
      </c>
      <c r="I327" s="17">
        <f>(277+170)/2</f>
        <v>223.5</v>
      </c>
      <c r="J327" s="17">
        <v>146</v>
      </c>
      <c r="K327" s="17" t="s">
        <v>33</v>
      </c>
      <c r="L327" s="17" t="s">
        <v>34</v>
      </c>
      <c r="M327" s="17" t="s">
        <v>934</v>
      </c>
      <c r="N327" s="17" t="s">
        <v>933</v>
      </c>
      <c r="O327" s="17" t="s">
        <v>433</v>
      </c>
    </row>
    <row r="328" spans="1:15" x14ac:dyDescent="0.35">
      <c r="A328" s="17">
        <v>904</v>
      </c>
      <c r="B328" s="17">
        <v>2</v>
      </c>
      <c r="C328" s="17" t="s">
        <v>1382</v>
      </c>
      <c r="D328" s="17" t="s">
        <v>404</v>
      </c>
      <c r="E328" s="41" t="s">
        <v>82</v>
      </c>
      <c r="F328" s="41" t="s">
        <v>621</v>
      </c>
      <c r="G328" s="17">
        <v>44.258299999999998</v>
      </c>
      <c r="H328" s="17">
        <v>8.4167000000000005</v>
      </c>
      <c r="I328" s="17">
        <f>(231+225)/2</f>
        <v>228</v>
      </c>
      <c r="J328" s="17">
        <v>235</v>
      </c>
      <c r="K328" s="17" t="s">
        <v>33</v>
      </c>
      <c r="L328" s="17" t="s">
        <v>34</v>
      </c>
      <c r="M328" s="17" t="s">
        <v>1089</v>
      </c>
      <c r="N328" s="17" t="s">
        <v>933</v>
      </c>
      <c r="O328" s="17" t="s">
        <v>433</v>
      </c>
    </row>
    <row r="329" spans="1:15" hidden="1" x14ac:dyDescent="0.35">
      <c r="A329" s="17">
        <v>911</v>
      </c>
      <c r="B329" s="17">
        <v>1</v>
      </c>
      <c r="C329" s="17" t="s">
        <v>1428</v>
      </c>
      <c r="D329" s="17" t="s">
        <v>404</v>
      </c>
      <c r="E329" s="41" t="s">
        <v>64</v>
      </c>
      <c r="F329" s="41" t="s">
        <v>622</v>
      </c>
      <c r="G329" s="17">
        <v>36.8812</v>
      </c>
      <c r="H329" s="17">
        <v>31.3916</v>
      </c>
      <c r="I329" s="17">
        <v>594</v>
      </c>
      <c r="J329" s="17">
        <v>15795</v>
      </c>
      <c r="K329" s="17" t="s">
        <v>432</v>
      </c>
      <c r="L329" s="17" t="s">
        <v>34</v>
      </c>
      <c r="M329" s="17" t="s">
        <v>38</v>
      </c>
      <c r="N329" s="17" t="s">
        <v>952</v>
      </c>
      <c r="O329" s="17" t="s">
        <v>44</v>
      </c>
    </row>
    <row r="330" spans="1:15" hidden="1" x14ac:dyDescent="0.35">
      <c r="A330" s="17">
        <v>913</v>
      </c>
      <c r="B330" s="17">
        <v>1</v>
      </c>
      <c r="C330" s="17">
        <v>1999</v>
      </c>
      <c r="E330" s="41" t="s">
        <v>64</v>
      </c>
      <c r="F330" s="41" t="s">
        <v>620</v>
      </c>
      <c r="G330" s="17">
        <v>36.836388888888891</v>
      </c>
      <c r="H330" s="17">
        <v>28.302777777777777</v>
      </c>
      <c r="I330" s="17">
        <v>19</v>
      </c>
      <c r="J330" s="17" t="s">
        <v>1330</v>
      </c>
      <c r="K330" s="17" t="s">
        <v>1330</v>
      </c>
      <c r="L330" s="17" t="s">
        <v>34</v>
      </c>
      <c r="M330" s="17" t="s">
        <v>38</v>
      </c>
      <c r="N330" s="17" t="s">
        <v>960</v>
      </c>
      <c r="O330" s="17" t="s">
        <v>1330</v>
      </c>
    </row>
    <row r="331" spans="1:15" hidden="1" x14ac:dyDescent="0.35">
      <c r="A331" s="17">
        <v>913</v>
      </c>
      <c r="B331" s="17">
        <v>2</v>
      </c>
      <c r="C331" s="17">
        <v>1995</v>
      </c>
      <c r="E331" s="41" t="s">
        <v>64</v>
      </c>
      <c r="F331" s="41" t="s">
        <v>620</v>
      </c>
      <c r="G331" s="17">
        <v>36.854444444444447</v>
      </c>
      <c r="H331" s="17">
        <v>28.287222222222223</v>
      </c>
      <c r="I331" s="17">
        <v>19</v>
      </c>
      <c r="J331" s="17" t="s">
        <v>1330</v>
      </c>
      <c r="K331" s="17" t="s">
        <v>1330</v>
      </c>
      <c r="L331" s="17" t="s">
        <v>34</v>
      </c>
      <c r="M331" s="17" t="s">
        <v>38</v>
      </c>
      <c r="N331" s="17" t="s">
        <v>960</v>
      </c>
      <c r="O331" s="17" t="s">
        <v>1330</v>
      </c>
    </row>
    <row r="332" spans="1:15" hidden="1" x14ac:dyDescent="0.35">
      <c r="A332" s="17">
        <v>913</v>
      </c>
      <c r="B332" s="17">
        <v>3</v>
      </c>
      <c r="C332" s="17">
        <v>1979</v>
      </c>
      <c r="E332" s="41" t="s">
        <v>64</v>
      </c>
      <c r="F332" s="41" t="s">
        <v>620</v>
      </c>
      <c r="G332" s="17">
        <v>36.826944444444443</v>
      </c>
      <c r="H332" s="17">
        <v>28.326111111111111</v>
      </c>
      <c r="I332" s="17">
        <v>19</v>
      </c>
      <c r="J332" s="17" t="s">
        <v>1330</v>
      </c>
      <c r="K332" s="17" t="s">
        <v>1330</v>
      </c>
      <c r="L332" s="17" t="s">
        <v>34</v>
      </c>
      <c r="M332" s="17" t="s">
        <v>38</v>
      </c>
      <c r="N332" s="17" t="s">
        <v>960</v>
      </c>
      <c r="O332" s="17" t="s">
        <v>1330</v>
      </c>
    </row>
    <row r="333" spans="1:15" hidden="1" x14ac:dyDescent="0.35">
      <c r="A333" s="17">
        <v>914</v>
      </c>
      <c r="B333" s="17">
        <v>1</v>
      </c>
      <c r="C333" s="17">
        <v>1800</v>
      </c>
      <c r="E333" s="41" t="s">
        <v>86</v>
      </c>
      <c r="F333" s="41" t="s">
        <v>620</v>
      </c>
      <c r="G333" s="17" t="s">
        <v>963</v>
      </c>
      <c r="H333" s="17">
        <v>9.16</v>
      </c>
      <c r="I333" s="17">
        <v>1600</v>
      </c>
      <c r="J333" s="17" t="s">
        <v>1330</v>
      </c>
      <c r="K333" s="17" t="s">
        <v>1330</v>
      </c>
      <c r="L333" s="17" t="s">
        <v>34</v>
      </c>
      <c r="M333" s="17" t="s">
        <v>38</v>
      </c>
      <c r="N333" s="17" t="s">
        <v>964</v>
      </c>
      <c r="O333" s="17" t="s">
        <v>1330</v>
      </c>
    </row>
    <row r="334" spans="1:15" hidden="1" x14ac:dyDescent="0.35">
      <c r="A334" s="17">
        <v>914</v>
      </c>
      <c r="B334" s="17">
        <v>2</v>
      </c>
      <c r="C334" s="17">
        <v>1829</v>
      </c>
      <c r="E334" s="41" t="s">
        <v>86</v>
      </c>
      <c r="F334" s="41" t="s">
        <v>620</v>
      </c>
      <c r="G334" s="17" t="s">
        <v>963</v>
      </c>
      <c r="H334" s="17">
        <v>9.16</v>
      </c>
      <c r="I334" s="17">
        <v>1600</v>
      </c>
      <c r="J334" s="17" t="s">
        <v>1330</v>
      </c>
      <c r="K334" s="17" t="s">
        <v>1330</v>
      </c>
      <c r="L334" s="17" t="s">
        <v>34</v>
      </c>
      <c r="M334" s="17" t="s">
        <v>38</v>
      </c>
      <c r="N334" s="17" t="s">
        <v>964</v>
      </c>
      <c r="O334" s="17" t="s">
        <v>1330</v>
      </c>
    </row>
    <row r="335" spans="1:15" hidden="1" x14ac:dyDescent="0.35">
      <c r="A335" s="17">
        <v>914</v>
      </c>
      <c r="B335" s="17">
        <v>3</v>
      </c>
      <c r="C335" s="17">
        <v>1857</v>
      </c>
      <c r="E335" s="41" t="s">
        <v>86</v>
      </c>
      <c r="F335" s="41" t="s">
        <v>620</v>
      </c>
      <c r="G335" s="17" t="s">
        <v>963</v>
      </c>
      <c r="H335" s="17">
        <v>9.16</v>
      </c>
      <c r="I335" s="17">
        <v>1600</v>
      </c>
      <c r="J335" s="17" t="s">
        <v>1330</v>
      </c>
      <c r="K335" s="17" t="s">
        <v>1330</v>
      </c>
      <c r="L335" s="17" t="s">
        <v>34</v>
      </c>
      <c r="M335" s="17" t="s">
        <v>38</v>
      </c>
      <c r="N335" s="17" t="s">
        <v>964</v>
      </c>
      <c r="O335" s="17" t="s">
        <v>1330</v>
      </c>
    </row>
    <row r="336" spans="1:15" hidden="1" x14ac:dyDescent="0.35">
      <c r="A336" s="17">
        <v>914</v>
      </c>
      <c r="B336" s="17">
        <v>4</v>
      </c>
      <c r="C336" s="17">
        <v>1970</v>
      </c>
      <c r="E336" s="41" t="s">
        <v>86</v>
      </c>
      <c r="F336" s="41" t="s">
        <v>621</v>
      </c>
      <c r="G336" s="17">
        <v>42.104999999999997</v>
      </c>
      <c r="H336" s="17">
        <v>9.18</v>
      </c>
      <c r="I336" s="17">
        <f>(1600+1080)/2</f>
        <v>1340</v>
      </c>
      <c r="J336" s="17" t="s">
        <v>1330</v>
      </c>
      <c r="K336" s="17" t="s">
        <v>1330</v>
      </c>
      <c r="L336" s="17" t="s">
        <v>34</v>
      </c>
      <c r="M336" s="17" t="s">
        <v>38</v>
      </c>
      <c r="N336" s="17" t="s">
        <v>964</v>
      </c>
      <c r="O336" s="17" t="s">
        <v>1330</v>
      </c>
    </row>
    <row r="337" spans="1:15" hidden="1" x14ac:dyDescent="0.35">
      <c r="A337" s="17">
        <v>914</v>
      </c>
      <c r="B337" s="17">
        <v>5</v>
      </c>
      <c r="C337" s="17">
        <v>1987</v>
      </c>
      <c r="E337" s="41" t="s">
        <v>86</v>
      </c>
      <c r="F337" s="41" t="s">
        <v>620</v>
      </c>
      <c r="G337" s="17">
        <v>42.13</v>
      </c>
      <c r="H337" s="17">
        <v>9.1999999999999993</v>
      </c>
      <c r="I337" s="17">
        <v>1080</v>
      </c>
      <c r="J337" s="17" t="s">
        <v>1330</v>
      </c>
      <c r="K337" s="17" t="s">
        <v>1330</v>
      </c>
      <c r="L337" s="17" t="s">
        <v>34</v>
      </c>
      <c r="M337" s="17" t="s">
        <v>38</v>
      </c>
      <c r="N337" s="17" t="s">
        <v>964</v>
      </c>
      <c r="O337" s="17" t="s">
        <v>1330</v>
      </c>
    </row>
    <row r="338" spans="1:15" hidden="1" x14ac:dyDescent="0.35">
      <c r="A338" s="17">
        <v>914</v>
      </c>
      <c r="B338" s="17">
        <v>6</v>
      </c>
      <c r="C338" s="17" t="s">
        <v>1383</v>
      </c>
      <c r="D338" s="17" t="s">
        <v>404</v>
      </c>
      <c r="E338" s="41" t="s">
        <v>86</v>
      </c>
      <c r="F338" s="41" t="s">
        <v>621</v>
      </c>
      <c r="G338" s="17">
        <v>42.14</v>
      </c>
      <c r="H338" s="17">
        <v>9.1850000000000005</v>
      </c>
      <c r="I338" s="17">
        <f>(1080+1000)/2</f>
        <v>1040</v>
      </c>
      <c r="J338" s="17">
        <v>3902</v>
      </c>
      <c r="K338" s="17" t="s">
        <v>1330</v>
      </c>
      <c r="L338" s="17" t="s">
        <v>34</v>
      </c>
      <c r="M338" s="17" t="s">
        <v>38</v>
      </c>
      <c r="N338" s="17" t="s">
        <v>964</v>
      </c>
      <c r="O338" s="17" t="s">
        <v>1330</v>
      </c>
    </row>
    <row r="339" spans="1:15" hidden="1" x14ac:dyDescent="0.35">
      <c r="A339" s="17">
        <v>916</v>
      </c>
      <c r="B339" s="17" t="s">
        <v>102</v>
      </c>
      <c r="C339" s="17" t="s">
        <v>1429</v>
      </c>
      <c r="E339" s="41" t="s">
        <v>91</v>
      </c>
      <c r="F339" s="41" t="s">
        <v>621</v>
      </c>
      <c r="G339" s="17">
        <v>-33.075000000000003</v>
      </c>
      <c r="H339" s="17">
        <v>-71.558333333333337</v>
      </c>
      <c r="I339" s="17">
        <f>(90+250)/2</f>
        <v>170</v>
      </c>
      <c r="J339" s="17" t="s">
        <v>1330</v>
      </c>
      <c r="K339" s="17" t="s">
        <v>1330</v>
      </c>
      <c r="L339" s="17" t="s">
        <v>51</v>
      </c>
      <c r="M339" s="17" t="s">
        <v>75</v>
      </c>
      <c r="N339" s="17" t="s">
        <v>968</v>
      </c>
      <c r="O339" s="17" t="s">
        <v>1330</v>
      </c>
    </row>
    <row r="340" spans="1:15" hidden="1" x14ac:dyDescent="0.35">
      <c r="A340" s="17">
        <v>934</v>
      </c>
      <c r="B340" s="17">
        <v>1</v>
      </c>
      <c r="C340" s="17" t="s">
        <v>970</v>
      </c>
      <c r="D340" s="17" t="s">
        <v>404</v>
      </c>
      <c r="E340" s="41" t="s">
        <v>64</v>
      </c>
      <c r="F340" s="41" t="s">
        <v>620</v>
      </c>
      <c r="G340" s="17">
        <v>39.198055555555555</v>
      </c>
      <c r="H340" s="17">
        <v>27.743055555555557</v>
      </c>
      <c r="I340" s="17">
        <v>360</v>
      </c>
      <c r="J340" s="17" t="s">
        <v>1330</v>
      </c>
      <c r="K340" s="17" t="s">
        <v>1330</v>
      </c>
      <c r="L340" s="17" t="s">
        <v>34</v>
      </c>
      <c r="M340" s="17" t="s">
        <v>38</v>
      </c>
      <c r="N340" s="17" t="s">
        <v>971</v>
      </c>
      <c r="O340" s="17" t="s">
        <v>101</v>
      </c>
    </row>
    <row r="341" spans="1:15" hidden="1" x14ac:dyDescent="0.35">
      <c r="A341" s="17">
        <v>939</v>
      </c>
      <c r="B341" s="17">
        <v>1</v>
      </c>
      <c r="C341" s="17" t="s">
        <v>1384</v>
      </c>
      <c r="D341" s="17" t="s">
        <v>404</v>
      </c>
      <c r="E341" s="41" t="s">
        <v>72</v>
      </c>
      <c r="F341" s="41" t="s">
        <v>620</v>
      </c>
      <c r="G341" s="17">
        <v>36.678333333333335</v>
      </c>
      <c r="H341" s="17">
        <v>4.5186111111111114</v>
      </c>
      <c r="I341" s="17">
        <f>(700+860)/2</f>
        <v>780</v>
      </c>
      <c r="J341" s="17" t="s">
        <v>1330</v>
      </c>
      <c r="K341" s="17" t="s">
        <v>102</v>
      </c>
      <c r="L341" s="17" t="s">
        <v>34</v>
      </c>
      <c r="M341" s="17" t="s">
        <v>46</v>
      </c>
      <c r="N341" s="17" t="s">
        <v>981</v>
      </c>
      <c r="O341" s="17" t="s">
        <v>1330</v>
      </c>
    </row>
    <row r="342" spans="1:15" hidden="1" x14ac:dyDescent="0.35">
      <c r="A342" s="17">
        <v>992</v>
      </c>
      <c r="B342" s="17">
        <v>1</v>
      </c>
      <c r="C342" s="17" t="s">
        <v>58</v>
      </c>
      <c r="E342" s="41" t="s">
        <v>64</v>
      </c>
      <c r="F342" s="41" t="s">
        <v>620</v>
      </c>
      <c r="G342" s="17">
        <v>36.836388888888891</v>
      </c>
      <c r="H342" s="17">
        <v>28.302777777777777</v>
      </c>
      <c r="I342" s="17" t="s">
        <v>1330</v>
      </c>
      <c r="J342" s="17" t="s">
        <v>1330</v>
      </c>
      <c r="K342" s="17" t="s">
        <v>1330</v>
      </c>
      <c r="L342" s="17" t="s">
        <v>51</v>
      </c>
      <c r="M342" s="17" t="s">
        <v>38</v>
      </c>
      <c r="N342" s="17" t="s">
        <v>991</v>
      </c>
      <c r="O342" s="17" t="s">
        <v>1330</v>
      </c>
    </row>
    <row r="343" spans="1:15" hidden="1" x14ac:dyDescent="0.35">
      <c r="A343" s="17">
        <v>992</v>
      </c>
      <c r="B343" s="17">
        <v>2</v>
      </c>
      <c r="C343" s="17" t="s">
        <v>67</v>
      </c>
      <c r="E343" s="41" t="s">
        <v>64</v>
      </c>
      <c r="F343" s="41" t="s">
        <v>620</v>
      </c>
      <c r="G343" s="17">
        <v>36.854444444444447</v>
      </c>
      <c r="H343" s="17">
        <v>28.287222222222223</v>
      </c>
      <c r="I343" s="17" t="s">
        <v>1330</v>
      </c>
      <c r="J343" s="17" t="s">
        <v>1330</v>
      </c>
      <c r="K343" s="17" t="s">
        <v>1330</v>
      </c>
      <c r="L343" s="17" t="s">
        <v>51</v>
      </c>
      <c r="M343" s="17" t="s">
        <v>38</v>
      </c>
      <c r="N343" s="17" t="s">
        <v>991</v>
      </c>
      <c r="O343" s="17" t="s">
        <v>1330</v>
      </c>
    </row>
    <row r="344" spans="1:15" hidden="1" x14ac:dyDescent="0.35">
      <c r="A344" s="17">
        <v>992</v>
      </c>
      <c r="B344" s="17">
        <v>3</v>
      </c>
      <c r="C344" s="17" t="s">
        <v>52</v>
      </c>
      <c r="E344" s="41" t="s">
        <v>64</v>
      </c>
      <c r="F344" s="41" t="s">
        <v>620</v>
      </c>
      <c r="G344" s="17">
        <v>36.826944444444443</v>
      </c>
      <c r="H344" s="17">
        <v>28.326111111111111</v>
      </c>
      <c r="I344" s="17" t="s">
        <v>1330</v>
      </c>
      <c r="J344" s="17" t="s">
        <v>1330</v>
      </c>
      <c r="K344" s="17" t="s">
        <v>1330</v>
      </c>
      <c r="L344" s="17" t="s">
        <v>51</v>
      </c>
      <c r="M344" s="17" t="s">
        <v>38</v>
      </c>
      <c r="N344" s="17" t="s">
        <v>991</v>
      </c>
      <c r="O344" s="17" t="s">
        <v>1330</v>
      </c>
    </row>
    <row r="345" spans="1:15" hidden="1" x14ac:dyDescent="0.35">
      <c r="A345" s="17">
        <v>1008</v>
      </c>
      <c r="B345" s="17">
        <v>1</v>
      </c>
      <c r="C345" s="17" t="s">
        <v>1385</v>
      </c>
      <c r="D345" s="17" t="s">
        <v>404</v>
      </c>
      <c r="E345" s="41" t="s">
        <v>49</v>
      </c>
      <c r="F345" s="41" t="s">
        <v>622</v>
      </c>
      <c r="G345" s="17">
        <v>37.800668000000002</v>
      </c>
      <c r="H345" s="17">
        <v>26.797000000000001</v>
      </c>
      <c r="I345" s="17">
        <v>390</v>
      </c>
      <c r="J345" s="17" t="s">
        <v>1330</v>
      </c>
      <c r="K345" s="17" t="s">
        <v>1330</v>
      </c>
      <c r="L345" s="17" t="s">
        <v>34</v>
      </c>
      <c r="M345" s="17" t="s">
        <v>38</v>
      </c>
      <c r="N345" s="17" t="s">
        <v>65</v>
      </c>
      <c r="O345" s="17" t="s">
        <v>433</v>
      </c>
    </row>
    <row r="346" spans="1:15" hidden="1" x14ac:dyDescent="0.35">
      <c r="A346" s="17">
        <v>98</v>
      </c>
      <c r="B346" s="17">
        <v>1</v>
      </c>
      <c r="C346" s="17" t="s">
        <v>57</v>
      </c>
      <c r="D346" s="17" t="s">
        <v>404</v>
      </c>
      <c r="E346" s="41" t="s">
        <v>45</v>
      </c>
      <c r="F346" s="41" t="s">
        <v>620</v>
      </c>
      <c r="G346" s="17">
        <v>38.333333333333336</v>
      </c>
      <c r="H346" s="17">
        <v>-2.3333333333333335</v>
      </c>
      <c r="I346" s="17">
        <v>1010</v>
      </c>
      <c r="J346" s="17">
        <v>14000</v>
      </c>
      <c r="K346" s="17" t="s">
        <v>1330</v>
      </c>
      <c r="L346" s="17" t="s">
        <v>34</v>
      </c>
      <c r="M346" s="17" t="s">
        <v>38</v>
      </c>
      <c r="N346" s="17" t="s">
        <v>1720</v>
      </c>
      <c r="O346" s="17" t="s">
        <v>44</v>
      </c>
    </row>
    <row r="347" spans="1:15" hidden="1" x14ac:dyDescent="0.35">
      <c r="A347" s="17">
        <v>98</v>
      </c>
      <c r="B347" s="17">
        <v>2</v>
      </c>
      <c r="C347" s="17" t="s">
        <v>57</v>
      </c>
      <c r="D347" s="17" t="s">
        <v>404</v>
      </c>
      <c r="E347" s="41" t="s">
        <v>45</v>
      </c>
      <c r="F347" s="41" t="s">
        <v>620</v>
      </c>
      <c r="G347" s="17">
        <v>38.266666666666666</v>
      </c>
      <c r="H347" s="17">
        <v>-1.6333333333333333</v>
      </c>
      <c r="I347" s="17">
        <v>325</v>
      </c>
      <c r="J347" s="17">
        <v>30000</v>
      </c>
      <c r="K347" s="17" t="s">
        <v>1330</v>
      </c>
      <c r="L347" s="17" t="s">
        <v>34</v>
      </c>
      <c r="M347" s="17" t="s">
        <v>38</v>
      </c>
      <c r="N347" s="17" t="s">
        <v>1720</v>
      </c>
      <c r="O347" s="17" t="s">
        <v>44</v>
      </c>
    </row>
    <row r="348" spans="1:15" hidden="1" x14ac:dyDescent="0.35">
      <c r="A348" s="17">
        <v>273</v>
      </c>
      <c r="B348" s="17">
        <v>1</v>
      </c>
      <c r="C348" s="17" t="s">
        <v>1386</v>
      </c>
      <c r="D348" s="17" t="s">
        <v>404</v>
      </c>
      <c r="E348" s="41" t="s">
        <v>86</v>
      </c>
      <c r="F348" s="41" t="s">
        <v>621</v>
      </c>
      <c r="G348" s="17">
        <v>43.7333</v>
      </c>
      <c r="H348" s="17">
        <v>4.8917000000000002</v>
      </c>
      <c r="I348" s="17">
        <v>300</v>
      </c>
      <c r="J348" s="17">
        <v>750</v>
      </c>
      <c r="K348" s="17" t="s">
        <v>33</v>
      </c>
      <c r="L348" s="17" t="s">
        <v>34</v>
      </c>
      <c r="M348" s="17" t="s">
        <v>38</v>
      </c>
      <c r="N348" s="17" t="s">
        <v>1023</v>
      </c>
      <c r="O348" s="17" t="s">
        <v>44</v>
      </c>
    </row>
    <row r="349" spans="1:15" hidden="1" x14ac:dyDescent="0.35">
      <c r="A349" s="17">
        <v>273</v>
      </c>
      <c r="B349" s="17">
        <v>2</v>
      </c>
      <c r="C349" s="17" t="s">
        <v>1387</v>
      </c>
      <c r="D349" s="17" t="s">
        <v>404</v>
      </c>
      <c r="E349" s="41" t="s">
        <v>86</v>
      </c>
      <c r="F349" s="41" t="s">
        <v>621</v>
      </c>
      <c r="G349" s="17">
        <v>43.7333</v>
      </c>
      <c r="H349" s="17">
        <v>4.8917000000000002</v>
      </c>
      <c r="I349" s="17">
        <v>300</v>
      </c>
      <c r="J349" s="17">
        <v>2338</v>
      </c>
      <c r="K349" s="17" t="s">
        <v>33</v>
      </c>
      <c r="L349" s="17" t="s">
        <v>34</v>
      </c>
      <c r="M349" s="17" t="s">
        <v>38</v>
      </c>
      <c r="N349" s="17" t="s">
        <v>1023</v>
      </c>
      <c r="O349" s="17" t="s">
        <v>730</v>
      </c>
    </row>
    <row r="350" spans="1:15" hidden="1" x14ac:dyDescent="0.35">
      <c r="A350" s="17">
        <v>273</v>
      </c>
      <c r="B350" s="17">
        <v>3</v>
      </c>
      <c r="C350" s="17" t="s">
        <v>1388</v>
      </c>
      <c r="D350" s="17" t="s">
        <v>405</v>
      </c>
      <c r="E350" s="41" t="s">
        <v>86</v>
      </c>
      <c r="F350" s="41" t="s">
        <v>621</v>
      </c>
      <c r="G350" s="17">
        <v>43.7333</v>
      </c>
      <c r="H350" s="17">
        <v>4.8917000000000002</v>
      </c>
      <c r="I350" s="17">
        <v>300</v>
      </c>
      <c r="J350" s="17">
        <v>1450</v>
      </c>
      <c r="K350" s="17" t="s">
        <v>33</v>
      </c>
      <c r="L350" s="17" t="s">
        <v>34</v>
      </c>
      <c r="M350" s="17" t="s">
        <v>38</v>
      </c>
      <c r="N350" s="17" t="s">
        <v>1023</v>
      </c>
      <c r="O350" s="17" t="s">
        <v>44</v>
      </c>
    </row>
    <row r="351" spans="1:15" ht="72.5" hidden="1" x14ac:dyDescent="0.35">
      <c r="A351" s="17">
        <v>273</v>
      </c>
      <c r="B351" s="17">
        <v>4</v>
      </c>
      <c r="C351" s="17" t="s">
        <v>1389</v>
      </c>
      <c r="D351" s="17" t="s">
        <v>403</v>
      </c>
      <c r="E351" s="41" t="s">
        <v>86</v>
      </c>
      <c r="F351" s="41" t="s">
        <v>621</v>
      </c>
      <c r="G351" s="17">
        <v>43.7333</v>
      </c>
      <c r="H351" s="17">
        <v>4.8917000000000002</v>
      </c>
      <c r="I351" s="17">
        <v>300</v>
      </c>
      <c r="J351" s="17">
        <v>25</v>
      </c>
      <c r="K351" s="17" t="s">
        <v>33</v>
      </c>
      <c r="L351" s="17" t="s">
        <v>34</v>
      </c>
      <c r="M351" s="17" t="s">
        <v>38</v>
      </c>
      <c r="N351" s="43" t="s">
        <v>1023</v>
      </c>
      <c r="O351" s="17" t="s">
        <v>1330</v>
      </c>
    </row>
    <row r="352" spans="1:15" hidden="1" x14ac:dyDescent="0.35">
      <c r="A352" s="17">
        <v>273</v>
      </c>
      <c r="B352" s="17">
        <v>5</v>
      </c>
      <c r="C352" s="17" t="s">
        <v>1390</v>
      </c>
      <c r="D352" s="17" t="s">
        <v>403</v>
      </c>
      <c r="E352" s="41" t="s">
        <v>86</v>
      </c>
      <c r="F352" s="41" t="s">
        <v>621</v>
      </c>
      <c r="G352" s="17">
        <v>43.7333</v>
      </c>
      <c r="H352" s="17">
        <v>4.8917000000000002</v>
      </c>
      <c r="I352" s="17">
        <v>300</v>
      </c>
      <c r="J352" s="17">
        <v>110</v>
      </c>
      <c r="K352" s="17" t="s">
        <v>33</v>
      </c>
      <c r="L352" s="17" t="s">
        <v>34</v>
      </c>
      <c r="M352" s="17" t="s">
        <v>38</v>
      </c>
      <c r="N352" s="17" t="s">
        <v>1023</v>
      </c>
      <c r="O352" s="17" t="s">
        <v>1330</v>
      </c>
    </row>
    <row r="353" spans="1:16" hidden="1" x14ac:dyDescent="0.35">
      <c r="A353" s="17">
        <v>275</v>
      </c>
      <c r="B353" s="17">
        <v>1</v>
      </c>
      <c r="C353" s="17" t="s">
        <v>57</v>
      </c>
      <c r="D353" s="17" t="s">
        <v>404</v>
      </c>
      <c r="E353" s="41" t="s">
        <v>45</v>
      </c>
      <c r="F353" s="41" t="s">
        <v>620</v>
      </c>
      <c r="G353" s="17">
        <v>38.333333333333336</v>
      </c>
      <c r="H353" s="17">
        <v>-2.3333333333333335</v>
      </c>
      <c r="I353" s="17">
        <v>1010</v>
      </c>
      <c r="J353" s="17">
        <v>14000</v>
      </c>
      <c r="K353" s="17" t="s">
        <v>1330</v>
      </c>
      <c r="L353" s="17" t="s">
        <v>34</v>
      </c>
      <c r="M353" s="17" t="s">
        <v>38</v>
      </c>
      <c r="N353" s="17" t="s">
        <v>50</v>
      </c>
      <c r="O353" s="17" t="s">
        <v>44</v>
      </c>
    </row>
    <row r="354" spans="1:16" hidden="1" x14ac:dyDescent="0.35">
      <c r="A354" s="17">
        <v>275</v>
      </c>
      <c r="B354" s="17">
        <v>2</v>
      </c>
      <c r="C354" s="17" t="s">
        <v>57</v>
      </c>
      <c r="D354" s="17" t="s">
        <v>404</v>
      </c>
      <c r="E354" s="41" t="s">
        <v>45</v>
      </c>
      <c r="F354" s="41" t="s">
        <v>620</v>
      </c>
      <c r="G354" s="17">
        <v>38.266666666666666</v>
      </c>
      <c r="H354" s="17">
        <v>-1.6333333333333333</v>
      </c>
      <c r="I354" s="17">
        <v>325</v>
      </c>
      <c r="J354" s="17">
        <v>30000</v>
      </c>
      <c r="K354" s="17" t="s">
        <v>1330</v>
      </c>
      <c r="L354" s="17" t="s">
        <v>34</v>
      </c>
      <c r="M354" s="17" t="s">
        <v>38</v>
      </c>
      <c r="N354" s="17" t="s">
        <v>50</v>
      </c>
      <c r="O354" s="17" t="s">
        <v>44</v>
      </c>
    </row>
    <row r="355" spans="1:16" hidden="1" x14ac:dyDescent="0.35">
      <c r="A355" s="17">
        <v>19</v>
      </c>
      <c r="B355" s="17">
        <v>1</v>
      </c>
      <c r="C355" s="17" t="s">
        <v>1056</v>
      </c>
      <c r="E355" s="41" t="s">
        <v>86</v>
      </c>
      <c r="F355" s="41" t="s">
        <v>620</v>
      </c>
      <c r="G355" s="17">
        <v>43.333333333333336</v>
      </c>
      <c r="H355" s="17">
        <v>6.6166666666666671</v>
      </c>
      <c r="I355" s="17">
        <f t="shared" ref="I355:I362" si="0">(60+360)/2</f>
        <v>210</v>
      </c>
      <c r="J355" s="17" t="s">
        <v>1330</v>
      </c>
      <c r="K355" s="17" t="s">
        <v>1330</v>
      </c>
      <c r="L355" s="17" t="s">
        <v>51</v>
      </c>
      <c r="M355" s="17" t="s">
        <v>76</v>
      </c>
      <c r="N355" s="17" t="s">
        <v>1059</v>
      </c>
      <c r="O355" s="17" t="s">
        <v>1330</v>
      </c>
    </row>
    <row r="356" spans="1:16" hidden="1" x14ac:dyDescent="0.35">
      <c r="A356" s="17">
        <v>19</v>
      </c>
      <c r="B356" s="17">
        <v>2</v>
      </c>
      <c r="C356" s="17" t="s">
        <v>1057</v>
      </c>
      <c r="E356" s="41" t="s">
        <v>86</v>
      </c>
      <c r="F356" s="41" t="s">
        <v>620</v>
      </c>
      <c r="G356" s="17">
        <v>43.333333333333336</v>
      </c>
      <c r="H356" s="17">
        <v>6.6166666666666671</v>
      </c>
      <c r="I356" s="17">
        <f t="shared" si="0"/>
        <v>210</v>
      </c>
      <c r="J356" s="17" t="s">
        <v>1330</v>
      </c>
      <c r="K356" s="17" t="s">
        <v>1330</v>
      </c>
      <c r="L356" s="17" t="s">
        <v>51</v>
      </c>
      <c r="M356" s="17" t="s">
        <v>76</v>
      </c>
      <c r="N356" s="17" t="s">
        <v>1059</v>
      </c>
      <c r="O356" s="17" t="s">
        <v>1330</v>
      </c>
    </row>
    <row r="357" spans="1:16" hidden="1" x14ac:dyDescent="0.35">
      <c r="A357" s="17">
        <v>19</v>
      </c>
      <c r="B357" s="17">
        <v>3</v>
      </c>
      <c r="C357" s="17" t="s">
        <v>1058</v>
      </c>
      <c r="E357" s="41" t="s">
        <v>86</v>
      </c>
      <c r="F357" s="41" t="s">
        <v>620</v>
      </c>
      <c r="G357" s="17">
        <v>43.333333333333336</v>
      </c>
      <c r="H357" s="17">
        <v>6.6166666666666671</v>
      </c>
      <c r="I357" s="17">
        <f t="shared" si="0"/>
        <v>210</v>
      </c>
      <c r="J357" s="17" t="s">
        <v>1330</v>
      </c>
      <c r="K357" s="17" t="s">
        <v>1330</v>
      </c>
      <c r="L357" s="17" t="s">
        <v>51</v>
      </c>
      <c r="M357" s="17" t="s">
        <v>76</v>
      </c>
      <c r="N357" s="17" t="s">
        <v>1059</v>
      </c>
      <c r="O357" s="17" t="s">
        <v>1330</v>
      </c>
    </row>
    <row r="358" spans="1:16" hidden="1" x14ac:dyDescent="0.35">
      <c r="A358" s="17">
        <v>19</v>
      </c>
      <c r="B358" s="17">
        <v>4</v>
      </c>
      <c r="C358" s="17" t="s">
        <v>85</v>
      </c>
      <c r="E358" s="41" t="s">
        <v>86</v>
      </c>
      <c r="F358" s="41" t="s">
        <v>620</v>
      </c>
      <c r="G358" s="17">
        <v>43.333333333333336</v>
      </c>
      <c r="H358" s="17">
        <v>6.6166666666666671</v>
      </c>
      <c r="I358" s="17">
        <f t="shared" si="0"/>
        <v>210</v>
      </c>
      <c r="J358" s="17" t="s">
        <v>1330</v>
      </c>
      <c r="K358" s="17" t="s">
        <v>1330</v>
      </c>
      <c r="L358" s="17" t="s">
        <v>51</v>
      </c>
      <c r="M358" s="17" t="s">
        <v>76</v>
      </c>
      <c r="N358" s="17" t="s">
        <v>1059</v>
      </c>
      <c r="O358" s="17" t="s">
        <v>1330</v>
      </c>
    </row>
    <row r="359" spans="1:16" hidden="1" x14ac:dyDescent="0.35">
      <c r="A359" s="17">
        <v>19</v>
      </c>
      <c r="B359" s="17">
        <v>5</v>
      </c>
      <c r="C359" s="17" t="s">
        <v>84</v>
      </c>
      <c r="E359" s="41" t="s">
        <v>86</v>
      </c>
      <c r="F359" s="41" t="s">
        <v>620</v>
      </c>
      <c r="G359" s="17">
        <v>43.333333333333336</v>
      </c>
      <c r="H359" s="17">
        <v>6.6166666666666671</v>
      </c>
      <c r="I359" s="17">
        <f t="shared" si="0"/>
        <v>210</v>
      </c>
      <c r="J359" s="17" t="s">
        <v>1330</v>
      </c>
      <c r="K359" s="17" t="s">
        <v>1330</v>
      </c>
      <c r="L359" s="17" t="s">
        <v>51</v>
      </c>
      <c r="M359" s="17" t="s">
        <v>76</v>
      </c>
      <c r="N359" s="17" t="s">
        <v>1059</v>
      </c>
      <c r="O359" s="17" t="s">
        <v>1330</v>
      </c>
    </row>
    <row r="360" spans="1:16" hidden="1" x14ac:dyDescent="0.35">
      <c r="A360" s="17">
        <v>19</v>
      </c>
      <c r="B360" s="17">
        <v>6</v>
      </c>
      <c r="C360" s="17" t="s">
        <v>55</v>
      </c>
      <c r="E360" s="41" t="s">
        <v>86</v>
      </c>
      <c r="F360" s="41" t="s">
        <v>620</v>
      </c>
      <c r="G360" s="17">
        <v>43.333333333333336</v>
      </c>
      <c r="H360" s="17">
        <v>6.6166666666666671</v>
      </c>
      <c r="I360" s="17">
        <f t="shared" si="0"/>
        <v>210</v>
      </c>
      <c r="J360" s="17" t="s">
        <v>1330</v>
      </c>
      <c r="K360" s="17" t="s">
        <v>1330</v>
      </c>
      <c r="L360" s="17" t="s">
        <v>51</v>
      </c>
      <c r="M360" s="17" t="s">
        <v>76</v>
      </c>
      <c r="N360" s="17" t="s">
        <v>1059</v>
      </c>
      <c r="O360" s="17" t="s">
        <v>1330</v>
      </c>
    </row>
    <row r="361" spans="1:16" hidden="1" x14ac:dyDescent="0.35">
      <c r="A361" s="17">
        <v>19</v>
      </c>
      <c r="B361" s="17">
        <v>7</v>
      </c>
      <c r="C361" s="17" t="s">
        <v>89</v>
      </c>
      <c r="E361" s="41" t="s">
        <v>86</v>
      </c>
      <c r="F361" s="41" t="s">
        <v>620</v>
      </c>
      <c r="G361" s="17">
        <v>43.333333333333336</v>
      </c>
      <c r="H361" s="17">
        <v>6.6166666666666671</v>
      </c>
      <c r="I361" s="17">
        <f t="shared" si="0"/>
        <v>210</v>
      </c>
      <c r="J361" s="17" t="s">
        <v>1330</v>
      </c>
      <c r="K361" s="17" t="s">
        <v>1330</v>
      </c>
      <c r="L361" s="17" t="s">
        <v>51</v>
      </c>
      <c r="M361" s="17" t="s">
        <v>76</v>
      </c>
      <c r="N361" s="17" t="s">
        <v>1059</v>
      </c>
      <c r="O361" s="17" t="s">
        <v>1330</v>
      </c>
    </row>
    <row r="362" spans="1:16" hidden="1" x14ac:dyDescent="0.35">
      <c r="A362" s="17">
        <v>19</v>
      </c>
      <c r="B362" s="17">
        <v>8</v>
      </c>
      <c r="C362" s="17" t="s">
        <v>59</v>
      </c>
      <c r="E362" s="41" t="s">
        <v>86</v>
      </c>
      <c r="F362" s="41" t="s">
        <v>620</v>
      </c>
      <c r="G362" s="17">
        <v>43.333333333333336</v>
      </c>
      <c r="H362" s="17">
        <v>6.6166666666666671</v>
      </c>
      <c r="I362" s="17">
        <f t="shared" si="0"/>
        <v>210</v>
      </c>
      <c r="J362" s="17" t="s">
        <v>1330</v>
      </c>
      <c r="K362" s="17" t="s">
        <v>1330</v>
      </c>
      <c r="L362" s="17" t="s">
        <v>51</v>
      </c>
      <c r="M362" s="17" t="s">
        <v>76</v>
      </c>
      <c r="N362" s="17" t="s">
        <v>1059</v>
      </c>
      <c r="O362" s="17" t="s">
        <v>1330</v>
      </c>
    </row>
    <row r="363" spans="1:16" x14ac:dyDescent="0.35">
      <c r="A363" s="17">
        <v>66</v>
      </c>
      <c r="B363" s="17">
        <v>1</v>
      </c>
      <c r="C363" s="17" t="s">
        <v>1391</v>
      </c>
      <c r="D363" s="17" t="s">
        <v>404</v>
      </c>
      <c r="E363" s="41" t="s">
        <v>45</v>
      </c>
      <c r="F363" s="41" t="s">
        <v>620</v>
      </c>
      <c r="G363" s="17">
        <v>38.6</v>
      </c>
      <c r="H363" s="17">
        <v>-0.41666666666666669</v>
      </c>
      <c r="I363" s="17">
        <v>750</v>
      </c>
      <c r="J363" s="17">
        <v>178</v>
      </c>
      <c r="K363" s="17" t="s">
        <v>33</v>
      </c>
      <c r="L363" s="17" t="s">
        <v>34</v>
      </c>
      <c r="M363" s="17" t="s">
        <v>38</v>
      </c>
      <c r="N363" s="17" t="s">
        <v>1075</v>
      </c>
      <c r="O363" s="17" t="s">
        <v>1330</v>
      </c>
      <c r="P363" s="17" t="s">
        <v>1142</v>
      </c>
    </row>
    <row r="364" spans="1:16" hidden="1" x14ac:dyDescent="0.35">
      <c r="A364" s="17">
        <v>119</v>
      </c>
      <c r="B364" s="17">
        <v>1</v>
      </c>
      <c r="C364" s="17" t="s">
        <v>1430</v>
      </c>
      <c r="D364" s="17" t="s">
        <v>404</v>
      </c>
      <c r="E364" s="41" t="s">
        <v>45</v>
      </c>
      <c r="F364" s="41" t="s">
        <v>622</v>
      </c>
      <c r="G364" s="17">
        <v>41.667000000000002</v>
      </c>
      <c r="H364" s="17">
        <v>1.9899</v>
      </c>
      <c r="I364" s="17" t="s">
        <v>1330</v>
      </c>
      <c r="J364" s="17">
        <v>5000</v>
      </c>
      <c r="K364" s="17" t="s">
        <v>1330</v>
      </c>
      <c r="L364" s="17" t="s">
        <v>34</v>
      </c>
      <c r="M364" s="17" t="s">
        <v>1089</v>
      </c>
      <c r="N364" s="17" t="s">
        <v>1090</v>
      </c>
      <c r="O364" s="17" t="s">
        <v>730</v>
      </c>
    </row>
    <row r="365" spans="1:16" x14ac:dyDescent="0.35">
      <c r="A365" s="17">
        <v>137</v>
      </c>
      <c r="B365" s="17">
        <v>1</v>
      </c>
      <c r="C365" s="17" t="s">
        <v>57</v>
      </c>
      <c r="E365" s="41" t="s">
        <v>45</v>
      </c>
      <c r="F365" s="41" t="s">
        <v>620</v>
      </c>
      <c r="G365" s="17">
        <v>38.436889000000001</v>
      </c>
      <c r="H365" s="17">
        <v>-2.335</v>
      </c>
      <c r="I365" s="17">
        <v>1038</v>
      </c>
      <c r="J365" s="17">
        <v>14000</v>
      </c>
      <c r="K365" s="17" t="s">
        <v>1101</v>
      </c>
      <c r="L365" s="17" t="s">
        <v>34</v>
      </c>
      <c r="M365" s="17" t="s">
        <v>38</v>
      </c>
      <c r="N365" s="17" t="s">
        <v>1100</v>
      </c>
      <c r="O365" s="17" t="s">
        <v>1330</v>
      </c>
      <c r="P365" s="17" t="s">
        <v>1135</v>
      </c>
    </row>
    <row r="366" spans="1:16" x14ac:dyDescent="0.35">
      <c r="A366" s="17">
        <v>137</v>
      </c>
      <c r="B366" s="17">
        <v>2</v>
      </c>
      <c r="C366" s="17" t="s">
        <v>1099</v>
      </c>
      <c r="E366" s="41" t="s">
        <v>45</v>
      </c>
      <c r="F366" s="41" t="s">
        <v>620</v>
      </c>
      <c r="G366" s="17">
        <v>38.436889000000001</v>
      </c>
      <c r="H366" s="17">
        <v>-2.335</v>
      </c>
      <c r="I366" s="17">
        <v>1038</v>
      </c>
      <c r="J366" s="17">
        <v>3200</v>
      </c>
      <c r="K366" s="17" t="s">
        <v>1101</v>
      </c>
      <c r="L366" s="17" t="s">
        <v>34</v>
      </c>
      <c r="M366" s="17" t="s">
        <v>38</v>
      </c>
      <c r="N366" s="17" t="s">
        <v>1100</v>
      </c>
      <c r="O366" s="17" t="s">
        <v>1330</v>
      </c>
    </row>
    <row r="367" spans="1:16" hidden="1" x14ac:dyDescent="0.35">
      <c r="A367" s="17">
        <v>155</v>
      </c>
      <c r="B367" s="17">
        <v>1</v>
      </c>
      <c r="C367" s="17" t="s">
        <v>1133</v>
      </c>
      <c r="E367" s="41" t="s">
        <v>45</v>
      </c>
      <c r="F367" s="41" t="s">
        <v>621</v>
      </c>
      <c r="G367" s="17">
        <v>41.633944</v>
      </c>
      <c r="H367" s="17">
        <v>1.74386</v>
      </c>
      <c r="I367" s="17" t="s">
        <v>1330</v>
      </c>
      <c r="J367" s="17" t="s">
        <v>1330</v>
      </c>
      <c r="K367" s="17" t="s">
        <v>1330</v>
      </c>
      <c r="L367" s="17" t="s">
        <v>51</v>
      </c>
      <c r="M367" s="17" t="s">
        <v>1089</v>
      </c>
      <c r="N367" s="17" t="s">
        <v>1136</v>
      </c>
      <c r="O367" s="17" t="s">
        <v>1330</v>
      </c>
    </row>
    <row r="368" spans="1:16" hidden="1" x14ac:dyDescent="0.35">
      <c r="A368" s="17">
        <v>155</v>
      </c>
      <c r="B368" s="17">
        <v>2</v>
      </c>
      <c r="C368" s="17" t="s">
        <v>1134</v>
      </c>
      <c r="E368" s="41" t="s">
        <v>45</v>
      </c>
      <c r="F368" s="41" t="s">
        <v>621</v>
      </c>
      <c r="G368" s="17">
        <v>41.633944</v>
      </c>
      <c r="H368" s="17">
        <v>1.74386</v>
      </c>
      <c r="I368" s="17" t="s">
        <v>1330</v>
      </c>
      <c r="J368" s="17" t="s">
        <v>1330</v>
      </c>
      <c r="K368" s="17" t="s">
        <v>1330</v>
      </c>
      <c r="L368" s="17" t="s">
        <v>51</v>
      </c>
      <c r="M368" s="17" t="s">
        <v>1089</v>
      </c>
      <c r="N368" s="17" t="s">
        <v>1136</v>
      </c>
      <c r="O368" s="17" t="s">
        <v>1330</v>
      </c>
    </row>
    <row r="369" spans="1:16" hidden="1" x14ac:dyDescent="0.35">
      <c r="A369" s="17">
        <v>169</v>
      </c>
      <c r="B369" s="17">
        <v>1</v>
      </c>
      <c r="C369" s="17" t="s">
        <v>1392</v>
      </c>
      <c r="D369" s="17" t="s">
        <v>404</v>
      </c>
      <c r="E369" s="41" t="s">
        <v>91</v>
      </c>
      <c r="F369" s="41" t="s">
        <v>620</v>
      </c>
      <c r="G369" s="17">
        <v>-34.6</v>
      </c>
      <c r="H369" s="17">
        <v>-71.7</v>
      </c>
      <c r="I369" s="17">
        <v>130</v>
      </c>
      <c r="J369" s="17">
        <v>600000</v>
      </c>
      <c r="K369" s="17" t="s">
        <v>430</v>
      </c>
      <c r="L369" s="17" t="s">
        <v>34</v>
      </c>
      <c r="M369" s="17" t="s">
        <v>75</v>
      </c>
      <c r="N369" s="17" t="s">
        <v>1141</v>
      </c>
      <c r="O369" s="17" t="s">
        <v>1143</v>
      </c>
      <c r="P369" s="17" t="s">
        <v>1142</v>
      </c>
    </row>
    <row r="370" spans="1:16" hidden="1" x14ac:dyDescent="0.35">
      <c r="A370" s="17">
        <v>218</v>
      </c>
      <c r="B370" s="17">
        <v>1</v>
      </c>
      <c r="C370" s="17" t="s">
        <v>58</v>
      </c>
      <c r="E370" s="41" t="s">
        <v>49</v>
      </c>
      <c r="F370" s="41" t="s">
        <v>621</v>
      </c>
      <c r="G370" s="17">
        <v>39.012</v>
      </c>
      <c r="H370" s="17">
        <v>26.591999999999999</v>
      </c>
      <c r="I370" s="44">
        <f>(160+190+128)/3</f>
        <v>159.33333333333334</v>
      </c>
      <c r="J370" s="17" t="s">
        <v>1330</v>
      </c>
      <c r="K370" s="17" t="s">
        <v>1330</v>
      </c>
      <c r="L370" s="17" t="s">
        <v>34</v>
      </c>
      <c r="M370" s="17" t="s">
        <v>38</v>
      </c>
      <c r="N370" s="17" t="s">
        <v>1724</v>
      </c>
      <c r="O370" s="17" t="s">
        <v>1330</v>
      </c>
    </row>
    <row r="371" spans="1:16" hidden="1" x14ac:dyDescent="0.35">
      <c r="A371" s="17">
        <v>218</v>
      </c>
      <c r="B371" s="17">
        <v>2</v>
      </c>
      <c r="C371" s="17">
        <v>1977</v>
      </c>
      <c r="E371" s="41" t="s">
        <v>49</v>
      </c>
      <c r="F371" s="41" t="s">
        <v>621</v>
      </c>
      <c r="G371" s="17">
        <v>39.015300000000003</v>
      </c>
      <c r="H371" s="17">
        <v>26.5977</v>
      </c>
      <c r="I371" s="17">
        <f>(210+213+195)/3</f>
        <v>206</v>
      </c>
      <c r="J371" s="17" t="s">
        <v>1330</v>
      </c>
      <c r="K371" s="17" t="s">
        <v>1330</v>
      </c>
      <c r="L371" s="17" t="s">
        <v>34</v>
      </c>
      <c r="M371" s="17" t="s">
        <v>38</v>
      </c>
      <c r="N371" s="17" t="s">
        <v>1724</v>
      </c>
      <c r="O371" s="17" t="s">
        <v>1330</v>
      </c>
    </row>
    <row r="372" spans="1:16" hidden="1" x14ac:dyDescent="0.35">
      <c r="A372" s="17">
        <v>220</v>
      </c>
      <c r="B372" s="17" t="s">
        <v>102</v>
      </c>
      <c r="C372" s="17" t="s">
        <v>1431</v>
      </c>
      <c r="E372" s="41" t="s">
        <v>86</v>
      </c>
      <c r="F372" s="41" t="s">
        <v>620</v>
      </c>
      <c r="G372" s="17">
        <v>43.266666666666666</v>
      </c>
      <c r="H372" s="17">
        <v>4.083333333333333</v>
      </c>
      <c r="I372" s="17">
        <f>(46+538)/2</f>
        <v>292</v>
      </c>
      <c r="J372" s="17" t="s">
        <v>1330</v>
      </c>
      <c r="K372" s="17" t="s">
        <v>1330</v>
      </c>
      <c r="L372" s="17" t="s">
        <v>51</v>
      </c>
      <c r="M372" s="17" t="s">
        <v>1089</v>
      </c>
      <c r="N372" s="17" t="s">
        <v>1177</v>
      </c>
      <c r="O372" s="17" t="s">
        <v>1330</v>
      </c>
    </row>
    <row r="373" spans="1:16" hidden="1" x14ac:dyDescent="0.35">
      <c r="A373" s="17">
        <v>258</v>
      </c>
      <c r="B373" s="17">
        <v>1</v>
      </c>
      <c r="C373" s="17" t="s">
        <v>1393</v>
      </c>
      <c r="E373" s="41" t="s">
        <v>82</v>
      </c>
      <c r="F373" s="41" t="s">
        <v>622</v>
      </c>
      <c r="G373" s="17">
        <v>40.815600000000003</v>
      </c>
      <c r="H373" s="17">
        <v>14.417999999999999</v>
      </c>
      <c r="I373" s="17" t="s">
        <v>1330</v>
      </c>
      <c r="J373" s="17" t="s">
        <v>1330</v>
      </c>
      <c r="K373" s="17" t="s">
        <v>1330</v>
      </c>
      <c r="L373" s="17" t="s">
        <v>34</v>
      </c>
      <c r="M373" s="17" t="s">
        <v>1089</v>
      </c>
      <c r="N373" s="17" t="s">
        <v>1195</v>
      </c>
      <c r="O373" s="17" t="s">
        <v>1330</v>
      </c>
    </row>
    <row r="374" spans="1:16" hidden="1" x14ac:dyDescent="0.35">
      <c r="A374" s="17">
        <v>259</v>
      </c>
      <c r="B374" s="17">
        <v>1</v>
      </c>
      <c r="C374" s="17">
        <v>1959</v>
      </c>
      <c r="E374" s="41" t="s">
        <v>86</v>
      </c>
      <c r="F374" s="41" t="s">
        <v>622</v>
      </c>
      <c r="G374" s="17">
        <v>43.353869789999997</v>
      </c>
      <c r="H374" s="17">
        <v>6.5867000000000004</v>
      </c>
      <c r="I374" s="17" t="s">
        <v>1330</v>
      </c>
      <c r="J374" s="17" t="s">
        <v>1330</v>
      </c>
      <c r="K374" s="17" t="s">
        <v>1330</v>
      </c>
      <c r="L374" s="17" t="s">
        <v>51</v>
      </c>
      <c r="M374" s="17" t="s">
        <v>76</v>
      </c>
      <c r="N374" s="17" t="s">
        <v>1222</v>
      </c>
      <c r="O374" s="17" t="s">
        <v>433</v>
      </c>
    </row>
    <row r="375" spans="1:16" hidden="1" x14ac:dyDescent="0.35">
      <c r="A375" s="17">
        <v>259</v>
      </c>
      <c r="B375" s="17">
        <v>2</v>
      </c>
      <c r="C375" s="17">
        <v>1962</v>
      </c>
      <c r="E375" s="41" t="s">
        <v>86</v>
      </c>
      <c r="F375" s="41" t="s">
        <v>622</v>
      </c>
      <c r="G375" s="17">
        <v>43.353869789999997</v>
      </c>
      <c r="H375" s="17">
        <v>6.5867000000000004</v>
      </c>
      <c r="I375" s="17" t="s">
        <v>1330</v>
      </c>
      <c r="J375" s="17" t="s">
        <v>1330</v>
      </c>
      <c r="K375" s="17" t="s">
        <v>1330</v>
      </c>
      <c r="L375" s="17" t="s">
        <v>51</v>
      </c>
      <c r="M375" s="17" t="s">
        <v>76</v>
      </c>
      <c r="N375" s="17" t="s">
        <v>1222</v>
      </c>
      <c r="O375" s="17" t="s">
        <v>433</v>
      </c>
    </row>
    <row r="376" spans="1:16" hidden="1" x14ac:dyDescent="0.35">
      <c r="A376" s="17">
        <v>259</v>
      </c>
      <c r="B376" s="17">
        <v>3</v>
      </c>
      <c r="C376" s="17">
        <v>1964</v>
      </c>
      <c r="E376" s="41" t="s">
        <v>86</v>
      </c>
      <c r="F376" s="41" t="s">
        <v>622</v>
      </c>
      <c r="G376" s="17">
        <v>43.353869789999997</v>
      </c>
      <c r="H376" s="17">
        <v>6.5867000000000004</v>
      </c>
      <c r="I376" s="17" t="s">
        <v>1330</v>
      </c>
      <c r="J376" s="17" t="s">
        <v>1330</v>
      </c>
      <c r="K376" s="17" t="s">
        <v>1330</v>
      </c>
      <c r="L376" s="17" t="s">
        <v>51</v>
      </c>
      <c r="M376" s="17" t="s">
        <v>76</v>
      </c>
      <c r="N376" s="17" t="s">
        <v>1222</v>
      </c>
      <c r="O376" s="17" t="s">
        <v>433</v>
      </c>
    </row>
    <row r="377" spans="1:16" hidden="1" x14ac:dyDescent="0.35">
      <c r="A377" s="17">
        <v>259</v>
      </c>
      <c r="B377" s="17">
        <v>4</v>
      </c>
      <c r="C377" s="17" t="s">
        <v>88</v>
      </c>
      <c r="E377" s="41" t="s">
        <v>86</v>
      </c>
      <c r="F377" s="41" t="s">
        <v>622</v>
      </c>
      <c r="G377" s="17">
        <v>43.353869789999997</v>
      </c>
      <c r="H377" s="17">
        <v>6.5867000000000004</v>
      </c>
      <c r="I377" s="17" t="s">
        <v>1330</v>
      </c>
      <c r="J377" s="17" t="s">
        <v>1330</v>
      </c>
      <c r="K377" s="17" t="s">
        <v>1330</v>
      </c>
      <c r="L377" s="17" t="s">
        <v>51</v>
      </c>
      <c r="M377" s="17" t="s">
        <v>76</v>
      </c>
      <c r="N377" s="17" t="s">
        <v>1222</v>
      </c>
      <c r="O377" s="17" t="s">
        <v>433</v>
      </c>
    </row>
    <row r="378" spans="1:16" ht="72.5" hidden="1" x14ac:dyDescent="0.35">
      <c r="A378" s="17">
        <v>259</v>
      </c>
      <c r="B378" s="17">
        <v>5</v>
      </c>
      <c r="C378" s="17" t="s">
        <v>85</v>
      </c>
      <c r="E378" s="41" t="s">
        <v>86</v>
      </c>
      <c r="F378" s="41" t="s">
        <v>622</v>
      </c>
      <c r="G378" s="17">
        <v>43.353869789999997</v>
      </c>
      <c r="H378" s="17">
        <v>6.5867000000000004</v>
      </c>
      <c r="I378" s="17" t="s">
        <v>1330</v>
      </c>
      <c r="J378" s="17" t="s">
        <v>1330</v>
      </c>
      <c r="K378" s="17" t="s">
        <v>1330</v>
      </c>
      <c r="L378" s="17" t="s">
        <v>51</v>
      </c>
      <c r="M378" s="17" t="s">
        <v>76</v>
      </c>
      <c r="N378" s="43" t="s">
        <v>1222</v>
      </c>
      <c r="O378" s="17" t="s">
        <v>433</v>
      </c>
    </row>
    <row r="379" spans="1:16" hidden="1" x14ac:dyDescent="0.35">
      <c r="A379" s="17">
        <v>259</v>
      </c>
      <c r="B379" s="17">
        <v>6</v>
      </c>
      <c r="C379" s="17" t="s">
        <v>84</v>
      </c>
      <c r="E379" s="41" t="s">
        <v>86</v>
      </c>
      <c r="F379" s="41" t="s">
        <v>622</v>
      </c>
      <c r="G379" s="17">
        <v>43.353869789999997</v>
      </c>
      <c r="H379" s="17">
        <v>6.5867000000000004</v>
      </c>
      <c r="I379" s="17" t="s">
        <v>1330</v>
      </c>
      <c r="J379" s="17" t="s">
        <v>1330</v>
      </c>
      <c r="K379" s="17" t="s">
        <v>1330</v>
      </c>
      <c r="L379" s="17" t="s">
        <v>51</v>
      </c>
      <c r="M379" s="17" t="s">
        <v>76</v>
      </c>
      <c r="N379" s="17" t="s">
        <v>1222</v>
      </c>
      <c r="O379" s="17" t="s">
        <v>433</v>
      </c>
    </row>
    <row r="380" spans="1:16" hidden="1" x14ac:dyDescent="0.35">
      <c r="A380" s="17">
        <v>259</v>
      </c>
      <c r="B380" s="17">
        <v>7</v>
      </c>
      <c r="C380" s="17" t="s">
        <v>55</v>
      </c>
      <c r="E380" s="41" t="s">
        <v>86</v>
      </c>
      <c r="F380" s="41" t="s">
        <v>622</v>
      </c>
      <c r="G380" s="17">
        <v>43.353869789999997</v>
      </c>
      <c r="H380" s="17">
        <v>6.5867000000000004</v>
      </c>
      <c r="I380" s="17" t="s">
        <v>1330</v>
      </c>
      <c r="J380" s="17" t="s">
        <v>1330</v>
      </c>
      <c r="K380" s="17" t="s">
        <v>1330</v>
      </c>
      <c r="L380" s="17" t="s">
        <v>51</v>
      </c>
      <c r="M380" s="17" t="s">
        <v>76</v>
      </c>
      <c r="N380" s="17" t="s">
        <v>1222</v>
      </c>
      <c r="O380" s="17" t="s">
        <v>433</v>
      </c>
    </row>
    <row r="381" spans="1:16" hidden="1" x14ac:dyDescent="0.35">
      <c r="A381" s="17">
        <v>259</v>
      </c>
      <c r="B381" s="17">
        <v>8</v>
      </c>
      <c r="C381" s="17" t="s">
        <v>89</v>
      </c>
      <c r="E381" s="41" t="s">
        <v>86</v>
      </c>
      <c r="F381" s="41" t="s">
        <v>622</v>
      </c>
      <c r="G381" s="17">
        <v>43.353869789999997</v>
      </c>
      <c r="H381" s="17">
        <v>6.5867000000000004</v>
      </c>
      <c r="I381" s="17" t="s">
        <v>1330</v>
      </c>
      <c r="J381" s="17" t="s">
        <v>1330</v>
      </c>
      <c r="K381" s="17" t="s">
        <v>1330</v>
      </c>
      <c r="L381" s="17" t="s">
        <v>51</v>
      </c>
      <c r="M381" s="17" t="s">
        <v>76</v>
      </c>
      <c r="N381" s="17" t="s">
        <v>1222</v>
      </c>
      <c r="O381" s="17" t="s">
        <v>433</v>
      </c>
    </row>
    <row r="382" spans="1:16" hidden="1" x14ac:dyDescent="0.35">
      <c r="A382" s="17">
        <v>259</v>
      </c>
      <c r="B382" s="17">
        <v>9</v>
      </c>
      <c r="C382" s="17" t="s">
        <v>59</v>
      </c>
      <c r="E382" s="41" t="s">
        <v>86</v>
      </c>
      <c r="F382" s="41" t="s">
        <v>622</v>
      </c>
      <c r="G382" s="17">
        <v>43.353869789999997</v>
      </c>
      <c r="H382" s="17">
        <v>6.5867000000000004</v>
      </c>
      <c r="I382" s="17" t="s">
        <v>1330</v>
      </c>
      <c r="J382" s="17" t="s">
        <v>1330</v>
      </c>
      <c r="K382" s="17" t="s">
        <v>1330</v>
      </c>
      <c r="L382" s="17" t="s">
        <v>51</v>
      </c>
      <c r="M382" s="17" t="s">
        <v>76</v>
      </c>
      <c r="N382" s="17" t="s">
        <v>1222</v>
      </c>
      <c r="O382" s="17" t="s">
        <v>433</v>
      </c>
    </row>
    <row r="383" spans="1:16" hidden="1" x14ac:dyDescent="0.35">
      <c r="A383" s="17">
        <v>259</v>
      </c>
      <c r="B383" s="17">
        <v>10</v>
      </c>
      <c r="C383" s="17" t="s">
        <v>1221</v>
      </c>
      <c r="E383" s="41" t="s">
        <v>86</v>
      </c>
      <c r="F383" s="41" t="s">
        <v>622</v>
      </c>
      <c r="G383" s="17">
        <v>43.353869789999997</v>
      </c>
      <c r="H383" s="17">
        <v>6.5867000000000004</v>
      </c>
      <c r="I383" s="17" t="s">
        <v>1330</v>
      </c>
      <c r="J383" s="17" t="s">
        <v>1330</v>
      </c>
      <c r="K383" s="17" t="s">
        <v>1330</v>
      </c>
      <c r="L383" s="17" t="s">
        <v>51</v>
      </c>
      <c r="M383" s="17" t="s">
        <v>76</v>
      </c>
      <c r="N383" s="17" t="s">
        <v>1222</v>
      </c>
      <c r="O383" s="17" t="s">
        <v>433</v>
      </c>
    </row>
    <row r="384" spans="1:16" x14ac:dyDescent="0.35">
      <c r="A384" s="17">
        <v>285</v>
      </c>
      <c r="B384" s="17">
        <v>1</v>
      </c>
      <c r="C384" s="17" t="s">
        <v>1394</v>
      </c>
      <c r="E384" s="41" t="s">
        <v>45</v>
      </c>
      <c r="F384" s="41" t="s">
        <v>621</v>
      </c>
      <c r="G384" s="17">
        <v>41.84</v>
      </c>
      <c r="H384" s="17">
        <v>-6.35</v>
      </c>
      <c r="I384" s="17">
        <f>(750+780)/2</f>
        <v>765</v>
      </c>
      <c r="J384" s="17">
        <v>1427</v>
      </c>
      <c r="K384" s="17" t="s">
        <v>33</v>
      </c>
      <c r="L384" s="17" t="s">
        <v>34</v>
      </c>
      <c r="M384" s="17" t="s">
        <v>38</v>
      </c>
      <c r="N384" s="17" t="s">
        <v>39</v>
      </c>
      <c r="O384" s="17" t="s">
        <v>433</v>
      </c>
    </row>
    <row r="385" spans="1:16" hidden="1" x14ac:dyDescent="0.35">
      <c r="A385" s="17">
        <v>314</v>
      </c>
      <c r="B385" s="17">
        <v>1</v>
      </c>
      <c r="C385" s="17" t="s">
        <v>1432</v>
      </c>
      <c r="D385" s="17" t="s">
        <v>404</v>
      </c>
      <c r="E385" s="41" t="s">
        <v>45</v>
      </c>
      <c r="F385" s="41" t="s">
        <v>620</v>
      </c>
      <c r="G385" s="17">
        <v>38.916666666666664</v>
      </c>
      <c r="H385" s="17">
        <v>-0.83333333333333337</v>
      </c>
      <c r="I385" s="17">
        <v>750</v>
      </c>
      <c r="J385" s="17">
        <v>44000</v>
      </c>
      <c r="K385" s="17" t="s">
        <v>1330</v>
      </c>
      <c r="L385" s="17" t="s">
        <v>34</v>
      </c>
      <c r="M385" s="17" t="s">
        <v>1089</v>
      </c>
      <c r="N385" s="17" t="s">
        <v>1246</v>
      </c>
      <c r="O385" s="17" t="s">
        <v>433</v>
      </c>
    </row>
    <row r="386" spans="1:16" x14ac:dyDescent="0.35">
      <c r="A386" s="17">
        <v>315</v>
      </c>
      <c r="B386" s="17">
        <v>1</v>
      </c>
      <c r="C386" s="17" t="s">
        <v>1433</v>
      </c>
      <c r="D386" s="17" t="s">
        <v>404</v>
      </c>
      <c r="E386" s="41" t="s">
        <v>37</v>
      </c>
      <c r="F386" s="41" t="s">
        <v>622</v>
      </c>
      <c r="G386" s="17">
        <v>38.959000000000003</v>
      </c>
      <c r="H386" s="17">
        <v>-8.5249600000000001</v>
      </c>
      <c r="I386" s="17">
        <f>(69+85)/2</f>
        <v>77</v>
      </c>
      <c r="J386" s="17">
        <v>166</v>
      </c>
      <c r="K386" s="17" t="s">
        <v>33</v>
      </c>
      <c r="L386" s="17" t="s">
        <v>34</v>
      </c>
      <c r="M386" s="17" t="s">
        <v>1089</v>
      </c>
      <c r="N386" s="17" t="s">
        <v>1255</v>
      </c>
      <c r="O386" s="17" t="s">
        <v>1330</v>
      </c>
    </row>
    <row r="387" spans="1:16" hidden="1" x14ac:dyDescent="0.35">
      <c r="A387" s="17">
        <v>337</v>
      </c>
      <c r="B387" s="17">
        <v>1</v>
      </c>
      <c r="C387" s="17" t="s">
        <v>1395</v>
      </c>
      <c r="D387" s="17" t="s">
        <v>404</v>
      </c>
      <c r="E387" s="41" t="s">
        <v>45</v>
      </c>
      <c r="F387" s="41" t="s">
        <v>620</v>
      </c>
      <c r="G387" s="17">
        <v>41.866666666666667</v>
      </c>
      <c r="H387" s="17">
        <v>1.6333333333333333</v>
      </c>
      <c r="I387" s="17">
        <f>(540+620)/2</f>
        <v>580</v>
      </c>
      <c r="J387" s="17">
        <v>194</v>
      </c>
      <c r="K387" s="17" t="s">
        <v>1330</v>
      </c>
      <c r="L387" s="17" t="s">
        <v>34</v>
      </c>
      <c r="M387" s="17" t="s">
        <v>38</v>
      </c>
      <c r="N387" s="17" t="s">
        <v>1273</v>
      </c>
      <c r="O387" s="17" t="s">
        <v>1330</v>
      </c>
    </row>
    <row r="388" spans="1:16" x14ac:dyDescent="0.35">
      <c r="A388" s="17">
        <v>388</v>
      </c>
      <c r="B388" s="17">
        <v>1</v>
      </c>
      <c r="C388" s="17" t="s">
        <v>61</v>
      </c>
      <c r="D388" s="17" t="s">
        <v>404</v>
      </c>
      <c r="E388" s="41" t="s">
        <v>45</v>
      </c>
      <c r="F388" s="41" t="s">
        <v>622</v>
      </c>
      <c r="G388" s="17">
        <v>38.390999999999998</v>
      </c>
      <c r="H388" s="17">
        <v>-1.6819999999999999</v>
      </c>
      <c r="I388" s="17">
        <f>(304+808)/2</f>
        <v>556</v>
      </c>
      <c r="J388" s="17">
        <v>6500</v>
      </c>
      <c r="K388" s="17" t="s">
        <v>432</v>
      </c>
      <c r="L388" s="17" t="s">
        <v>34</v>
      </c>
      <c r="M388" s="17" t="s">
        <v>38</v>
      </c>
      <c r="N388" s="17" t="s">
        <v>1291</v>
      </c>
      <c r="O388" s="17" t="s">
        <v>1292</v>
      </c>
    </row>
    <row r="389" spans="1:16" hidden="1" x14ac:dyDescent="0.35">
      <c r="A389" s="17">
        <v>399</v>
      </c>
      <c r="B389" s="17">
        <v>1</v>
      </c>
      <c r="C389" s="17" t="s">
        <v>1392</v>
      </c>
      <c r="D389" s="17" t="s">
        <v>1330</v>
      </c>
      <c r="E389" s="41" t="s">
        <v>91</v>
      </c>
      <c r="F389" s="41" t="s">
        <v>620</v>
      </c>
      <c r="G389" s="17">
        <v>-34.616666666666667</v>
      </c>
      <c r="H389" s="17">
        <v>-71.7</v>
      </c>
      <c r="I389" s="17">
        <v>130</v>
      </c>
      <c r="J389" s="17" t="s">
        <v>1330</v>
      </c>
      <c r="K389" s="17" t="s">
        <v>430</v>
      </c>
      <c r="L389" s="17" t="s">
        <v>34</v>
      </c>
      <c r="M389" s="17" t="s">
        <v>75</v>
      </c>
      <c r="N389" s="17" t="s">
        <v>1301</v>
      </c>
      <c r="O389" s="17" t="s">
        <v>1143</v>
      </c>
    </row>
    <row r="390" spans="1:16" hidden="1" x14ac:dyDescent="0.35">
      <c r="A390" s="17">
        <v>752</v>
      </c>
      <c r="B390" s="17">
        <v>1</v>
      </c>
      <c r="C390" s="17">
        <v>1994</v>
      </c>
      <c r="D390" s="17" t="s">
        <v>404</v>
      </c>
      <c r="E390" s="41" t="s">
        <v>45</v>
      </c>
      <c r="F390" s="41" t="s">
        <v>622</v>
      </c>
      <c r="G390" s="17">
        <v>41.875638172676702</v>
      </c>
      <c r="H390" s="17">
        <v>1.698869</v>
      </c>
      <c r="I390" s="17" t="s">
        <v>1330</v>
      </c>
      <c r="J390" s="17" t="s">
        <v>1330</v>
      </c>
      <c r="K390" s="17" t="s">
        <v>1330</v>
      </c>
      <c r="L390" s="17" t="s">
        <v>51</v>
      </c>
      <c r="M390" s="17" t="s">
        <v>38</v>
      </c>
      <c r="N390" s="17" t="s">
        <v>1527</v>
      </c>
      <c r="O390" s="17" t="s">
        <v>433</v>
      </c>
    </row>
    <row r="391" spans="1:16" hidden="1" x14ac:dyDescent="0.35">
      <c r="A391" s="17">
        <v>752</v>
      </c>
      <c r="B391" s="17">
        <v>2</v>
      </c>
      <c r="C391" s="17">
        <v>1994</v>
      </c>
      <c r="D391" s="17" t="s">
        <v>404</v>
      </c>
      <c r="E391" s="41" t="s">
        <v>45</v>
      </c>
      <c r="F391" s="41" t="s">
        <v>622</v>
      </c>
      <c r="G391" s="17">
        <v>40.595999999999997</v>
      </c>
      <c r="H391" s="17">
        <v>0.39700000000000002</v>
      </c>
      <c r="I391" s="17" t="s">
        <v>1330</v>
      </c>
      <c r="J391" s="17" t="s">
        <v>1330</v>
      </c>
      <c r="K391" s="17" t="s">
        <v>1330</v>
      </c>
      <c r="L391" s="17" t="s">
        <v>51</v>
      </c>
      <c r="M391" s="17" t="s">
        <v>38</v>
      </c>
      <c r="N391" s="17" t="s">
        <v>1527</v>
      </c>
      <c r="O391" s="17" t="s">
        <v>433</v>
      </c>
    </row>
    <row r="392" spans="1:16" hidden="1" x14ac:dyDescent="0.35">
      <c r="A392" s="17">
        <v>752</v>
      </c>
      <c r="B392" s="17">
        <v>3</v>
      </c>
      <c r="C392" s="17">
        <v>1994</v>
      </c>
      <c r="D392" s="17" t="s">
        <v>404</v>
      </c>
      <c r="E392" s="41" t="s">
        <v>45</v>
      </c>
      <c r="F392" s="41" t="s">
        <v>622</v>
      </c>
      <c r="G392" s="17">
        <v>38.374000000000002</v>
      </c>
      <c r="H392" s="17">
        <v>-2.351</v>
      </c>
      <c r="I392" s="17" t="s">
        <v>1330</v>
      </c>
      <c r="J392" s="17" t="s">
        <v>1330</v>
      </c>
      <c r="K392" s="17" t="s">
        <v>1330</v>
      </c>
      <c r="L392" s="17" t="s">
        <v>51</v>
      </c>
      <c r="M392" s="17" t="s">
        <v>38</v>
      </c>
      <c r="N392" s="17" t="s">
        <v>1527</v>
      </c>
      <c r="O392" s="17" t="s">
        <v>433</v>
      </c>
    </row>
    <row r="393" spans="1:16" hidden="1" x14ac:dyDescent="0.35">
      <c r="A393" s="17">
        <v>752</v>
      </c>
      <c r="B393" s="17">
        <v>4</v>
      </c>
      <c r="C393" s="17">
        <v>1994</v>
      </c>
      <c r="D393" s="17" t="s">
        <v>404</v>
      </c>
      <c r="E393" s="41" t="s">
        <v>45</v>
      </c>
      <c r="F393" s="41" t="s">
        <v>622</v>
      </c>
      <c r="G393" s="17">
        <v>38.228999999999999</v>
      </c>
      <c r="H393" s="17">
        <v>-1.7013</v>
      </c>
      <c r="I393" s="17" t="s">
        <v>1330</v>
      </c>
      <c r="J393" s="17" t="s">
        <v>1330</v>
      </c>
      <c r="K393" s="17" t="s">
        <v>1330</v>
      </c>
      <c r="L393" s="17" t="s">
        <v>51</v>
      </c>
      <c r="M393" s="17" t="s">
        <v>38</v>
      </c>
      <c r="N393" s="17" t="s">
        <v>1527</v>
      </c>
      <c r="O393" s="17" t="s">
        <v>433</v>
      </c>
    </row>
    <row r="394" spans="1:16" hidden="1" x14ac:dyDescent="0.35">
      <c r="A394" s="17">
        <v>74</v>
      </c>
      <c r="B394" s="17" t="s">
        <v>102</v>
      </c>
      <c r="C394" s="17">
        <v>1985</v>
      </c>
      <c r="D394" s="17" t="s">
        <v>1330</v>
      </c>
      <c r="E394" s="41" t="s">
        <v>45</v>
      </c>
      <c r="F394" s="41" t="s">
        <v>620</v>
      </c>
      <c r="G394" s="17">
        <v>41.65</v>
      </c>
      <c r="H394" s="17">
        <v>1.7166666666666668</v>
      </c>
      <c r="I394" s="17">
        <v>300</v>
      </c>
      <c r="J394" s="17" t="s">
        <v>1330</v>
      </c>
      <c r="K394" s="17" t="s">
        <v>1330</v>
      </c>
      <c r="L394" s="17" t="s">
        <v>51</v>
      </c>
      <c r="M394" s="17" t="s">
        <v>1089</v>
      </c>
      <c r="N394" s="17" t="s">
        <v>1537</v>
      </c>
      <c r="O394" s="17" t="s">
        <v>1538</v>
      </c>
      <c r="P394" s="17" t="s">
        <v>1536</v>
      </c>
    </row>
    <row r="395" spans="1:16" hidden="1" x14ac:dyDescent="0.35">
      <c r="A395" s="17">
        <v>69</v>
      </c>
      <c r="B395" s="17">
        <v>1</v>
      </c>
      <c r="C395" s="17">
        <v>1976</v>
      </c>
      <c r="D395" s="17" t="s">
        <v>404</v>
      </c>
      <c r="E395" s="41" t="s">
        <v>86</v>
      </c>
      <c r="F395" s="41" t="s">
        <v>621</v>
      </c>
      <c r="G395" s="17">
        <v>42.541670000000003</v>
      </c>
      <c r="H395" s="17">
        <v>2.7166999999999999</v>
      </c>
      <c r="I395" s="17" t="s">
        <v>1330</v>
      </c>
      <c r="J395" s="17" t="s">
        <v>1551</v>
      </c>
      <c r="K395" s="17" t="s">
        <v>33</v>
      </c>
      <c r="L395" s="17" t="s">
        <v>34</v>
      </c>
      <c r="M395" s="17" t="s">
        <v>1552</v>
      </c>
      <c r="N395" s="17" t="s">
        <v>1553</v>
      </c>
      <c r="O395" s="17" t="s">
        <v>433</v>
      </c>
    </row>
    <row r="396" spans="1:16" ht="87" hidden="1" x14ac:dyDescent="0.35">
      <c r="A396" s="17">
        <v>463</v>
      </c>
      <c r="B396" s="17" t="s">
        <v>102</v>
      </c>
      <c r="C396" s="17" t="s">
        <v>1567</v>
      </c>
      <c r="E396" s="41" t="s">
        <v>45</v>
      </c>
      <c r="F396" s="41" t="s">
        <v>622</v>
      </c>
      <c r="G396" s="17">
        <v>39.473954332265897</v>
      </c>
      <c r="H396" s="17">
        <v>-0.38375797</v>
      </c>
      <c r="I396" s="17" t="s">
        <v>1330</v>
      </c>
      <c r="J396" s="17" t="s">
        <v>1330</v>
      </c>
      <c r="K396" s="17" t="s">
        <v>1330</v>
      </c>
      <c r="L396" s="17" t="s">
        <v>51</v>
      </c>
      <c r="M396" s="17" t="s">
        <v>1569</v>
      </c>
      <c r="N396" s="43" t="s">
        <v>1568</v>
      </c>
      <c r="O396" s="17" t="s">
        <v>1330</v>
      </c>
    </row>
    <row r="397" spans="1:16" hidden="1" x14ac:dyDescent="0.35">
      <c r="A397" s="17">
        <v>555</v>
      </c>
      <c r="B397" s="17">
        <v>1</v>
      </c>
      <c r="C397" s="17" t="s">
        <v>1587</v>
      </c>
      <c r="E397" s="41" t="s">
        <v>49</v>
      </c>
      <c r="F397" s="41" t="s">
        <v>621</v>
      </c>
      <c r="G397" s="17">
        <v>39.9377594220581</v>
      </c>
      <c r="H397" s="17">
        <v>23.5959</v>
      </c>
      <c r="I397" s="44">
        <f>(0+335)/2</f>
        <v>167.5</v>
      </c>
      <c r="J397" s="17">
        <v>1735</v>
      </c>
      <c r="K397" s="17" t="s">
        <v>1330</v>
      </c>
      <c r="L397" s="17" t="s">
        <v>34</v>
      </c>
      <c r="M397" s="17" t="s">
        <v>38</v>
      </c>
      <c r="N397" s="17" t="s">
        <v>1588</v>
      </c>
      <c r="O397" s="17" t="s">
        <v>1330</v>
      </c>
    </row>
    <row r="398" spans="1:16" hidden="1" x14ac:dyDescent="0.35">
      <c r="A398" s="17">
        <v>905</v>
      </c>
      <c r="B398" s="17" t="s">
        <v>102</v>
      </c>
      <c r="C398" s="17" t="s">
        <v>1591</v>
      </c>
      <c r="E398" s="41" t="s">
        <v>37</v>
      </c>
      <c r="F398" s="41" t="s">
        <v>621</v>
      </c>
      <c r="G398" s="17">
        <v>39.325000000000003</v>
      </c>
      <c r="H398" s="17">
        <v>-8.375</v>
      </c>
      <c r="I398" s="17">
        <f>(20+190)/2</f>
        <v>105</v>
      </c>
      <c r="J398" s="17">
        <v>8108</v>
      </c>
      <c r="K398" s="17" t="s">
        <v>1330</v>
      </c>
      <c r="L398" s="17" t="s">
        <v>51</v>
      </c>
      <c r="M398" s="17" t="s">
        <v>1089</v>
      </c>
      <c r="N398" s="17" t="s">
        <v>1592</v>
      </c>
      <c r="O398" s="17" t="s">
        <v>1330</v>
      </c>
    </row>
    <row r="399" spans="1:16" hidden="1" x14ac:dyDescent="0.35">
      <c r="A399" s="17">
        <v>362</v>
      </c>
      <c r="B399" s="17">
        <v>1</v>
      </c>
      <c r="C399" s="17">
        <v>1978</v>
      </c>
      <c r="E399" s="41" t="s">
        <v>37</v>
      </c>
      <c r="F399" s="41" t="s">
        <v>622</v>
      </c>
      <c r="G399" s="17">
        <v>40.671799999999998</v>
      </c>
      <c r="H399" s="17">
        <v>-7.8956999999999997</v>
      </c>
      <c r="I399" s="17" t="s">
        <v>1330</v>
      </c>
      <c r="J399" s="17" t="s">
        <v>1330</v>
      </c>
      <c r="K399" s="17" t="s">
        <v>1330</v>
      </c>
      <c r="L399" s="17" t="s">
        <v>51</v>
      </c>
      <c r="M399" s="17" t="s">
        <v>38</v>
      </c>
      <c r="N399" s="17" t="s">
        <v>1597</v>
      </c>
      <c r="O399" s="17" t="s">
        <v>1330</v>
      </c>
    </row>
    <row r="400" spans="1:16" hidden="1" x14ac:dyDescent="0.35">
      <c r="A400" s="17">
        <v>362</v>
      </c>
      <c r="B400" s="17">
        <v>2</v>
      </c>
      <c r="C400" s="17">
        <v>1985</v>
      </c>
      <c r="E400" s="41" t="s">
        <v>37</v>
      </c>
      <c r="F400" s="41" t="s">
        <v>622</v>
      </c>
      <c r="G400" s="17">
        <v>40.671799999999998</v>
      </c>
      <c r="H400" s="17">
        <v>-7.8956999999999997</v>
      </c>
      <c r="I400" s="17" t="s">
        <v>1330</v>
      </c>
      <c r="J400" s="17" t="s">
        <v>1330</v>
      </c>
      <c r="K400" s="17" t="s">
        <v>1330</v>
      </c>
      <c r="L400" s="17" t="s">
        <v>51</v>
      </c>
      <c r="M400" s="17" t="s">
        <v>38</v>
      </c>
      <c r="N400" s="17" t="s">
        <v>1597</v>
      </c>
      <c r="O400" s="17" t="s">
        <v>1330</v>
      </c>
    </row>
    <row r="401" spans="1:15" hidden="1" x14ac:dyDescent="0.35">
      <c r="A401" s="17">
        <v>362</v>
      </c>
      <c r="B401" s="17">
        <v>3</v>
      </c>
      <c r="C401" s="17">
        <v>2005</v>
      </c>
      <c r="E401" s="41" t="s">
        <v>37</v>
      </c>
      <c r="F401" s="41" t="s">
        <v>622</v>
      </c>
      <c r="G401" s="17">
        <v>40.671799999999998</v>
      </c>
      <c r="H401" s="17">
        <v>-7.8956999999999997</v>
      </c>
      <c r="I401" s="17" t="s">
        <v>1330</v>
      </c>
      <c r="J401" s="17" t="s">
        <v>1330</v>
      </c>
      <c r="K401" s="17" t="s">
        <v>1330</v>
      </c>
      <c r="L401" s="17" t="s">
        <v>51</v>
      </c>
      <c r="M401" s="17" t="s">
        <v>38</v>
      </c>
      <c r="N401" s="17" t="s">
        <v>1597</v>
      </c>
      <c r="O401" s="17" t="s">
        <v>1330</v>
      </c>
    </row>
    <row r="402" spans="1:15" hidden="1" x14ac:dyDescent="0.35">
      <c r="A402" s="17">
        <v>362</v>
      </c>
      <c r="B402" s="17">
        <v>4</v>
      </c>
      <c r="C402" s="17">
        <v>2012</v>
      </c>
      <c r="D402" s="17" t="s">
        <v>405</v>
      </c>
      <c r="E402" s="41" t="s">
        <v>37</v>
      </c>
      <c r="F402" s="41" t="s">
        <v>622</v>
      </c>
      <c r="G402" s="17">
        <v>40.671799999999998</v>
      </c>
      <c r="H402" s="17">
        <v>-7.8956999999999997</v>
      </c>
      <c r="I402" s="17" t="s">
        <v>1330</v>
      </c>
      <c r="J402" s="17">
        <v>3000</v>
      </c>
      <c r="K402" s="17" t="s">
        <v>1330</v>
      </c>
      <c r="L402" s="17" t="s">
        <v>51</v>
      </c>
      <c r="M402" s="17" t="s">
        <v>38</v>
      </c>
      <c r="N402" s="17" t="s">
        <v>1597</v>
      </c>
      <c r="O402" s="17" t="s">
        <v>1330</v>
      </c>
    </row>
    <row r="403" spans="1:15" hidden="1" x14ac:dyDescent="0.35">
      <c r="A403" s="17">
        <v>526</v>
      </c>
      <c r="B403" s="17">
        <v>1</v>
      </c>
      <c r="C403" s="17">
        <v>1983</v>
      </c>
      <c r="E403" s="41" t="s">
        <v>74</v>
      </c>
      <c r="F403" s="41" t="s">
        <v>621</v>
      </c>
      <c r="G403" s="17">
        <v>32</v>
      </c>
      <c r="H403" s="17">
        <v>35</v>
      </c>
      <c r="I403" s="17">
        <f>(280+350)/2</f>
        <v>315</v>
      </c>
      <c r="J403" s="17" t="s">
        <v>1330</v>
      </c>
      <c r="K403" s="17" t="s">
        <v>1330</v>
      </c>
      <c r="L403" s="17" t="s">
        <v>51</v>
      </c>
      <c r="M403" s="17" t="s">
        <v>1089</v>
      </c>
      <c r="N403" s="17" t="s">
        <v>1620</v>
      </c>
      <c r="O403" s="17" t="s">
        <v>1330</v>
      </c>
    </row>
    <row r="404" spans="1:15" hidden="1" x14ac:dyDescent="0.35">
      <c r="A404" s="17">
        <v>526</v>
      </c>
      <c r="B404" s="17">
        <v>2</v>
      </c>
      <c r="C404" s="17">
        <v>1989</v>
      </c>
      <c r="E404" s="41" t="s">
        <v>74</v>
      </c>
      <c r="F404" s="41" t="s">
        <v>621</v>
      </c>
      <c r="G404" s="17">
        <v>32</v>
      </c>
      <c r="H404" s="17">
        <v>35</v>
      </c>
      <c r="I404" s="17">
        <f t="shared" ref="I404:I406" si="1">(280+350)/2</f>
        <v>315</v>
      </c>
      <c r="J404" s="17" t="s">
        <v>1330</v>
      </c>
      <c r="K404" s="17" t="s">
        <v>1330</v>
      </c>
      <c r="L404" s="17" t="s">
        <v>51</v>
      </c>
      <c r="M404" s="17" t="s">
        <v>1089</v>
      </c>
      <c r="N404" s="17" t="s">
        <v>1620</v>
      </c>
      <c r="O404" s="17" t="s">
        <v>1330</v>
      </c>
    </row>
    <row r="405" spans="1:15" hidden="1" x14ac:dyDescent="0.35">
      <c r="A405" s="17">
        <v>526</v>
      </c>
      <c r="B405" s="17">
        <v>3</v>
      </c>
      <c r="C405" s="17">
        <v>1999</v>
      </c>
      <c r="E405" s="41" t="s">
        <v>74</v>
      </c>
      <c r="F405" s="41" t="s">
        <v>621</v>
      </c>
      <c r="G405" s="17">
        <v>32</v>
      </c>
      <c r="H405" s="17">
        <v>35</v>
      </c>
      <c r="I405" s="17">
        <f t="shared" si="1"/>
        <v>315</v>
      </c>
      <c r="J405" s="17" t="s">
        <v>1330</v>
      </c>
      <c r="K405" s="17" t="s">
        <v>1330</v>
      </c>
      <c r="L405" s="17" t="s">
        <v>51</v>
      </c>
      <c r="M405" s="17" t="s">
        <v>1089</v>
      </c>
      <c r="N405" s="17" t="s">
        <v>1620</v>
      </c>
      <c r="O405" s="17" t="s">
        <v>1330</v>
      </c>
    </row>
    <row r="406" spans="1:15" hidden="1" x14ac:dyDescent="0.35">
      <c r="A406" s="17">
        <v>526</v>
      </c>
      <c r="B406" s="17">
        <v>4</v>
      </c>
      <c r="C406" s="17">
        <v>2005</v>
      </c>
      <c r="E406" s="41" t="s">
        <v>74</v>
      </c>
      <c r="F406" s="41" t="s">
        <v>621</v>
      </c>
      <c r="G406" s="17">
        <v>32</v>
      </c>
      <c r="H406" s="17">
        <v>35</v>
      </c>
      <c r="I406" s="17">
        <f t="shared" si="1"/>
        <v>315</v>
      </c>
      <c r="J406" s="17" t="s">
        <v>1330</v>
      </c>
      <c r="K406" s="17" t="s">
        <v>1330</v>
      </c>
      <c r="L406" s="17" t="s">
        <v>51</v>
      </c>
      <c r="M406" s="17" t="s">
        <v>1089</v>
      </c>
      <c r="N406" s="17" t="s">
        <v>1620</v>
      </c>
      <c r="O406" s="17" t="s">
        <v>1330</v>
      </c>
    </row>
    <row r="407" spans="1:15" hidden="1" x14ac:dyDescent="0.35">
      <c r="A407" s="17">
        <v>956</v>
      </c>
      <c r="B407" s="17" t="s">
        <v>1330</v>
      </c>
      <c r="C407" s="41" t="s">
        <v>1330</v>
      </c>
      <c r="E407" s="41" t="s">
        <v>64</v>
      </c>
      <c r="F407" s="41" t="s">
        <v>620</v>
      </c>
      <c r="G407" s="17">
        <v>36.848999999999997</v>
      </c>
      <c r="H407" s="17">
        <v>28.317879999999999</v>
      </c>
      <c r="I407" s="17" t="s">
        <v>1330</v>
      </c>
      <c r="J407" s="17" t="s">
        <v>1330</v>
      </c>
      <c r="K407" s="17" t="s">
        <v>1330</v>
      </c>
      <c r="L407" s="17" t="s">
        <v>34</v>
      </c>
      <c r="M407" s="17" t="s">
        <v>38</v>
      </c>
      <c r="N407" s="17" t="s">
        <v>1627</v>
      </c>
      <c r="O407" s="17" t="s">
        <v>1330</v>
      </c>
    </row>
    <row r="408" spans="1:15" x14ac:dyDescent="0.35">
      <c r="A408" s="17">
        <v>309</v>
      </c>
      <c r="B408" s="17">
        <v>1</v>
      </c>
      <c r="C408" s="17">
        <v>1998</v>
      </c>
      <c r="E408" s="41" t="s">
        <v>45</v>
      </c>
      <c r="F408" s="41" t="s">
        <v>621</v>
      </c>
      <c r="G408" s="17">
        <v>41.792499999999997</v>
      </c>
      <c r="H408" s="17">
        <v>1.60375</v>
      </c>
      <c r="I408" s="17">
        <f>(480+910)/2</f>
        <v>695</v>
      </c>
      <c r="J408" s="17">
        <v>24000</v>
      </c>
      <c r="K408" s="17" t="s">
        <v>432</v>
      </c>
      <c r="L408" s="17" t="s">
        <v>34</v>
      </c>
      <c r="M408" s="17" t="s">
        <v>38</v>
      </c>
      <c r="N408" s="17" t="s">
        <v>1643</v>
      </c>
      <c r="O408" s="17" t="s">
        <v>44</v>
      </c>
    </row>
    <row r="409" spans="1:15" x14ac:dyDescent="0.35">
      <c r="A409" s="17">
        <v>236</v>
      </c>
      <c r="B409" s="17">
        <v>1</v>
      </c>
      <c r="C409" s="17">
        <v>2004</v>
      </c>
      <c r="E409" s="41" t="s">
        <v>37</v>
      </c>
      <c r="F409" s="41" t="s">
        <v>622</v>
      </c>
      <c r="G409" s="17">
        <v>37.181217670360802</v>
      </c>
      <c r="H409" s="17">
        <v>-7.8399000000000001</v>
      </c>
      <c r="I409" s="17">
        <v>500</v>
      </c>
      <c r="J409" s="17">
        <v>23500</v>
      </c>
      <c r="K409" s="17" t="s">
        <v>430</v>
      </c>
      <c r="L409" s="17" t="s">
        <v>51</v>
      </c>
      <c r="M409" s="17" t="s">
        <v>46</v>
      </c>
      <c r="N409" s="17" t="s">
        <v>1648</v>
      </c>
      <c r="O409" s="17" t="s">
        <v>1330</v>
      </c>
    </row>
    <row r="410" spans="1:15" x14ac:dyDescent="0.35">
      <c r="A410" s="17">
        <v>236</v>
      </c>
      <c r="B410" s="17">
        <v>2</v>
      </c>
      <c r="C410" s="17">
        <v>2012</v>
      </c>
      <c r="E410" s="41" t="s">
        <v>37</v>
      </c>
      <c r="F410" s="41" t="s">
        <v>622</v>
      </c>
      <c r="G410" s="17">
        <v>37.181217670360802</v>
      </c>
      <c r="H410" s="17">
        <v>-7.8399000000000001</v>
      </c>
      <c r="I410" s="17">
        <v>500</v>
      </c>
      <c r="J410" s="17">
        <v>24900</v>
      </c>
      <c r="K410" s="17" t="s">
        <v>430</v>
      </c>
      <c r="L410" s="17" t="s">
        <v>51</v>
      </c>
      <c r="M410" s="17" t="s">
        <v>46</v>
      </c>
      <c r="N410" s="17" t="s">
        <v>1648</v>
      </c>
      <c r="O410" s="17" t="s">
        <v>1330</v>
      </c>
    </row>
    <row r="411" spans="1:15" hidden="1" x14ac:dyDescent="0.35">
      <c r="A411" s="17">
        <v>972</v>
      </c>
      <c r="B411" s="17">
        <v>1</v>
      </c>
      <c r="C411" s="17" t="s">
        <v>1669</v>
      </c>
      <c r="E411" s="41" t="s">
        <v>72</v>
      </c>
      <c r="F411" s="41" t="s">
        <v>621</v>
      </c>
      <c r="G411" s="17">
        <v>36.750006438320298</v>
      </c>
      <c r="H411" s="17">
        <v>4.9999950000000002</v>
      </c>
      <c r="I411" s="17">
        <v>380</v>
      </c>
      <c r="J411" s="17" t="s">
        <v>1330</v>
      </c>
      <c r="K411" s="17" t="s">
        <v>1330</v>
      </c>
      <c r="L411" s="17" t="s">
        <v>34</v>
      </c>
      <c r="M411" s="17" t="s">
        <v>1670</v>
      </c>
      <c r="N411" s="17" t="s">
        <v>1671</v>
      </c>
      <c r="O411" s="17" t="s">
        <v>1330</v>
      </c>
    </row>
    <row r="412" spans="1:15" hidden="1" x14ac:dyDescent="0.35">
      <c r="A412" s="17">
        <v>212</v>
      </c>
      <c r="B412" s="17" t="s">
        <v>102</v>
      </c>
      <c r="C412" s="17" t="s">
        <v>1681</v>
      </c>
      <c r="E412" s="41" t="s">
        <v>82</v>
      </c>
      <c r="F412" s="41" t="s">
        <v>622</v>
      </c>
      <c r="G412" s="17">
        <v>40.121590447606899</v>
      </c>
      <c r="H412" s="17">
        <v>16.109378</v>
      </c>
      <c r="I412" s="17" t="s">
        <v>1330</v>
      </c>
      <c r="J412" s="17" t="s">
        <v>1330</v>
      </c>
      <c r="K412" s="17" t="s">
        <v>1330</v>
      </c>
      <c r="L412" s="17" t="s">
        <v>51</v>
      </c>
      <c r="M412" s="17" t="s">
        <v>1682</v>
      </c>
      <c r="N412" s="17" t="s">
        <v>1683</v>
      </c>
      <c r="O412" s="17" t="s">
        <v>1330</v>
      </c>
    </row>
    <row r="413" spans="1:15" x14ac:dyDescent="0.35">
      <c r="A413" s="17">
        <v>785</v>
      </c>
      <c r="B413" s="17">
        <v>1</v>
      </c>
      <c r="C413" s="17" t="s">
        <v>1404</v>
      </c>
      <c r="E413" s="41" t="s">
        <v>45</v>
      </c>
      <c r="F413" s="41" t="s">
        <v>621</v>
      </c>
      <c r="G413" s="17">
        <v>39.550815</v>
      </c>
      <c r="H413" s="17">
        <v>-0.90502899999999997</v>
      </c>
      <c r="I413" s="17" t="s">
        <v>1330</v>
      </c>
      <c r="J413" s="17">
        <v>11685</v>
      </c>
      <c r="K413" s="17" t="s">
        <v>33</v>
      </c>
      <c r="L413" s="17" t="s">
        <v>51</v>
      </c>
      <c r="M413" s="17" t="s">
        <v>737</v>
      </c>
      <c r="N413" s="17" t="s">
        <v>1688</v>
      </c>
      <c r="O413" s="17" t="s">
        <v>1330</v>
      </c>
    </row>
    <row r="414" spans="1:15" x14ac:dyDescent="0.35">
      <c r="A414" s="17">
        <v>785</v>
      </c>
      <c r="B414" s="17">
        <v>2</v>
      </c>
      <c r="C414" s="17" t="s">
        <v>1396</v>
      </c>
      <c r="E414" s="41" t="s">
        <v>45</v>
      </c>
      <c r="F414" s="41" t="s">
        <v>621</v>
      </c>
      <c r="G414" s="17">
        <v>38.396206999999997</v>
      </c>
      <c r="H414" s="17">
        <v>-2.3128989999999998</v>
      </c>
      <c r="I414" s="17" t="s">
        <v>1330</v>
      </c>
      <c r="J414" s="17">
        <v>16373</v>
      </c>
      <c r="K414" s="17" t="s">
        <v>33</v>
      </c>
      <c r="L414" s="17" t="s">
        <v>51</v>
      </c>
      <c r="M414" s="17" t="s">
        <v>737</v>
      </c>
      <c r="N414" s="17" t="s">
        <v>1688</v>
      </c>
      <c r="O414" s="17" t="s">
        <v>1330</v>
      </c>
    </row>
    <row r="415" spans="1:15" x14ac:dyDescent="0.35">
      <c r="A415" s="17">
        <v>814</v>
      </c>
      <c r="B415" s="17">
        <v>1</v>
      </c>
      <c r="C415" s="17" t="s">
        <v>1344</v>
      </c>
      <c r="E415" s="41" t="s">
        <v>45</v>
      </c>
      <c r="F415" s="41" t="s">
        <v>620</v>
      </c>
      <c r="G415" s="17">
        <v>36.957222222222221</v>
      </c>
      <c r="H415" s="17">
        <v>-3.4633333333333334</v>
      </c>
      <c r="I415" s="17">
        <v>1566</v>
      </c>
      <c r="J415" s="17">
        <v>3427</v>
      </c>
      <c r="K415" s="17" t="s">
        <v>33</v>
      </c>
      <c r="L415" s="17" t="s">
        <v>34</v>
      </c>
      <c r="M415" s="17" t="s">
        <v>412</v>
      </c>
      <c r="N415" s="17" t="s">
        <v>1693</v>
      </c>
      <c r="O415" s="17" t="s">
        <v>1330</v>
      </c>
    </row>
    <row r="416" spans="1:15" x14ac:dyDescent="0.35">
      <c r="A416" s="17">
        <v>581</v>
      </c>
      <c r="B416" s="17">
        <v>1</v>
      </c>
      <c r="C416" s="17" t="s">
        <v>1706</v>
      </c>
      <c r="E416" s="41" t="s">
        <v>82</v>
      </c>
      <c r="F416" s="41" t="s">
        <v>620</v>
      </c>
      <c r="G416" s="17">
        <v>43.789444444444442</v>
      </c>
      <c r="H416" s="17">
        <v>10.664444444444445</v>
      </c>
      <c r="I416" s="17">
        <v>20</v>
      </c>
      <c r="J416" s="17">
        <v>3.3</v>
      </c>
      <c r="K416" s="17" t="s">
        <v>375</v>
      </c>
      <c r="L416" s="17" t="s">
        <v>34</v>
      </c>
      <c r="M416" s="17" t="s">
        <v>1089</v>
      </c>
      <c r="N416" s="17" t="s">
        <v>1707</v>
      </c>
      <c r="O416" s="17" t="s">
        <v>1330</v>
      </c>
    </row>
    <row r="417" spans="1:16" x14ac:dyDescent="0.35">
      <c r="A417" s="38">
        <v>452</v>
      </c>
      <c r="B417" s="38">
        <v>1</v>
      </c>
      <c r="C417" s="38" t="s">
        <v>1785</v>
      </c>
      <c r="D417" s="38"/>
      <c r="E417" s="38" t="s">
        <v>1786</v>
      </c>
      <c r="F417" s="38" t="s">
        <v>621</v>
      </c>
      <c r="G417" s="38">
        <v>42.29</v>
      </c>
      <c r="H417" s="38">
        <v>-6.51</v>
      </c>
      <c r="I417" s="38" t="s">
        <v>1330</v>
      </c>
      <c r="J417" s="38">
        <v>10000</v>
      </c>
      <c r="K417" s="38" t="s">
        <v>1101</v>
      </c>
      <c r="L417" s="38" t="s">
        <v>34</v>
      </c>
      <c r="M417" s="38" t="s">
        <v>1787</v>
      </c>
      <c r="N417" s="38" t="s">
        <v>1788</v>
      </c>
      <c r="O417" s="38" t="s">
        <v>1330</v>
      </c>
      <c r="P417" s="38" t="s">
        <v>1789</v>
      </c>
    </row>
    <row r="418" spans="1:16" x14ac:dyDescent="0.35">
      <c r="A418" s="38">
        <v>465</v>
      </c>
      <c r="B418" s="38">
        <v>1</v>
      </c>
      <c r="C418" s="38" t="s">
        <v>1790</v>
      </c>
      <c r="D418" s="38"/>
      <c r="E418" s="38" t="s">
        <v>37</v>
      </c>
      <c r="F418" s="38" t="s">
        <v>622</v>
      </c>
      <c r="G418" s="38">
        <v>39.73993351</v>
      </c>
      <c r="H418" s="38">
        <v>-7.8927074460000002</v>
      </c>
      <c r="I418" s="38" t="s">
        <v>1330</v>
      </c>
      <c r="J418" s="38">
        <v>14885</v>
      </c>
      <c r="K418" s="38" t="s">
        <v>102</v>
      </c>
      <c r="L418" s="38" t="s">
        <v>51</v>
      </c>
      <c r="M418" s="38" t="s">
        <v>38</v>
      </c>
      <c r="N418" s="40" t="s">
        <v>1330</v>
      </c>
      <c r="O418" s="38" t="s">
        <v>1330</v>
      </c>
      <c r="P418" s="38" t="s">
        <v>1791</v>
      </c>
    </row>
    <row r="419" spans="1:16" x14ac:dyDescent="0.35">
      <c r="A419" s="38">
        <v>465</v>
      </c>
      <c r="B419" s="38">
        <v>2</v>
      </c>
      <c r="C419" s="38" t="s">
        <v>1792</v>
      </c>
      <c r="D419" s="38"/>
      <c r="E419" s="38" t="s">
        <v>37</v>
      </c>
      <c r="F419" s="38" t="s">
        <v>622</v>
      </c>
      <c r="G419" s="38">
        <v>39.917592040000002</v>
      </c>
      <c r="H419" s="38">
        <v>-7.9166188709999998</v>
      </c>
      <c r="I419" s="38" t="s">
        <v>1330</v>
      </c>
      <c r="J419" s="38">
        <v>5592</v>
      </c>
      <c r="K419" s="38" t="s">
        <v>102</v>
      </c>
      <c r="L419" s="38" t="s">
        <v>51</v>
      </c>
      <c r="M419" s="38" t="s">
        <v>38</v>
      </c>
      <c r="N419" s="40" t="s">
        <v>1330</v>
      </c>
      <c r="O419" s="38" t="s">
        <v>1330</v>
      </c>
      <c r="P419" s="38" t="s">
        <v>1791</v>
      </c>
    </row>
    <row r="420" spans="1:16" x14ac:dyDescent="0.35">
      <c r="A420" s="38">
        <v>465</v>
      </c>
      <c r="B420" s="38">
        <v>3</v>
      </c>
      <c r="C420" s="38" t="s">
        <v>1793</v>
      </c>
      <c r="D420" s="38"/>
      <c r="E420" s="38" t="s">
        <v>37</v>
      </c>
      <c r="F420" s="38" t="s">
        <v>622</v>
      </c>
      <c r="G420" s="38">
        <v>37.313726269999997</v>
      </c>
      <c r="H420" s="38">
        <v>-8.5543086779999999</v>
      </c>
      <c r="I420" s="38" t="s">
        <v>1330</v>
      </c>
      <c r="J420" s="39">
        <v>6630</v>
      </c>
      <c r="K420" s="38" t="s">
        <v>102</v>
      </c>
      <c r="L420" s="38" t="s">
        <v>51</v>
      </c>
      <c r="M420" s="38" t="s">
        <v>1794</v>
      </c>
      <c r="N420" s="40" t="s">
        <v>1330</v>
      </c>
      <c r="O420" s="38" t="s">
        <v>1330</v>
      </c>
      <c r="P420" s="38" t="s">
        <v>1791</v>
      </c>
    </row>
    <row r="421" spans="1:16" x14ac:dyDescent="0.35">
      <c r="A421" s="38">
        <v>465</v>
      </c>
      <c r="B421" s="38">
        <v>4</v>
      </c>
      <c r="C421" s="38" t="s">
        <v>1795</v>
      </c>
      <c r="D421" s="38"/>
      <c r="E421" s="38" t="s">
        <v>1786</v>
      </c>
      <c r="F421" s="38" t="s">
        <v>622</v>
      </c>
      <c r="G421" s="38">
        <v>40.649537610000003</v>
      </c>
      <c r="H421" s="38">
        <v>-4.6982430610000003</v>
      </c>
      <c r="I421" s="38" t="s">
        <v>1330</v>
      </c>
      <c r="J421" s="39">
        <v>23078</v>
      </c>
      <c r="K421" s="38" t="s">
        <v>102</v>
      </c>
      <c r="L421" s="38" t="s">
        <v>51</v>
      </c>
      <c r="M421" s="38" t="s">
        <v>1796</v>
      </c>
      <c r="N421" s="40" t="s">
        <v>1330</v>
      </c>
      <c r="O421" s="38" t="s">
        <v>1330</v>
      </c>
      <c r="P421" s="38" t="s">
        <v>1791</v>
      </c>
    </row>
    <row r="422" spans="1:16" x14ac:dyDescent="0.35">
      <c r="A422" s="38">
        <v>465</v>
      </c>
      <c r="B422" s="38">
        <v>5</v>
      </c>
      <c r="C422" s="38" t="s">
        <v>1797</v>
      </c>
      <c r="D422" s="38"/>
      <c r="E422" s="38" t="s">
        <v>1786</v>
      </c>
      <c r="F422" s="38" t="s">
        <v>622</v>
      </c>
      <c r="G422" s="38">
        <v>37.488142519999997</v>
      </c>
      <c r="H422" s="38">
        <v>-7.0907243209999997</v>
      </c>
      <c r="I422" s="38" t="s">
        <v>1330</v>
      </c>
      <c r="J422" s="39">
        <v>16758</v>
      </c>
      <c r="K422" s="38" t="s">
        <v>102</v>
      </c>
      <c r="L422" s="38" t="s">
        <v>51</v>
      </c>
      <c r="M422" s="38" t="s">
        <v>38</v>
      </c>
      <c r="N422" s="40" t="s">
        <v>1330</v>
      </c>
      <c r="O422" s="38" t="s">
        <v>1330</v>
      </c>
      <c r="P422" s="38" t="s">
        <v>1791</v>
      </c>
    </row>
    <row r="423" spans="1:16" x14ac:dyDescent="0.35">
      <c r="A423" s="38">
        <v>465</v>
      </c>
      <c r="B423" s="38">
        <v>6</v>
      </c>
      <c r="C423" s="38" t="s">
        <v>1798</v>
      </c>
      <c r="D423" s="38"/>
      <c r="E423" s="38" t="s">
        <v>1786</v>
      </c>
      <c r="F423" s="38" t="s">
        <v>622</v>
      </c>
      <c r="G423" s="38">
        <v>36.789404959999999</v>
      </c>
      <c r="H423" s="38">
        <v>-4.4850676030000001</v>
      </c>
      <c r="I423" s="38" t="s">
        <v>1330</v>
      </c>
      <c r="J423" s="39">
        <v>9296</v>
      </c>
      <c r="K423" s="38" t="s">
        <v>102</v>
      </c>
      <c r="L423" s="38" t="s">
        <v>51</v>
      </c>
      <c r="M423" s="38" t="s">
        <v>38</v>
      </c>
      <c r="N423" s="40" t="s">
        <v>1330</v>
      </c>
      <c r="O423" s="38" t="s">
        <v>1330</v>
      </c>
      <c r="P423" s="38" t="s">
        <v>1791</v>
      </c>
    </row>
    <row r="424" spans="1:16" x14ac:dyDescent="0.35">
      <c r="A424" s="38">
        <v>496</v>
      </c>
      <c r="B424" s="38">
        <v>1</v>
      </c>
      <c r="C424" s="38" t="s">
        <v>1799</v>
      </c>
      <c r="D424" s="38"/>
      <c r="E424" s="38" t="s">
        <v>1786</v>
      </c>
      <c r="F424" s="38" t="s">
        <v>620</v>
      </c>
      <c r="G424" s="38">
        <v>36.513249999999999</v>
      </c>
      <c r="H424" s="38">
        <v>-5.1855799999999999</v>
      </c>
      <c r="I424" s="38" t="s">
        <v>1330</v>
      </c>
      <c r="J424" s="38">
        <v>9000</v>
      </c>
      <c r="K424" s="38" t="s">
        <v>1101</v>
      </c>
      <c r="L424" s="38" t="s">
        <v>34</v>
      </c>
      <c r="M424" s="38" t="s">
        <v>38</v>
      </c>
      <c r="N424" s="38" t="s">
        <v>1800</v>
      </c>
      <c r="O424" s="38" t="s">
        <v>1330</v>
      </c>
      <c r="P424" s="38" t="s">
        <v>1801</v>
      </c>
    </row>
    <row r="425" spans="1:16" x14ac:dyDescent="0.35">
      <c r="A425" s="38">
        <v>496</v>
      </c>
      <c r="B425" s="38">
        <v>2</v>
      </c>
      <c r="C425" s="38" t="s">
        <v>1802</v>
      </c>
      <c r="D425" s="38"/>
      <c r="E425" s="38" t="s">
        <v>1786</v>
      </c>
      <c r="F425" s="38" t="s">
        <v>622</v>
      </c>
      <c r="G425" s="38">
        <v>37.021470000000001</v>
      </c>
      <c r="H425" s="38">
        <v>-6.4783099999999996</v>
      </c>
      <c r="I425" s="38" t="s">
        <v>1330</v>
      </c>
      <c r="J425" s="38">
        <v>3</v>
      </c>
      <c r="K425" s="38" t="s">
        <v>1101</v>
      </c>
      <c r="L425" s="38" t="s">
        <v>34</v>
      </c>
      <c r="M425" s="38" t="s">
        <v>1803</v>
      </c>
      <c r="N425" s="40" t="s">
        <v>1330</v>
      </c>
      <c r="O425" s="38" t="s">
        <v>1330</v>
      </c>
      <c r="P425" s="38" t="s">
        <v>1804</v>
      </c>
    </row>
    <row r="426" spans="1:16" x14ac:dyDescent="0.35">
      <c r="A426" s="38">
        <v>496</v>
      </c>
      <c r="B426" s="38">
        <v>3</v>
      </c>
      <c r="C426" s="38" t="s">
        <v>1805</v>
      </c>
      <c r="D426" s="38"/>
      <c r="E426" s="38" t="s">
        <v>1786</v>
      </c>
      <c r="F426" s="38" t="s">
        <v>622</v>
      </c>
      <c r="G426" s="38">
        <v>37.366529999999997</v>
      </c>
      <c r="H426" s="38">
        <v>-7.22506</v>
      </c>
      <c r="I426" s="38" t="s">
        <v>1330</v>
      </c>
      <c r="J426" s="38">
        <v>4</v>
      </c>
      <c r="K426" s="38" t="s">
        <v>430</v>
      </c>
      <c r="L426" s="38" t="s">
        <v>34</v>
      </c>
      <c r="M426" s="38" t="s">
        <v>38</v>
      </c>
      <c r="N426" s="40" t="s">
        <v>1330</v>
      </c>
      <c r="O426" s="38" t="s">
        <v>1330</v>
      </c>
      <c r="P426" s="38" t="s">
        <v>1804</v>
      </c>
    </row>
    <row r="427" spans="1:16" x14ac:dyDescent="0.35">
      <c r="A427" s="38">
        <v>508</v>
      </c>
      <c r="B427" s="38">
        <v>1</v>
      </c>
      <c r="C427" s="38" t="s">
        <v>1806</v>
      </c>
      <c r="D427" s="38"/>
      <c r="E427" s="38" t="s">
        <v>1786</v>
      </c>
      <c r="F427" s="38" t="s">
        <v>621</v>
      </c>
      <c r="G427" s="38">
        <v>38.731389999999998</v>
      </c>
      <c r="H427" s="38">
        <v>-0.48166999999999999</v>
      </c>
      <c r="I427" s="38" t="s">
        <v>1330</v>
      </c>
      <c r="J427" s="38" t="s">
        <v>1330</v>
      </c>
      <c r="K427" s="38" t="s">
        <v>102</v>
      </c>
      <c r="L427" s="38" t="s">
        <v>34</v>
      </c>
      <c r="M427" s="38" t="s">
        <v>38</v>
      </c>
      <c r="N427" s="38" t="s">
        <v>1807</v>
      </c>
      <c r="O427" s="38" t="s">
        <v>1330</v>
      </c>
      <c r="P427" s="38" t="s">
        <v>1808</v>
      </c>
    </row>
    <row r="428" spans="1:16" hidden="1" x14ac:dyDescent="0.35">
      <c r="A428" s="38">
        <v>560</v>
      </c>
      <c r="B428" s="38">
        <v>1</v>
      </c>
      <c r="C428" s="38" t="s">
        <v>1343</v>
      </c>
      <c r="D428" s="38"/>
      <c r="E428" s="38" t="s">
        <v>1786</v>
      </c>
      <c r="F428" s="38" t="s">
        <v>622</v>
      </c>
      <c r="G428" s="38">
        <v>38.390430000000002</v>
      </c>
      <c r="H428" s="38">
        <v>-2.4174699999999998</v>
      </c>
      <c r="I428" s="38">
        <v>1000</v>
      </c>
      <c r="J428" s="38">
        <v>8</v>
      </c>
      <c r="K428" s="38" t="s">
        <v>1330</v>
      </c>
      <c r="L428" s="38" t="s">
        <v>34</v>
      </c>
      <c r="M428" s="38" t="s">
        <v>1809</v>
      </c>
      <c r="N428" s="38" t="s">
        <v>1810</v>
      </c>
      <c r="O428" s="38" t="s">
        <v>1330</v>
      </c>
      <c r="P428" s="38"/>
    </row>
    <row r="429" spans="1:16" hidden="1" x14ac:dyDescent="0.35">
      <c r="A429" s="38">
        <v>560</v>
      </c>
      <c r="B429" s="38">
        <v>2</v>
      </c>
      <c r="C429" s="38" t="s">
        <v>1343</v>
      </c>
      <c r="D429" s="38"/>
      <c r="E429" s="38" t="s">
        <v>1786</v>
      </c>
      <c r="F429" s="38" t="s">
        <v>622</v>
      </c>
      <c r="G429" s="38">
        <v>38.390430000000002</v>
      </c>
      <c r="H429" s="38">
        <v>-2.4174699999999998</v>
      </c>
      <c r="I429" s="38">
        <v>1300</v>
      </c>
      <c r="J429" s="38">
        <v>90</v>
      </c>
      <c r="K429" s="38" t="s">
        <v>1330</v>
      </c>
      <c r="L429" s="38" t="s">
        <v>34</v>
      </c>
      <c r="M429" s="38" t="s">
        <v>1809</v>
      </c>
      <c r="N429" s="38" t="s">
        <v>1811</v>
      </c>
      <c r="O429" s="38" t="s">
        <v>1330</v>
      </c>
      <c r="P429" s="38"/>
    </row>
    <row r="430" spans="1:16" hidden="1" x14ac:dyDescent="0.35">
      <c r="A430" s="38">
        <v>560</v>
      </c>
      <c r="B430" s="38">
        <v>3</v>
      </c>
      <c r="C430" s="38" t="s">
        <v>1812</v>
      </c>
      <c r="D430" s="38"/>
      <c r="E430" s="38" t="s">
        <v>1786</v>
      </c>
      <c r="F430" s="38" t="s">
        <v>622</v>
      </c>
      <c r="G430" s="38">
        <v>38.390430000000002</v>
      </c>
      <c r="H430" s="38">
        <v>-2.4174699999999998</v>
      </c>
      <c r="I430" s="38">
        <v>900</v>
      </c>
      <c r="J430" s="38">
        <v>1450</v>
      </c>
      <c r="K430" s="38" t="s">
        <v>1330</v>
      </c>
      <c r="L430" s="38" t="s">
        <v>34</v>
      </c>
      <c r="M430" s="38" t="s">
        <v>1809</v>
      </c>
      <c r="N430" s="38" t="s">
        <v>1813</v>
      </c>
      <c r="O430" s="38" t="s">
        <v>1330</v>
      </c>
      <c r="P430" s="38"/>
    </row>
    <row r="431" spans="1:16" hidden="1" x14ac:dyDescent="0.35">
      <c r="A431" s="38">
        <v>560</v>
      </c>
      <c r="B431" s="38">
        <v>4</v>
      </c>
      <c r="C431" s="38" t="s">
        <v>1812</v>
      </c>
      <c r="D431" s="38"/>
      <c r="E431" s="38" t="s">
        <v>1786</v>
      </c>
      <c r="F431" s="38" t="s">
        <v>622</v>
      </c>
      <c r="G431" s="38">
        <v>38.390430000000002</v>
      </c>
      <c r="H431" s="38">
        <v>-2.4174699999999998</v>
      </c>
      <c r="I431" s="38">
        <v>1200</v>
      </c>
      <c r="J431" s="38">
        <v>300</v>
      </c>
      <c r="K431" s="38" t="s">
        <v>1330</v>
      </c>
      <c r="L431" s="38" t="s">
        <v>34</v>
      </c>
      <c r="M431" s="38" t="s">
        <v>1809</v>
      </c>
      <c r="N431" s="38" t="s">
        <v>1810</v>
      </c>
      <c r="O431" s="38" t="s">
        <v>1330</v>
      </c>
      <c r="P431" s="38"/>
    </row>
    <row r="432" spans="1:16" hidden="1" x14ac:dyDescent="0.35">
      <c r="A432" s="38">
        <v>560</v>
      </c>
      <c r="B432" s="38">
        <v>5</v>
      </c>
      <c r="C432" s="38" t="s">
        <v>1814</v>
      </c>
      <c r="D432" s="38"/>
      <c r="E432" s="38" t="s">
        <v>1786</v>
      </c>
      <c r="F432" s="38" t="s">
        <v>622</v>
      </c>
      <c r="G432" s="38">
        <v>38.390430000000002</v>
      </c>
      <c r="H432" s="38">
        <v>-2.4174699999999998</v>
      </c>
      <c r="I432" s="38">
        <v>1000</v>
      </c>
      <c r="J432" s="38">
        <v>36</v>
      </c>
      <c r="K432" s="38" t="s">
        <v>1330</v>
      </c>
      <c r="L432" s="38" t="s">
        <v>34</v>
      </c>
      <c r="M432" s="38" t="s">
        <v>1809</v>
      </c>
      <c r="N432" s="38" t="s">
        <v>1815</v>
      </c>
      <c r="O432" s="38" t="s">
        <v>1330</v>
      </c>
      <c r="P432" s="38"/>
    </row>
    <row r="433" spans="1:16" hidden="1" x14ac:dyDescent="0.35">
      <c r="A433" s="38">
        <v>560</v>
      </c>
      <c r="B433" s="38">
        <v>6</v>
      </c>
      <c r="C433" s="38" t="s">
        <v>1816</v>
      </c>
      <c r="D433" s="38"/>
      <c r="E433" s="38" t="s">
        <v>1786</v>
      </c>
      <c r="F433" s="38" t="s">
        <v>622</v>
      </c>
      <c r="G433" s="38">
        <v>38.390430000000002</v>
      </c>
      <c r="H433" s="38">
        <v>-2.4174699999999998</v>
      </c>
      <c r="I433" s="38">
        <v>1300</v>
      </c>
      <c r="J433" s="38">
        <v>370</v>
      </c>
      <c r="K433" s="38" t="s">
        <v>1330</v>
      </c>
      <c r="L433" s="38" t="s">
        <v>34</v>
      </c>
      <c r="M433" s="38" t="s">
        <v>1809</v>
      </c>
      <c r="N433" s="38" t="s">
        <v>1811</v>
      </c>
      <c r="O433" s="38" t="s">
        <v>1330</v>
      </c>
      <c r="P433" s="38"/>
    </row>
    <row r="434" spans="1:16" hidden="1" x14ac:dyDescent="0.35">
      <c r="A434" s="38">
        <v>560</v>
      </c>
      <c r="B434" s="38">
        <v>7</v>
      </c>
      <c r="C434" s="38" t="s">
        <v>1817</v>
      </c>
      <c r="D434" s="38"/>
      <c r="E434" s="38" t="s">
        <v>1786</v>
      </c>
      <c r="F434" s="38" t="s">
        <v>622</v>
      </c>
      <c r="G434" s="38">
        <v>38.390430000000002</v>
      </c>
      <c r="H434" s="38">
        <v>-2.4174699999999998</v>
      </c>
      <c r="I434" s="38">
        <v>1100</v>
      </c>
      <c r="J434" s="38">
        <v>478</v>
      </c>
      <c r="K434" s="38" t="s">
        <v>1330</v>
      </c>
      <c r="L434" s="38" t="s">
        <v>34</v>
      </c>
      <c r="M434" s="38" t="s">
        <v>1809</v>
      </c>
      <c r="N434" s="38" t="s">
        <v>1818</v>
      </c>
      <c r="O434" s="38" t="s">
        <v>1330</v>
      </c>
      <c r="P434" s="38"/>
    </row>
    <row r="435" spans="1:16" hidden="1" x14ac:dyDescent="0.35">
      <c r="A435" s="38">
        <v>560</v>
      </c>
      <c r="B435" s="38">
        <v>8</v>
      </c>
      <c r="C435" s="38" t="s">
        <v>1819</v>
      </c>
      <c r="D435" s="38"/>
      <c r="E435" s="38" t="s">
        <v>1786</v>
      </c>
      <c r="F435" s="38" t="s">
        <v>622</v>
      </c>
      <c r="G435" s="38">
        <v>38.390430000000002</v>
      </c>
      <c r="H435" s="38">
        <v>-2.4174699999999998</v>
      </c>
      <c r="I435" s="38">
        <v>1100</v>
      </c>
      <c r="J435" s="38">
        <v>263</v>
      </c>
      <c r="K435" s="38" t="s">
        <v>1330</v>
      </c>
      <c r="L435" s="38" t="s">
        <v>34</v>
      </c>
      <c r="M435" s="38" t="s">
        <v>1809</v>
      </c>
      <c r="N435" s="38" t="s">
        <v>1820</v>
      </c>
      <c r="O435" s="38" t="s">
        <v>1330</v>
      </c>
      <c r="P435" s="38"/>
    </row>
    <row r="436" spans="1:16" hidden="1" x14ac:dyDescent="0.35">
      <c r="A436" s="38">
        <v>620</v>
      </c>
      <c r="B436" s="38">
        <v>1</v>
      </c>
      <c r="C436" s="38">
        <v>1986</v>
      </c>
      <c r="D436" s="38"/>
      <c r="E436" s="38" t="s">
        <v>1786</v>
      </c>
      <c r="F436" s="38" t="s">
        <v>622</v>
      </c>
      <c r="G436" s="38">
        <v>38.013939999999998</v>
      </c>
      <c r="H436" s="38">
        <v>-2.8724699999999999</v>
      </c>
      <c r="I436" s="38" t="s">
        <v>1330</v>
      </c>
      <c r="J436" s="38">
        <v>1000</v>
      </c>
      <c r="K436" s="38" t="s">
        <v>1330</v>
      </c>
      <c r="L436" s="38" t="s">
        <v>34</v>
      </c>
      <c r="M436" s="38" t="s">
        <v>1089</v>
      </c>
      <c r="N436" s="38" t="s">
        <v>1821</v>
      </c>
      <c r="O436" s="38" t="s">
        <v>48</v>
      </c>
      <c r="P436" s="38" t="s">
        <v>1822</v>
      </c>
    </row>
    <row r="437" spans="1:16" x14ac:dyDescent="0.35">
      <c r="A437" s="38">
        <v>629</v>
      </c>
      <c r="B437" s="38">
        <v>1</v>
      </c>
      <c r="C437" s="38" t="s">
        <v>1344</v>
      </c>
      <c r="D437" s="38"/>
      <c r="E437" s="38" t="s">
        <v>1786</v>
      </c>
      <c r="F437" s="38" t="s">
        <v>621</v>
      </c>
      <c r="G437" s="38">
        <v>36.964350000000003</v>
      </c>
      <c r="H437" s="38">
        <v>-3.4914299999999998</v>
      </c>
      <c r="I437" s="38" t="s">
        <v>1330</v>
      </c>
      <c r="J437" s="38">
        <v>1300</v>
      </c>
      <c r="K437" s="38" t="s">
        <v>432</v>
      </c>
      <c r="L437" s="38" t="s">
        <v>34</v>
      </c>
      <c r="M437" s="38" t="s">
        <v>1823</v>
      </c>
      <c r="N437" s="38" t="s">
        <v>1824</v>
      </c>
      <c r="O437" s="38" t="s">
        <v>44</v>
      </c>
      <c r="P437" s="38" t="s">
        <v>1825</v>
      </c>
    </row>
    <row r="438" spans="1:16" x14ac:dyDescent="0.35">
      <c r="A438" s="38">
        <v>630</v>
      </c>
      <c r="B438" s="38">
        <v>1</v>
      </c>
      <c r="C438" s="38" t="s">
        <v>1344</v>
      </c>
      <c r="D438" s="38"/>
      <c r="E438" s="38" t="s">
        <v>1786</v>
      </c>
      <c r="F438" s="38" t="s">
        <v>621</v>
      </c>
      <c r="G438" s="38">
        <v>36.952330000000003</v>
      </c>
      <c r="H438" s="38">
        <v>-3.4927600000000001</v>
      </c>
      <c r="I438" s="38" t="s">
        <v>1330</v>
      </c>
      <c r="J438" s="38">
        <v>40</v>
      </c>
      <c r="K438" s="38" t="s">
        <v>33</v>
      </c>
      <c r="L438" s="38" t="s">
        <v>34</v>
      </c>
      <c r="M438" s="38" t="s">
        <v>1823</v>
      </c>
      <c r="N438" s="38" t="s">
        <v>1826</v>
      </c>
      <c r="O438" s="38" t="s">
        <v>44</v>
      </c>
      <c r="P438" s="38" t="s">
        <v>1827</v>
      </c>
    </row>
    <row r="439" spans="1:16" x14ac:dyDescent="0.35">
      <c r="A439" s="38">
        <v>640</v>
      </c>
      <c r="B439" s="38">
        <v>1</v>
      </c>
      <c r="C439" s="38" t="s">
        <v>1345</v>
      </c>
      <c r="D439" s="38"/>
      <c r="E439" s="38" t="s">
        <v>1786</v>
      </c>
      <c r="F439" s="38" t="s">
        <v>622</v>
      </c>
      <c r="G439" s="38">
        <v>42.421140000000001</v>
      </c>
      <c r="H439" s="38">
        <v>2.8623500000000002</v>
      </c>
      <c r="I439" s="38">
        <v>263</v>
      </c>
      <c r="J439" s="38">
        <v>13088</v>
      </c>
      <c r="K439" s="38" t="s">
        <v>33</v>
      </c>
      <c r="L439" s="38" t="s">
        <v>51</v>
      </c>
      <c r="M439" s="38" t="s">
        <v>1828</v>
      </c>
      <c r="N439" s="40" t="s">
        <v>1330</v>
      </c>
      <c r="O439" s="38" t="s">
        <v>433</v>
      </c>
      <c r="P439" s="38"/>
    </row>
    <row r="440" spans="1:16" x14ac:dyDescent="0.35">
      <c r="A440" s="38">
        <v>640</v>
      </c>
      <c r="B440" s="38">
        <v>2</v>
      </c>
      <c r="C440" s="38" t="s">
        <v>1829</v>
      </c>
      <c r="D440" s="38"/>
      <c r="E440" s="38" t="s">
        <v>1786</v>
      </c>
      <c r="F440" s="38" t="s">
        <v>622</v>
      </c>
      <c r="G440" s="38">
        <v>41.002200000000002</v>
      </c>
      <c r="H440" s="38">
        <v>0.59424999999999994</v>
      </c>
      <c r="I440" s="38">
        <v>348</v>
      </c>
      <c r="J440" s="38">
        <v>3082</v>
      </c>
      <c r="K440" s="38" t="s">
        <v>33</v>
      </c>
      <c r="L440" s="38" t="s">
        <v>51</v>
      </c>
      <c r="M440" s="38" t="s">
        <v>1830</v>
      </c>
      <c r="N440" s="40" t="s">
        <v>1330</v>
      </c>
      <c r="O440" s="38" t="s">
        <v>433</v>
      </c>
      <c r="P440" s="38"/>
    </row>
    <row r="441" spans="1:16" x14ac:dyDescent="0.35">
      <c r="A441" s="38">
        <v>640</v>
      </c>
      <c r="B441" s="38">
        <v>3</v>
      </c>
      <c r="C441" s="38" t="s">
        <v>1831</v>
      </c>
      <c r="D441" s="38"/>
      <c r="E441" s="38" t="s">
        <v>1786</v>
      </c>
      <c r="F441" s="38" t="s">
        <v>622</v>
      </c>
      <c r="G441" s="38">
        <v>42.412860000000002</v>
      </c>
      <c r="H441" s="38">
        <v>1.8437300000000001</v>
      </c>
      <c r="I441" s="38">
        <v>1672</v>
      </c>
      <c r="J441" s="38">
        <v>250</v>
      </c>
      <c r="K441" s="38" t="s">
        <v>33</v>
      </c>
      <c r="L441" s="38" t="s">
        <v>51</v>
      </c>
      <c r="M441" s="38" t="s">
        <v>1830</v>
      </c>
      <c r="N441" s="40" t="s">
        <v>1330</v>
      </c>
      <c r="O441" s="38" t="s">
        <v>433</v>
      </c>
      <c r="P441" s="38"/>
    </row>
    <row r="442" spans="1:16" x14ac:dyDescent="0.35">
      <c r="A442" s="38">
        <v>640</v>
      </c>
      <c r="B442" s="38">
        <v>4</v>
      </c>
      <c r="C442" s="38" t="s">
        <v>1832</v>
      </c>
      <c r="D442" s="38"/>
      <c r="E442" s="38" t="s">
        <v>1786</v>
      </c>
      <c r="F442" s="38" t="s">
        <v>622</v>
      </c>
      <c r="G442" s="38">
        <v>42.370060000000002</v>
      </c>
      <c r="H442" s="38">
        <v>0.81245999999999996</v>
      </c>
      <c r="I442" s="38">
        <v>1300</v>
      </c>
      <c r="J442" s="38">
        <v>214</v>
      </c>
      <c r="K442" s="38" t="s">
        <v>33</v>
      </c>
      <c r="L442" s="38" t="s">
        <v>51</v>
      </c>
      <c r="M442" s="38" t="s">
        <v>1828</v>
      </c>
      <c r="N442" s="40" t="s">
        <v>1330</v>
      </c>
      <c r="O442" s="38" t="s">
        <v>433</v>
      </c>
      <c r="P442" s="38"/>
    </row>
    <row r="443" spans="1:16" x14ac:dyDescent="0.35">
      <c r="A443" s="38">
        <v>700</v>
      </c>
      <c r="B443" s="38">
        <v>1</v>
      </c>
      <c r="C443" s="38" t="s">
        <v>1520</v>
      </c>
      <c r="D443" s="38"/>
      <c r="E443" s="38" t="s">
        <v>1786</v>
      </c>
      <c r="F443" s="38" t="s">
        <v>620</v>
      </c>
      <c r="G443" s="38">
        <v>42.833329999999997</v>
      </c>
      <c r="H443" s="38">
        <v>-5.1666699999999999</v>
      </c>
      <c r="I443" s="38">
        <v>1200</v>
      </c>
      <c r="J443" s="38">
        <v>13</v>
      </c>
      <c r="K443" s="38" t="s">
        <v>73</v>
      </c>
      <c r="L443" s="38" t="s">
        <v>34</v>
      </c>
      <c r="M443" s="38" t="s">
        <v>76</v>
      </c>
      <c r="N443" s="38" t="s">
        <v>1833</v>
      </c>
      <c r="O443" s="38" t="s">
        <v>1330</v>
      </c>
      <c r="P443" s="38"/>
    </row>
    <row r="444" spans="1:16" hidden="1" x14ac:dyDescent="0.35">
      <c r="A444" s="38">
        <v>706</v>
      </c>
      <c r="B444" s="38">
        <v>1</v>
      </c>
      <c r="C444" s="38" t="s">
        <v>1834</v>
      </c>
      <c r="D444" s="38"/>
      <c r="E444" s="38" t="s">
        <v>1786</v>
      </c>
      <c r="F444" s="38" t="s">
        <v>622</v>
      </c>
      <c r="G444" s="38">
        <v>41.314340000000001</v>
      </c>
      <c r="H444" s="38">
        <v>1.91232</v>
      </c>
      <c r="I444" s="38" t="s">
        <v>1330</v>
      </c>
      <c r="J444" s="38">
        <v>7000</v>
      </c>
      <c r="K444" s="38" t="s">
        <v>1330</v>
      </c>
      <c r="L444" s="38" t="s">
        <v>34</v>
      </c>
      <c r="M444" s="38" t="s">
        <v>1835</v>
      </c>
      <c r="N444" s="38" t="s">
        <v>1836</v>
      </c>
      <c r="O444" s="38" t="s">
        <v>1330</v>
      </c>
      <c r="P444" s="38"/>
    </row>
    <row r="445" spans="1:16" hidden="1" x14ac:dyDescent="0.35">
      <c r="A445" s="38">
        <v>706</v>
      </c>
      <c r="B445" s="38">
        <v>2</v>
      </c>
      <c r="C445" s="38" t="s">
        <v>1837</v>
      </c>
      <c r="D445" s="38"/>
      <c r="E445" s="38" t="s">
        <v>1786</v>
      </c>
      <c r="F445" s="38" t="s">
        <v>622</v>
      </c>
      <c r="G445" s="38">
        <v>41.314340000000001</v>
      </c>
      <c r="H445" s="38">
        <v>1.91232</v>
      </c>
      <c r="I445" s="38" t="s">
        <v>1330</v>
      </c>
      <c r="J445" s="38">
        <v>4800</v>
      </c>
      <c r="K445" s="38" t="s">
        <v>1330</v>
      </c>
      <c r="L445" s="38" t="s">
        <v>51</v>
      </c>
      <c r="M445" s="38" t="s">
        <v>1835</v>
      </c>
      <c r="N445" s="38" t="s">
        <v>1836</v>
      </c>
      <c r="O445" s="38" t="s">
        <v>1330</v>
      </c>
      <c r="P445" s="38" t="s">
        <v>1838</v>
      </c>
    </row>
    <row r="446" spans="1:16" x14ac:dyDescent="0.35">
      <c r="A446" s="38">
        <v>720</v>
      </c>
      <c r="B446" s="38">
        <v>1</v>
      </c>
      <c r="C446" s="38" t="s">
        <v>1839</v>
      </c>
      <c r="D446" s="38"/>
      <c r="E446" s="38" t="s">
        <v>1786</v>
      </c>
      <c r="F446" s="38" t="s">
        <v>622</v>
      </c>
      <c r="G446" s="38">
        <v>42.2926</v>
      </c>
      <c r="H446" s="38">
        <v>-0.40253</v>
      </c>
      <c r="I446" s="38" t="s">
        <v>1330</v>
      </c>
      <c r="J446" s="38">
        <v>500</v>
      </c>
      <c r="K446" s="38" t="s">
        <v>102</v>
      </c>
      <c r="L446" s="38" t="s">
        <v>34</v>
      </c>
      <c r="M446" s="38" t="s">
        <v>76</v>
      </c>
      <c r="N446" s="38" t="s">
        <v>408</v>
      </c>
      <c r="O446" s="38" t="s">
        <v>1330</v>
      </c>
      <c r="P446" s="38"/>
    </row>
    <row r="447" spans="1:16" x14ac:dyDescent="0.35">
      <c r="A447" s="38">
        <v>720</v>
      </c>
      <c r="B447" s="38">
        <v>2</v>
      </c>
      <c r="C447" s="38" t="s">
        <v>1840</v>
      </c>
      <c r="D447" s="38"/>
      <c r="E447" s="38" t="s">
        <v>1786</v>
      </c>
      <c r="F447" s="38" t="s">
        <v>622</v>
      </c>
      <c r="G447" s="38">
        <v>42.498139999999999</v>
      </c>
      <c r="H447" s="38">
        <v>0.44028</v>
      </c>
      <c r="I447" s="38" t="s">
        <v>1330</v>
      </c>
      <c r="J447" s="38">
        <v>1800</v>
      </c>
      <c r="K447" s="38" t="s">
        <v>375</v>
      </c>
      <c r="L447" s="38" t="s">
        <v>34</v>
      </c>
      <c r="M447" s="38" t="s">
        <v>1841</v>
      </c>
      <c r="N447" s="38" t="s">
        <v>1842</v>
      </c>
      <c r="O447" s="38" t="s">
        <v>1330</v>
      </c>
      <c r="P447" s="38"/>
    </row>
    <row r="448" spans="1:16" x14ac:dyDescent="0.35">
      <c r="A448" s="38">
        <v>720</v>
      </c>
      <c r="B448" s="38">
        <v>3</v>
      </c>
      <c r="C448" s="38">
        <v>1995</v>
      </c>
      <c r="D448" s="38"/>
      <c r="E448" s="38" t="s">
        <v>1786</v>
      </c>
      <c r="F448" s="38" t="s">
        <v>622</v>
      </c>
      <c r="G448" s="38">
        <v>41.95337</v>
      </c>
      <c r="H448" s="38">
        <v>-0.91478000000000004</v>
      </c>
      <c r="I448" s="38" t="s">
        <v>1330</v>
      </c>
      <c r="J448" s="38">
        <v>3000</v>
      </c>
      <c r="K448" s="38" t="s">
        <v>375</v>
      </c>
      <c r="L448" s="38" t="s">
        <v>34</v>
      </c>
      <c r="M448" s="38" t="s">
        <v>76</v>
      </c>
      <c r="N448" s="38" t="s">
        <v>408</v>
      </c>
      <c r="O448" s="38" t="s">
        <v>1330</v>
      </c>
      <c r="P448" s="38"/>
    </row>
    <row r="449" spans="1:16" x14ac:dyDescent="0.35">
      <c r="A449" s="38">
        <v>720</v>
      </c>
      <c r="B449" s="38">
        <v>4</v>
      </c>
      <c r="C449" s="38" t="s">
        <v>1525</v>
      </c>
      <c r="D449" s="38"/>
      <c r="E449" s="38" t="s">
        <v>1786</v>
      </c>
      <c r="F449" s="38" t="s">
        <v>622</v>
      </c>
      <c r="G449" s="38">
        <v>40.682110000000002</v>
      </c>
      <c r="H449" s="38">
        <v>-0.69969999999999999</v>
      </c>
      <c r="I449" s="38" t="s">
        <v>1330</v>
      </c>
      <c r="J449" s="38">
        <v>6300</v>
      </c>
      <c r="K449" s="38" t="s">
        <v>375</v>
      </c>
      <c r="L449" s="38" t="s">
        <v>34</v>
      </c>
      <c r="M449" s="38" t="s">
        <v>76</v>
      </c>
      <c r="N449" s="38" t="s">
        <v>408</v>
      </c>
      <c r="O449" s="38" t="s">
        <v>1330</v>
      </c>
      <c r="P449" s="38"/>
    </row>
    <row r="450" spans="1:16" hidden="1" x14ac:dyDescent="0.35">
      <c r="A450" s="38">
        <v>748</v>
      </c>
      <c r="B450" s="38">
        <v>1</v>
      </c>
      <c r="C450" s="38" t="s">
        <v>1785</v>
      </c>
      <c r="D450" s="38"/>
      <c r="E450" s="38" t="s">
        <v>1843</v>
      </c>
      <c r="F450" s="38" t="s">
        <v>622</v>
      </c>
      <c r="G450" s="38">
        <v>40.682110000000002</v>
      </c>
      <c r="H450" s="38">
        <v>-0.69969999999999999</v>
      </c>
      <c r="I450" s="38">
        <v>215</v>
      </c>
      <c r="J450" s="38" t="s">
        <v>1330</v>
      </c>
      <c r="K450" s="38" t="s">
        <v>430</v>
      </c>
      <c r="L450" s="38" t="s">
        <v>34</v>
      </c>
      <c r="M450" s="38" t="s">
        <v>38</v>
      </c>
      <c r="N450" s="38" t="s">
        <v>1844</v>
      </c>
      <c r="O450" s="38" t="s">
        <v>1330</v>
      </c>
      <c r="P450" s="38"/>
    </row>
    <row r="451" spans="1:16" x14ac:dyDescent="0.35">
      <c r="A451" s="38">
        <v>756</v>
      </c>
      <c r="B451" s="38">
        <v>1</v>
      </c>
      <c r="C451" s="38">
        <v>2001</v>
      </c>
      <c r="D451" s="38"/>
      <c r="E451" s="38" t="s">
        <v>45</v>
      </c>
      <c r="F451" s="38" t="s">
        <v>622</v>
      </c>
      <c r="G451" s="38">
        <v>41.525669999999998</v>
      </c>
      <c r="H451" s="38">
        <v>1.7488300000000001</v>
      </c>
      <c r="I451" s="38" t="s">
        <v>1330</v>
      </c>
      <c r="J451" s="40">
        <v>50</v>
      </c>
      <c r="K451" s="38" t="s">
        <v>33</v>
      </c>
      <c r="L451" s="38" t="s">
        <v>34</v>
      </c>
      <c r="M451" s="38" t="s">
        <v>38</v>
      </c>
      <c r="N451" s="38" t="s">
        <v>1845</v>
      </c>
      <c r="O451" s="38" t="s">
        <v>1330</v>
      </c>
      <c r="P451" s="38"/>
    </row>
    <row r="452" spans="1:16" x14ac:dyDescent="0.35">
      <c r="A452" s="38">
        <v>756</v>
      </c>
      <c r="B452" s="38">
        <v>2</v>
      </c>
      <c r="C452" s="38">
        <v>2000</v>
      </c>
      <c r="D452" s="38"/>
      <c r="E452" s="38" t="s">
        <v>45</v>
      </c>
      <c r="F452" s="38" t="s">
        <v>622</v>
      </c>
      <c r="G452" s="38">
        <v>42.319980000000001</v>
      </c>
      <c r="H452" s="38">
        <v>3.31582</v>
      </c>
      <c r="I452" s="38" t="s">
        <v>1330</v>
      </c>
      <c r="J452" s="40">
        <v>5800</v>
      </c>
      <c r="K452" s="38" t="s">
        <v>33</v>
      </c>
      <c r="L452" s="38" t="s">
        <v>34</v>
      </c>
      <c r="M452" s="38" t="s">
        <v>38</v>
      </c>
      <c r="N452" s="38" t="s">
        <v>1845</v>
      </c>
      <c r="O452" s="38" t="s">
        <v>1330</v>
      </c>
      <c r="P452" s="38"/>
    </row>
    <row r="453" spans="1:16" hidden="1" x14ac:dyDescent="0.35">
      <c r="A453" s="38">
        <v>756</v>
      </c>
      <c r="B453" s="38">
        <v>3</v>
      </c>
      <c r="C453" s="38">
        <v>1994</v>
      </c>
      <c r="D453" s="38"/>
      <c r="E453" s="38" t="s">
        <v>45</v>
      </c>
      <c r="F453" s="38" t="s">
        <v>622</v>
      </c>
      <c r="G453" s="38">
        <v>41.732010000000002</v>
      </c>
      <c r="H453" s="38">
        <v>2.4988100000000002</v>
      </c>
      <c r="I453" s="38" t="s">
        <v>1330</v>
      </c>
      <c r="J453" s="40">
        <v>9049</v>
      </c>
      <c r="K453" s="38" t="s">
        <v>1330</v>
      </c>
      <c r="L453" s="38" t="s">
        <v>34</v>
      </c>
      <c r="M453" s="38" t="s">
        <v>76</v>
      </c>
      <c r="N453" s="38" t="s">
        <v>1846</v>
      </c>
      <c r="O453" s="38" t="s">
        <v>1330</v>
      </c>
      <c r="P453" s="38"/>
    </row>
    <row r="454" spans="1:16" hidden="1" x14ac:dyDescent="0.35">
      <c r="A454" s="38">
        <v>756</v>
      </c>
      <c r="B454" s="38">
        <v>4</v>
      </c>
      <c r="C454" s="38">
        <v>1994</v>
      </c>
      <c r="D454" s="38"/>
      <c r="E454" s="38" t="s">
        <v>45</v>
      </c>
      <c r="F454" s="38" t="s">
        <v>622</v>
      </c>
      <c r="G454" s="38">
        <v>41.491970000000002</v>
      </c>
      <c r="H454" s="38">
        <v>2.2577500000000001</v>
      </c>
      <c r="I454" s="38" t="s">
        <v>1330</v>
      </c>
      <c r="J454" s="40">
        <v>914</v>
      </c>
      <c r="K454" s="38" t="s">
        <v>1330</v>
      </c>
      <c r="L454" s="38" t="s">
        <v>34</v>
      </c>
      <c r="M454" s="38" t="s">
        <v>1847</v>
      </c>
      <c r="N454" s="38" t="s">
        <v>1848</v>
      </c>
      <c r="O454" s="38" t="s">
        <v>1330</v>
      </c>
      <c r="P454" s="38"/>
    </row>
    <row r="455" spans="1:16" hidden="1" x14ac:dyDescent="0.35">
      <c r="A455" s="38">
        <v>756</v>
      </c>
      <c r="B455" s="38">
        <v>5</v>
      </c>
      <c r="C455" s="38">
        <v>1986</v>
      </c>
      <c r="D455" s="38"/>
      <c r="E455" s="38" t="s">
        <v>45</v>
      </c>
      <c r="F455" s="38" t="s">
        <v>622</v>
      </c>
      <c r="G455" s="38">
        <v>42.380600000000001</v>
      </c>
      <c r="H455" s="38">
        <v>3.03335</v>
      </c>
      <c r="I455" s="38" t="s">
        <v>1330</v>
      </c>
      <c r="J455" s="40">
        <v>6033</v>
      </c>
      <c r="K455" s="38" t="s">
        <v>1330</v>
      </c>
      <c r="L455" s="38" t="s">
        <v>34</v>
      </c>
      <c r="M455" s="38" t="s">
        <v>38</v>
      </c>
      <c r="N455" s="38" t="s">
        <v>1849</v>
      </c>
      <c r="O455" s="38" t="s">
        <v>1330</v>
      </c>
      <c r="P455" s="38"/>
    </row>
    <row r="456" spans="1:16" hidden="1" x14ac:dyDescent="0.35">
      <c r="A456" s="38">
        <v>756</v>
      </c>
      <c r="B456" s="38">
        <v>6</v>
      </c>
      <c r="C456" s="38">
        <v>1984</v>
      </c>
      <c r="D456" s="38"/>
      <c r="E456" s="38" t="s">
        <v>45</v>
      </c>
      <c r="F456" s="38" t="s">
        <v>622</v>
      </c>
      <c r="G456" s="38">
        <v>41.697499999999998</v>
      </c>
      <c r="H456" s="38">
        <v>2.7105999999999999</v>
      </c>
      <c r="I456" s="38" t="s">
        <v>1330</v>
      </c>
      <c r="J456" s="40">
        <v>700</v>
      </c>
      <c r="K456" s="38" t="s">
        <v>1330</v>
      </c>
      <c r="L456" s="38" t="s">
        <v>34</v>
      </c>
      <c r="M456" s="38" t="s">
        <v>38</v>
      </c>
      <c r="N456" s="38" t="s">
        <v>1850</v>
      </c>
      <c r="O456" s="38" t="s">
        <v>1330</v>
      </c>
      <c r="P456" s="38"/>
    </row>
    <row r="457" spans="1:16" hidden="1" x14ac:dyDescent="0.35">
      <c r="A457" s="38">
        <v>756</v>
      </c>
      <c r="B457" s="38">
        <v>7</v>
      </c>
      <c r="C457" s="38">
        <v>1983</v>
      </c>
      <c r="D457" s="38"/>
      <c r="E457" s="38" t="s">
        <v>45</v>
      </c>
      <c r="F457" s="38" t="s">
        <v>622</v>
      </c>
      <c r="G457" s="38">
        <v>41.878050000000002</v>
      </c>
      <c r="H457" s="38">
        <v>2.2789799999999998</v>
      </c>
      <c r="I457" s="38" t="s">
        <v>1330</v>
      </c>
      <c r="J457" s="40">
        <v>1242</v>
      </c>
      <c r="K457" s="38" t="s">
        <v>1330</v>
      </c>
      <c r="L457" s="38" t="s">
        <v>34</v>
      </c>
      <c r="M457" s="38" t="s">
        <v>1847</v>
      </c>
      <c r="N457" s="38" t="s">
        <v>1851</v>
      </c>
      <c r="O457" s="38" t="s">
        <v>1330</v>
      </c>
      <c r="P457" s="38"/>
    </row>
    <row r="458" spans="1:16" hidden="1" x14ac:dyDescent="0.35">
      <c r="A458" s="38">
        <v>756</v>
      </c>
      <c r="B458" s="38">
        <v>8</v>
      </c>
      <c r="C458" s="38">
        <v>1979</v>
      </c>
      <c r="D458" s="38"/>
      <c r="E458" s="38" t="s">
        <v>45</v>
      </c>
      <c r="F458" s="38" t="s">
        <v>622</v>
      </c>
      <c r="G458" s="38">
        <v>41.814239999999998</v>
      </c>
      <c r="H458" s="38">
        <v>2.7890100000000002</v>
      </c>
      <c r="I458" s="38" t="s">
        <v>1330</v>
      </c>
      <c r="J458" s="40">
        <v>103</v>
      </c>
      <c r="K458" s="38" t="s">
        <v>1330</v>
      </c>
      <c r="L458" s="38" t="s">
        <v>34</v>
      </c>
      <c r="M458" s="38" t="s">
        <v>1847</v>
      </c>
      <c r="N458" s="38" t="s">
        <v>1852</v>
      </c>
      <c r="O458" s="38" t="s">
        <v>1330</v>
      </c>
      <c r="P458" s="38"/>
    </row>
    <row r="459" spans="1:16" hidden="1" x14ac:dyDescent="0.35">
      <c r="A459" s="38">
        <v>767</v>
      </c>
      <c r="B459" s="38">
        <v>1</v>
      </c>
      <c r="C459" s="38" t="s">
        <v>1853</v>
      </c>
      <c r="D459" s="38"/>
      <c r="E459" s="38" t="s">
        <v>72</v>
      </c>
      <c r="F459" s="38" t="s">
        <v>622</v>
      </c>
      <c r="G459" s="38">
        <v>34.789490000000001</v>
      </c>
      <c r="H459" s="38">
        <v>-1.4350400000000001</v>
      </c>
      <c r="I459" s="38" t="s">
        <v>1330</v>
      </c>
      <c r="J459" s="38">
        <v>90</v>
      </c>
      <c r="K459" s="38" t="s">
        <v>33</v>
      </c>
      <c r="L459" s="38" t="s">
        <v>34</v>
      </c>
      <c r="M459" s="38" t="s">
        <v>76</v>
      </c>
      <c r="N459" s="38" t="s">
        <v>1854</v>
      </c>
      <c r="O459" s="38" t="s">
        <v>1330</v>
      </c>
      <c r="P459" s="38"/>
    </row>
    <row r="460" spans="1:16" hidden="1" x14ac:dyDescent="0.35">
      <c r="A460" s="38">
        <v>769</v>
      </c>
      <c r="B460" s="38">
        <v>1</v>
      </c>
      <c r="C460" s="38" t="s">
        <v>1831</v>
      </c>
      <c r="D460" s="38"/>
      <c r="E460" s="38" t="s">
        <v>72</v>
      </c>
      <c r="F460" s="38" t="s">
        <v>622</v>
      </c>
      <c r="G460" s="38">
        <v>36.73818</v>
      </c>
      <c r="H460" s="38">
        <v>7.9867299999999997</v>
      </c>
      <c r="I460" s="38" t="s">
        <v>1330</v>
      </c>
      <c r="J460" s="38" t="s">
        <v>1330</v>
      </c>
      <c r="K460" s="38" t="s">
        <v>33</v>
      </c>
      <c r="L460" s="38" t="s">
        <v>51</v>
      </c>
      <c r="M460" s="38" t="s">
        <v>1855</v>
      </c>
      <c r="N460" s="38" t="s">
        <v>1856</v>
      </c>
      <c r="O460" s="38" t="s">
        <v>433</v>
      </c>
      <c r="P460" s="38" t="s">
        <v>1857</v>
      </c>
    </row>
    <row r="461" spans="1:16" x14ac:dyDescent="0.35">
      <c r="A461" s="38">
        <v>798</v>
      </c>
      <c r="B461" s="38">
        <v>1</v>
      </c>
      <c r="C461" s="38" t="s">
        <v>1785</v>
      </c>
      <c r="D461" s="38"/>
      <c r="E461" s="38" t="s">
        <v>82</v>
      </c>
      <c r="F461" s="38" t="s">
        <v>620</v>
      </c>
      <c r="G461" s="38">
        <v>40.647550000000003</v>
      </c>
      <c r="H461" s="38">
        <v>14.505879999999999</v>
      </c>
      <c r="I461" s="38">
        <v>1200</v>
      </c>
      <c r="J461" s="38" t="s">
        <v>1330</v>
      </c>
      <c r="K461" s="38" t="s">
        <v>33</v>
      </c>
      <c r="L461" s="38" t="s">
        <v>34</v>
      </c>
      <c r="M461" s="38" t="s">
        <v>1858</v>
      </c>
      <c r="N461" s="38" t="s">
        <v>1859</v>
      </c>
      <c r="O461" s="38" t="s">
        <v>433</v>
      </c>
      <c r="P461" s="38" t="s">
        <v>1860</v>
      </c>
    </row>
    <row r="462" spans="1:16" x14ac:dyDescent="0.35">
      <c r="A462" s="38">
        <v>800</v>
      </c>
      <c r="B462" s="38">
        <v>1</v>
      </c>
      <c r="C462" s="38" t="s">
        <v>1345</v>
      </c>
      <c r="D462" s="38"/>
      <c r="E462" s="38" t="s">
        <v>45</v>
      </c>
      <c r="F462" s="38" t="s">
        <v>620</v>
      </c>
      <c r="G462" s="38">
        <v>38.429600000000001</v>
      </c>
      <c r="H462" s="38">
        <v>-1.75912</v>
      </c>
      <c r="I462" s="38" t="s">
        <v>1330</v>
      </c>
      <c r="J462" s="38">
        <v>6870</v>
      </c>
      <c r="K462" s="38" t="s">
        <v>102</v>
      </c>
      <c r="L462" s="38" t="s">
        <v>34</v>
      </c>
      <c r="M462" s="38" t="s">
        <v>38</v>
      </c>
      <c r="N462" s="38" t="s">
        <v>1861</v>
      </c>
      <c r="O462" s="38" t="s">
        <v>730</v>
      </c>
      <c r="P462" s="38"/>
    </row>
    <row r="463" spans="1:16" x14ac:dyDescent="0.35">
      <c r="A463" s="38">
        <v>817</v>
      </c>
      <c r="B463" s="38">
        <v>1</v>
      </c>
      <c r="C463" s="38" t="s">
        <v>1352</v>
      </c>
      <c r="D463" s="38"/>
      <c r="E463" s="38" t="s">
        <v>82</v>
      </c>
      <c r="F463" s="38" t="s">
        <v>622</v>
      </c>
      <c r="G463" s="38">
        <v>41.553170000000001</v>
      </c>
      <c r="H463" s="38">
        <v>13.77732</v>
      </c>
      <c r="I463" s="38" t="s">
        <v>1330</v>
      </c>
      <c r="J463" s="38">
        <v>154</v>
      </c>
      <c r="K463" s="38" t="s">
        <v>33</v>
      </c>
      <c r="L463" s="38" t="s">
        <v>34</v>
      </c>
      <c r="M463" s="38" t="s">
        <v>38</v>
      </c>
      <c r="N463" s="38" t="s">
        <v>1862</v>
      </c>
      <c r="O463" s="38" t="s">
        <v>433</v>
      </c>
      <c r="P463" s="38" t="s">
        <v>1863</v>
      </c>
    </row>
    <row r="464" spans="1:16" hidden="1" x14ac:dyDescent="0.35">
      <c r="A464" s="38">
        <v>819</v>
      </c>
      <c r="B464" s="38">
        <v>90</v>
      </c>
      <c r="C464" s="38" t="s">
        <v>1866</v>
      </c>
      <c r="D464" s="38"/>
      <c r="E464" s="38" t="s">
        <v>72</v>
      </c>
      <c r="F464" s="38" t="s">
        <v>620</v>
      </c>
      <c r="G464" s="38">
        <v>35.045830000000002</v>
      </c>
      <c r="H464" s="38">
        <v>-0.52083000000000002</v>
      </c>
      <c r="I464" s="38" t="s">
        <v>1330</v>
      </c>
      <c r="J464" s="38" t="s">
        <v>1330</v>
      </c>
      <c r="K464" s="38" t="s">
        <v>102</v>
      </c>
      <c r="L464" s="38" t="s">
        <v>51</v>
      </c>
      <c r="M464" s="38"/>
      <c r="N464" s="38" t="s">
        <v>1864</v>
      </c>
      <c r="O464" s="38" t="s">
        <v>1330</v>
      </c>
      <c r="P464" s="38" t="s">
        <v>1865</v>
      </c>
    </row>
    <row r="465" spans="1:16" x14ac:dyDescent="0.35">
      <c r="A465" s="17">
        <v>400</v>
      </c>
      <c r="B465" s="17">
        <v>1</v>
      </c>
      <c r="C465" s="17" t="s">
        <v>2206</v>
      </c>
      <c r="D465" s="17" t="s">
        <v>405</v>
      </c>
      <c r="E465" s="41" t="s">
        <v>45</v>
      </c>
      <c r="F465" s="41" t="s">
        <v>620</v>
      </c>
      <c r="G465" s="17">
        <v>42.47</v>
      </c>
      <c r="H465" s="17">
        <v>-7.3</v>
      </c>
      <c r="I465" s="17">
        <v>470</v>
      </c>
      <c r="J465" s="17" t="s">
        <v>2046</v>
      </c>
      <c r="K465" s="17" t="s">
        <v>430</v>
      </c>
      <c r="L465" s="17" t="s">
        <v>34</v>
      </c>
      <c r="M465" s="17" t="s">
        <v>38</v>
      </c>
      <c r="N465" s="17" t="s">
        <v>2047</v>
      </c>
      <c r="O465" s="17" t="s">
        <v>1330</v>
      </c>
      <c r="P465" s="17" t="s">
        <v>2048</v>
      </c>
    </row>
    <row r="466" spans="1:16" x14ac:dyDescent="0.35">
      <c r="A466" s="17">
        <v>406</v>
      </c>
      <c r="B466" s="17">
        <v>1</v>
      </c>
      <c r="C466" s="17" t="s">
        <v>2207</v>
      </c>
      <c r="D466" s="17" t="s">
        <v>404</v>
      </c>
      <c r="E466" s="41" t="s">
        <v>45</v>
      </c>
      <c r="F466" s="41" t="s">
        <v>622</v>
      </c>
      <c r="G466" s="17">
        <v>37.880000000000003</v>
      </c>
      <c r="H466" s="17">
        <v>-6.68</v>
      </c>
      <c r="I466" s="17">
        <v>836</v>
      </c>
      <c r="J466" s="17" t="s">
        <v>1330</v>
      </c>
      <c r="K466" s="17" t="s">
        <v>33</v>
      </c>
      <c r="L466" s="17" t="s">
        <v>34</v>
      </c>
      <c r="M466" s="17" t="s">
        <v>1330</v>
      </c>
      <c r="N466" s="17" t="s">
        <v>2213</v>
      </c>
      <c r="O466" s="17" t="s">
        <v>1330</v>
      </c>
    </row>
    <row r="467" spans="1:16" x14ac:dyDescent="0.35">
      <c r="A467" s="17">
        <v>406</v>
      </c>
      <c r="B467" s="17">
        <v>2</v>
      </c>
      <c r="C467" s="17" t="s">
        <v>2208</v>
      </c>
      <c r="D467" s="17" t="s">
        <v>404</v>
      </c>
      <c r="E467" s="41" t="s">
        <v>45</v>
      </c>
      <c r="F467" s="41" t="s">
        <v>622</v>
      </c>
      <c r="G467" s="17">
        <v>37.72</v>
      </c>
      <c r="H467" s="17">
        <v>-6.55</v>
      </c>
      <c r="I467" s="17">
        <v>472</v>
      </c>
      <c r="J467" s="17" t="s">
        <v>1330</v>
      </c>
      <c r="K467" s="17" t="s">
        <v>33</v>
      </c>
      <c r="L467" s="17" t="s">
        <v>34</v>
      </c>
      <c r="M467" s="17" t="s">
        <v>38</v>
      </c>
      <c r="N467" s="17" t="s">
        <v>1845</v>
      </c>
      <c r="O467" s="17" t="s">
        <v>1330</v>
      </c>
    </row>
    <row r="468" spans="1:16" hidden="1" x14ac:dyDescent="0.35">
      <c r="A468" s="17">
        <v>406</v>
      </c>
      <c r="B468" s="17">
        <v>3</v>
      </c>
      <c r="C468" s="17" t="s">
        <v>2209</v>
      </c>
      <c r="D468" s="17" t="s">
        <v>404</v>
      </c>
      <c r="E468" s="41" t="s">
        <v>45</v>
      </c>
      <c r="F468" s="41" t="s">
        <v>622</v>
      </c>
      <c r="G468" s="17">
        <v>38.15</v>
      </c>
      <c r="H468" s="17">
        <v>-2.78</v>
      </c>
      <c r="I468" s="17">
        <v>736</v>
      </c>
      <c r="J468" s="17" t="s">
        <v>1330</v>
      </c>
      <c r="K468" s="17" t="s">
        <v>1330</v>
      </c>
      <c r="L468" s="17" t="s">
        <v>34</v>
      </c>
      <c r="M468" s="17" t="s">
        <v>38</v>
      </c>
      <c r="N468" s="17" t="s">
        <v>1845</v>
      </c>
      <c r="O468" s="17" t="s">
        <v>1330</v>
      </c>
    </row>
    <row r="469" spans="1:16" hidden="1" x14ac:dyDescent="0.35">
      <c r="A469" s="17">
        <v>406</v>
      </c>
      <c r="B469" s="17">
        <v>4</v>
      </c>
      <c r="C469" s="17" t="s">
        <v>2210</v>
      </c>
      <c r="D469" s="17" t="s">
        <v>404</v>
      </c>
      <c r="E469" s="41" t="s">
        <v>45</v>
      </c>
      <c r="F469" s="41" t="s">
        <v>622</v>
      </c>
      <c r="G469" s="17">
        <v>37.57</v>
      </c>
      <c r="H469" s="17">
        <v>-6.34</v>
      </c>
      <c r="I469" s="17">
        <v>244</v>
      </c>
      <c r="J469" s="17" t="s">
        <v>1330</v>
      </c>
      <c r="K469" s="17" t="s">
        <v>1330</v>
      </c>
      <c r="L469" s="17" t="s">
        <v>51</v>
      </c>
      <c r="M469" s="17" t="s">
        <v>1089</v>
      </c>
      <c r="N469" s="17" t="s">
        <v>2049</v>
      </c>
      <c r="O469" s="17" t="s">
        <v>1330</v>
      </c>
      <c r="P469" s="17" t="s">
        <v>2050</v>
      </c>
    </row>
    <row r="470" spans="1:16" x14ac:dyDescent="0.35">
      <c r="A470" s="17">
        <v>441</v>
      </c>
      <c r="B470" s="17">
        <v>1</v>
      </c>
      <c r="C470" s="17" t="s">
        <v>2211</v>
      </c>
      <c r="D470" s="17" t="s">
        <v>1330</v>
      </c>
      <c r="E470" s="41" t="s">
        <v>45</v>
      </c>
      <c r="F470" s="41" t="s">
        <v>622</v>
      </c>
      <c r="G470" s="17">
        <v>38.700000000000003</v>
      </c>
      <c r="H470" s="17">
        <v>-4.0167000000000002</v>
      </c>
      <c r="I470" s="17">
        <v>750</v>
      </c>
      <c r="J470" s="17" t="s">
        <v>1330</v>
      </c>
      <c r="K470" s="17" t="s">
        <v>430</v>
      </c>
      <c r="L470" s="17" t="s">
        <v>51</v>
      </c>
      <c r="M470" s="17" t="s">
        <v>75</v>
      </c>
      <c r="N470" s="17" t="s">
        <v>408</v>
      </c>
      <c r="O470" s="17" t="s">
        <v>1330</v>
      </c>
      <c r="P470" s="17" t="s">
        <v>2051</v>
      </c>
    </row>
    <row r="471" spans="1:16" x14ac:dyDescent="0.35">
      <c r="A471" s="17">
        <v>441</v>
      </c>
      <c r="B471" s="17">
        <v>2</v>
      </c>
      <c r="C471" s="17" t="s">
        <v>2206</v>
      </c>
      <c r="D471" s="17" t="s">
        <v>1330</v>
      </c>
      <c r="E471" s="41" t="s">
        <v>45</v>
      </c>
      <c r="F471" s="41" t="s">
        <v>622</v>
      </c>
      <c r="G471" s="17">
        <v>38.700000000000003</v>
      </c>
      <c r="H471" s="17">
        <v>-4.0167000000000002</v>
      </c>
      <c r="I471" s="17">
        <v>750</v>
      </c>
      <c r="J471" s="17" t="s">
        <v>1330</v>
      </c>
      <c r="K471" s="17" t="s">
        <v>430</v>
      </c>
      <c r="L471" s="17" t="s">
        <v>51</v>
      </c>
      <c r="M471" s="17" t="s">
        <v>75</v>
      </c>
      <c r="N471" s="17" t="s">
        <v>408</v>
      </c>
      <c r="O471" s="17" t="s">
        <v>1330</v>
      </c>
      <c r="P471" s="17" t="s">
        <v>2052</v>
      </c>
    </row>
    <row r="472" spans="1:16" x14ac:dyDescent="0.35">
      <c r="A472" s="17">
        <v>441</v>
      </c>
      <c r="B472" s="17">
        <v>3</v>
      </c>
      <c r="C472" s="17" t="s">
        <v>2209</v>
      </c>
      <c r="D472" s="17" t="s">
        <v>1330</v>
      </c>
      <c r="E472" s="41" t="s">
        <v>45</v>
      </c>
      <c r="F472" s="41" t="s">
        <v>622</v>
      </c>
      <c r="G472" s="17">
        <v>38.700000000000003</v>
      </c>
      <c r="H472" s="17">
        <v>-4.0167000000000002</v>
      </c>
      <c r="I472" s="17">
        <v>750</v>
      </c>
      <c r="J472" s="17" t="s">
        <v>1330</v>
      </c>
      <c r="K472" s="17" t="s">
        <v>430</v>
      </c>
      <c r="L472" s="17" t="s">
        <v>51</v>
      </c>
      <c r="M472" s="17" t="s">
        <v>75</v>
      </c>
      <c r="N472" s="17" t="s">
        <v>408</v>
      </c>
      <c r="O472" s="17" t="s">
        <v>1330</v>
      </c>
      <c r="P472" s="17" t="s">
        <v>2053</v>
      </c>
    </row>
    <row r="473" spans="1:16" x14ac:dyDescent="0.35">
      <c r="A473" s="17">
        <v>441</v>
      </c>
      <c r="B473" s="17">
        <v>4</v>
      </c>
      <c r="C473" s="17" t="s">
        <v>2212</v>
      </c>
      <c r="D473" s="17" t="s">
        <v>1330</v>
      </c>
      <c r="E473" s="41" t="s">
        <v>45</v>
      </c>
      <c r="F473" s="41" t="s">
        <v>622</v>
      </c>
      <c r="G473" s="17">
        <v>38.700000000000003</v>
      </c>
      <c r="H473" s="17">
        <v>-4.0167000000000002</v>
      </c>
      <c r="I473" s="17">
        <v>750</v>
      </c>
      <c r="J473" s="17" t="s">
        <v>1330</v>
      </c>
      <c r="K473" s="17" t="s">
        <v>430</v>
      </c>
      <c r="L473" s="17" t="s">
        <v>51</v>
      </c>
      <c r="M473" s="17" t="s">
        <v>75</v>
      </c>
      <c r="N473" s="17" t="s">
        <v>408</v>
      </c>
      <c r="O473" s="17" t="s">
        <v>1330</v>
      </c>
    </row>
    <row r="474" spans="1:16" x14ac:dyDescent="0.35">
      <c r="A474" s="17">
        <v>446</v>
      </c>
      <c r="B474" s="17">
        <v>1</v>
      </c>
      <c r="C474" s="41" t="s">
        <v>1379</v>
      </c>
      <c r="D474" s="17" t="s">
        <v>404</v>
      </c>
      <c r="E474" s="41" t="s">
        <v>45</v>
      </c>
      <c r="F474" s="41" t="s">
        <v>620</v>
      </c>
      <c r="G474" s="17">
        <v>38.737499999999997</v>
      </c>
      <c r="H474" s="17">
        <v>-0.74880000000000002</v>
      </c>
      <c r="I474" s="17">
        <v>940</v>
      </c>
      <c r="J474" s="17">
        <v>862</v>
      </c>
      <c r="K474" s="17" t="s">
        <v>432</v>
      </c>
      <c r="L474" s="17" t="s">
        <v>34</v>
      </c>
      <c r="M474" s="17" t="s">
        <v>38</v>
      </c>
      <c r="N474" s="17" t="s">
        <v>2054</v>
      </c>
      <c r="O474" s="17" t="s">
        <v>44</v>
      </c>
    </row>
    <row r="475" spans="1:16" hidden="1" x14ac:dyDescent="0.35">
      <c r="A475" s="17">
        <v>449</v>
      </c>
      <c r="B475" s="17">
        <v>1</v>
      </c>
      <c r="C475" s="17" t="s">
        <v>2055</v>
      </c>
      <c r="D475" s="17" t="s">
        <v>404</v>
      </c>
      <c r="E475" s="41" t="s">
        <v>45</v>
      </c>
      <c r="F475" s="41" t="s">
        <v>622</v>
      </c>
      <c r="G475" s="17">
        <v>41.701345000000003</v>
      </c>
      <c r="H475" s="17">
        <v>2.027603</v>
      </c>
      <c r="I475" s="17" t="s">
        <v>1330</v>
      </c>
      <c r="J475" s="17">
        <v>4543</v>
      </c>
      <c r="K475" s="17" t="s">
        <v>1330</v>
      </c>
      <c r="L475" s="17" t="s">
        <v>34</v>
      </c>
      <c r="M475" s="17" t="s">
        <v>2056</v>
      </c>
      <c r="N475" s="17" t="s">
        <v>2057</v>
      </c>
      <c r="O475" s="17" t="s">
        <v>1330</v>
      </c>
      <c r="P475" s="17" t="s">
        <v>2058</v>
      </c>
    </row>
    <row r="476" spans="1:16" hidden="1" x14ac:dyDescent="0.35">
      <c r="A476" s="17">
        <v>50</v>
      </c>
      <c r="B476" s="17">
        <v>1</v>
      </c>
      <c r="C476" s="17" t="s">
        <v>1397</v>
      </c>
      <c r="E476" s="41" t="s">
        <v>74</v>
      </c>
      <c r="F476" s="41" t="s">
        <v>620</v>
      </c>
      <c r="G476" s="17">
        <v>32.7333</v>
      </c>
      <c r="H476" s="17">
        <v>35.0167</v>
      </c>
      <c r="I476" s="17">
        <v>320</v>
      </c>
      <c r="J476" s="17" t="s">
        <v>1330</v>
      </c>
      <c r="K476" s="17" t="s">
        <v>1330</v>
      </c>
      <c r="L476" s="17" t="s">
        <v>34</v>
      </c>
      <c r="M476" s="17" t="s">
        <v>38</v>
      </c>
      <c r="N476" s="17" t="s">
        <v>2150</v>
      </c>
      <c r="O476" s="17" t="s">
        <v>44</v>
      </c>
    </row>
    <row r="477" spans="1:16" hidden="1" x14ac:dyDescent="0.35">
      <c r="A477" s="17">
        <v>68</v>
      </c>
      <c r="B477" s="17" t="s">
        <v>102</v>
      </c>
      <c r="C477" s="17" t="s">
        <v>2151</v>
      </c>
      <c r="E477" s="41" t="s">
        <v>45</v>
      </c>
      <c r="F477" s="41" t="s">
        <v>621</v>
      </c>
      <c r="G477" s="16">
        <v>41.583300000000001</v>
      </c>
      <c r="H477" s="17">
        <v>1.75</v>
      </c>
      <c r="I477" s="17" t="s">
        <v>1330</v>
      </c>
      <c r="J477" s="17" t="s">
        <v>1330</v>
      </c>
      <c r="K477" s="17" t="s">
        <v>1330</v>
      </c>
      <c r="L477" s="17" t="s">
        <v>51</v>
      </c>
      <c r="M477" s="17" t="s">
        <v>2152</v>
      </c>
      <c r="N477" s="17" t="s">
        <v>2153</v>
      </c>
      <c r="O477" s="17" t="s">
        <v>1330</v>
      </c>
    </row>
    <row r="478" spans="1:16" hidden="1" x14ac:dyDescent="0.35">
      <c r="A478" s="17">
        <v>147</v>
      </c>
      <c r="B478" s="17">
        <v>1</v>
      </c>
      <c r="C478" s="17" t="s">
        <v>2154</v>
      </c>
      <c r="E478" s="41" t="s">
        <v>86</v>
      </c>
      <c r="F478" s="41" t="s">
        <v>620</v>
      </c>
      <c r="G478" s="17">
        <v>43.72</v>
      </c>
      <c r="H478" s="17">
        <v>4.9400000000000004</v>
      </c>
      <c r="I478" s="17">
        <v>240</v>
      </c>
      <c r="J478" s="17">
        <v>750</v>
      </c>
      <c r="K478" s="17" t="s">
        <v>1330</v>
      </c>
      <c r="L478" s="17" t="s">
        <v>34</v>
      </c>
      <c r="M478" s="17" t="s">
        <v>38</v>
      </c>
      <c r="N478" s="17" t="s">
        <v>2155</v>
      </c>
      <c r="O478" s="17" t="s">
        <v>730</v>
      </c>
    </row>
    <row r="479" spans="1:16" hidden="1" x14ac:dyDescent="0.35">
      <c r="A479" s="17">
        <v>147</v>
      </c>
      <c r="B479" s="17">
        <v>2</v>
      </c>
      <c r="C479" s="17" t="s">
        <v>1387</v>
      </c>
      <c r="E479" s="41" t="s">
        <v>86</v>
      </c>
      <c r="F479" s="41" t="s">
        <v>620</v>
      </c>
      <c r="G479" s="17">
        <v>43.77</v>
      </c>
      <c r="H479" s="17">
        <v>4.7699999999999996</v>
      </c>
      <c r="I479" s="17">
        <v>125</v>
      </c>
      <c r="J479" s="17">
        <v>233</v>
      </c>
      <c r="K479" s="17" t="s">
        <v>1330</v>
      </c>
      <c r="L479" s="17" t="s">
        <v>34</v>
      </c>
      <c r="M479" s="17" t="s">
        <v>38</v>
      </c>
      <c r="N479" s="17" t="s">
        <v>2155</v>
      </c>
      <c r="O479" s="17" t="s">
        <v>730</v>
      </c>
    </row>
    <row r="480" spans="1:16" hidden="1" x14ac:dyDescent="0.35">
      <c r="A480" s="17">
        <v>147</v>
      </c>
      <c r="B480" s="17">
        <v>3</v>
      </c>
      <c r="C480" s="17" t="s">
        <v>1388</v>
      </c>
      <c r="E480" s="41" t="s">
        <v>86</v>
      </c>
      <c r="F480" s="41" t="s">
        <v>620</v>
      </c>
      <c r="G480" s="17">
        <v>43.75</v>
      </c>
      <c r="H480" s="17">
        <v>5.01</v>
      </c>
      <c r="I480" s="17">
        <v>285</v>
      </c>
      <c r="J480" s="17">
        <v>1450</v>
      </c>
      <c r="K480" s="17" t="s">
        <v>1330</v>
      </c>
      <c r="L480" s="17" t="s">
        <v>34</v>
      </c>
      <c r="M480" s="17" t="s">
        <v>38</v>
      </c>
      <c r="N480" s="17" t="s">
        <v>2155</v>
      </c>
      <c r="O480" s="17" t="s">
        <v>730</v>
      </c>
    </row>
    <row r="481" spans="1:16" hidden="1" x14ac:dyDescent="0.35">
      <c r="A481" s="17">
        <v>147</v>
      </c>
      <c r="B481" s="17">
        <v>4</v>
      </c>
      <c r="C481" s="17" t="s">
        <v>1389</v>
      </c>
      <c r="E481" s="41" t="s">
        <v>86</v>
      </c>
      <c r="F481" s="41" t="s">
        <v>620</v>
      </c>
      <c r="G481" s="17">
        <v>43.76</v>
      </c>
      <c r="H481" s="17">
        <v>4.71</v>
      </c>
      <c r="I481" s="17">
        <v>125</v>
      </c>
      <c r="J481" s="17">
        <v>25</v>
      </c>
      <c r="K481" s="17" t="s">
        <v>1330</v>
      </c>
      <c r="L481" s="17" t="s">
        <v>34</v>
      </c>
      <c r="M481" s="17" t="s">
        <v>38</v>
      </c>
      <c r="N481" s="17" t="s">
        <v>2155</v>
      </c>
      <c r="O481" s="17" t="s">
        <v>433</v>
      </c>
    </row>
    <row r="482" spans="1:16" hidden="1" x14ac:dyDescent="0.35">
      <c r="A482" s="17">
        <v>147</v>
      </c>
      <c r="B482" s="17">
        <v>5</v>
      </c>
      <c r="C482" s="17" t="s">
        <v>1390</v>
      </c>
      <c r="E482" s="41" t="s">
        <v>86</v>
      </c>
      <c r="F482" s="41" t="s">
        <v>620</v>
      </c>
      <c r="G482" s="17">
        <v>43.74</v>
      </c>
      <c r="H482" s="17">
        <v>4.76</v>
      </c>
      <c r="I482" s="17">
        <v>120</v>
      </c>
      <c r="J482" s="17">
        <v>110</v>
      </c>
      <c r="K482" s="17" t="s">
        <v>1330</v>
      </c>
      <c r="L482" s="17" t="s">
        <v>34</v>
      </c>
      <c r="M482" s="17" t="s">
        <v>38</v>
      </c>
      <c r="N482" s="17" t="s">
        <v>2155</v>
      </c>
      <c r="O482" s="17" t="s">
        <v>433</v>
      </c>
    </row>
    <row r="483" spans="1:16" hidden="1" x14ac:dyDescent="0.35">
      <c r="A483" s="17">
        <v>147</v>
      </c>
      <c r="B483" s="17">
        <v>6</v>
      </c>
      <c r="C483" s="17">
        <f>2010-50</f>
        <v>1960</v>
      </c>
      <c r="E483" s="41" t="s">
        <v>86</v>
      </c>
      <c r="F483" s="41" t="s">
        <v>620</v>
      </c>
      <c r="G483" s="17">
        <v>43.88</v>
      </c>
      <c r="H483" s="17">
        <v>4.0599999999999996</v>
      </c>
      <c r="I483" s="17">
        <v>92.5</v>
      </c>
      <c r="J483" s="17" t="s">
        <v>1330</v>
      </c>
      <c r="K483" s="17" t="s">
        <v>1330</v>
      </c>
      <c r="L483" s="17" t="s">
        <v>34</v>
      </c>
      <c r="M483" s="17" t="s">
        <v>38</v>
      </c>
      <c r="N483" s="17" t="s">
        <v>2155</v>
      </c>
      <c r="O483" s="17" t="s">
        <v>433</v>
      </c>
      <c r="P483" s="17" t="s">
        <v>2156</v>
      </c>
    </row>
    <row r="484" spans="1:16" hidden="1" x14ac:dyDescent="0.35">
      <c r="A484" s="17">
        <v>147</v>
      </c>
      <c r="B484" s="17">
        <v>7</v>
      </c>
      <c r="C484" s="17">
        <f>2010-75</f>
        <v>1935</v>
      </c>
      <c r="E484" s="41" t="s">
        <v>86</v>
      </c>
      <c r="F484" s="41" t="s">
        <v>620</v>
      </c>
      <c r="G484" s="17">
        <v>43.84</v>
      </c>
      <c r="H484" s="17">
        <v>4.03</v>
      </c>
      <c r="I484" s="17">
        <v>145.5</v>
      </c>
      <c r="J484" s="17" t="s">
        <v>1330</v>
      </c>
      <c r="K484" s="17" t="s">
        <v>1330</v>
      </c>
      <c r="L484" s="17" t="s">
        <v>34</v>
      </c>
      <c r="M484" s="17" t="s">
        <v>38</v>
      </c>
      <c r="N484" s="17" t="s">
        <v>2155</v>
      </c>
      <c r="O484" s="17" t="s">
        <v>433</v>
      </c>
      <c r="P484" s="17" t="s">
        <v>2156</v>
      </c>
    </row>
    <row r="485" spans="1:16" hidden="1" x14ac:dyDescent="0.35">
      <c r="A485" s="17">
        <v>147</v>
      </c>
      <c r="B485" s="17">
        <v>8</v>
      </c>
      <c r="C485" s="17">
        <f>2010-85</f>
        <v>1925</v>
      </c>
      <c r="E485" s="41" t="s">
        <v>86</v>
      </c>
      <c r="F485" s="41" t="s">
        <v>620</v>
      </c>
      <c r="G485" s="17">
        <v>43.49</v>
      </c>
      <c r="H485" s="17">
        <v>5.96</v>
      </c>
      <c r="I485" s="17">
        <v>306</v>
      </c>
      <c r="J485" s="17" t="s">
        <v>1330</v>
      </c>
      <c r="K485" s="17" t="s">
        <v>1330</v>
      </c>
      <c r="L485" s="17" t="s">
        <v>34</v>
      </c>
      <c r="M485" s="17" t="s">
        <v>38</v>
      </c>
      <c r="N485" s="17" t="s">
        <v>2155</v>
      </c>
      <c r="O485" s="17" t="s">
        <v>433</v>
      </c>
      <c r="P485" s="17" t="s">
        <v>2156</v>
      </c>
    </row>
    <row r="486" spans="1:16" hidden="1" x14ac:dyDescent="0.35">
      <c r="A486" s="17">
        <v>147</v>
      </c>
      <c r="B486" s="17">
        <v>9</v>
      </c>
      <c r="C486" s="17">
        <f>2010-90</f>
        <v>1920</v>
      </c>
      <c r="E486" s="41" t="s">
        <v>86</v>
      </c>
      <c r="F486" s="41" t="s">
        <v>620</v>
      </c>
      <c r="G486" s="17">
        <v>43.64</v>
      </c>
      <c r="H486" s="17">
        <v>5.87</v>
      </c>
      <c r="I486" s="17">
        <v>412.5</v>
      </c>
      <c r="J486" s="17" t="s">
        <v>1330</v>
      </c>
      <c r="K486" s="17" t="s">
        <v>1330</v>
      </c>
      <c r="L486" s="17" t="s">
        <v>34</v>
      </c>
      <c r="M486" s="17" t="s">
        <v>38</v>
      </c>
      <c r="N486" s="17" t="s">
        <v>2155</v>
      </c>
      <c r="O486" s="17" t="s">
        <v>433</v>
      </c>
      <c r="P486" s="17" t="s">
        <v>2156</v>
      </c>
    </row>
    <row r="487" spans="1:16" hidden="1" x14ac:dyDescent="0.35">
      <c r="A487" s="17">
        <v>147</v>
      </c>
      <c r="B487" s="17">
        <v>10</v>
      </c>
      <c r="C487" s="17">
        <f>2010-130</f>
        <v>1880</v>
      </c>
      <c r="E487" s="41" t="s">
        <v>86</v>
      </c>
      <c r="F487" s="41" t="s">
        <v>620</v>
      </c>
      <c r="G487" s="17">
        <v>43.49</v>
      </c>
      <c r="H487" s="17">
        <v>5.93</v>
      </c>
      <c r="I487" s="17">
        <v>331</v>
      </c>
      <c r="J487" s="17" t="s">
        <v>1330</v>
      </c>
      <c r="K487" s="17" t="s">
        <v>1330</v>
      </c>
      <c r="L487" s="17" t="s">
        <v>34</v>
      </c>
      <c r="M487" s="17" t="s">
        <v>38</v>
      </c>
      <c r="N487" s="17" t="s">
        <v>2155</v>
      </c>
      <c r="O487" s="17" t="s">
        <v>433</v>
      </c>
      <c r="P487" s="17" t="s">
        <v>2156</v>
      </c>
    </row>
    <row r="488" spans="1:16" hidden="1" x14ac:dyDescent="0.35">
      <c r="A488" s="17">
        <v>167</v>
      </c>
      <c r="B488" s="17">
        <v>1</v>
      </c>
      <c r="C488" s="17" t="s">
        <v>2157</v>
      </c>
      <c r="E488" s="41" t="s">
        <v>2158</v>
      </c>
      <c r="F488" s="41" t="s">
        <v>622</v>
      </c>
      <c r="G488" s="17">
        <v>34.751390507669498</v>
      </c>
      <c r="H488" s="17">
        <v>-4.79349308113117</v>
      </c>
      <c r="I488" s="17" t="s">
        <v>1330</v>
      </c>
      <c r="J488" s="17">
        <v>55</v>
      </c>
      <c r="K488" s="17" t="s">
        <v>33</v>
      </c>
      <c r="L488" s="17" t="s">
        <v>34</v>
      </c>
      <c r="M488" s="17" t="s">
        <v>2159</v>
      </c>
      <c r="N488" s="17" t="s">
        <v>2160</v>
      </c>
      <c r="O488" s="17" t="s">
        <v>433</v>
      </c>
    </row>
    <row r="489" spans="1:16" x14ac:dyDescent="0.35">
      <c r="A489" s="17">
        <v>173</v>
      </c>
      <c r="B489" s="17">
        <v>1</v>
      </c>
      <c r="C489" s="17" t="s">
        <v>2161</v>
      </c>
      <c r="E489" s="41" t="s">
        <v>45</v>
      </c>
      <c r="F489" s="41" t="s">
        <v>622</v>
      </c>
      <c r="G489" s="17">
        <v>41.595680559581098</v>
      </c>
      <c r="H489" s="17">
        <v>1.8300480469391101</v>
      </c>
      <c r="I489" s="17">
        <v>625</v>
      </c>
      <c r="J489" s="17">
        <v>5320</v>
      </c>
      <c r="K489" s="17" t="s">
        <v>33</v>
      </c>
      <c r="L489" s="17" t="s">
        <v>34</v>
      </c>
      <c r="M489" s="17" t="s">
        <v>38</v>
      </c>
      <c r="N489" s="17" t="s">
        <v>2162</v>
      </c>
      <c r="O489" s="17" t="s">
        <v>433</v>
      </c>
    </row>
    <row r="490" spans="1:16" x14ac:dyDescent="0.35">
      <c r="A490" s="17">
        <v>79</v>
      </c>
      <c r="B490" s="17">
        <v>1</v>
      </c>
      <c r="C490" s="17">
        <v>2003</v>
      </c>
      <c r="D490" s="17" t="s">
        <v>1330</v>
      </c>
      <c r="E490" s="41" t="s">
        <v>82</v>
      </c>
      <c r="F490" s="41" t="s">
        <v>620</v>
      </c>
      <c r="G490" s="17">
        <v>43.85</v>
      </c>
      <c r="H490" s="17">
        <v>7.7332999999999998</v>
      </c>
      <c r="J490" s="17">
        <v>350</v>
      </c>
      <c r="K490" s="17" t="s">
        <v>432</v>
      </c>
      <c r="L490" s="17" t="s">
        <v>34</v>
      </c>
      <c r="M490" s="17" t="s">
        <v>38</v>
      </c>
      <c r="N490" s="17" t="s">
        <v>2723</v>
      </c>
      <c r="O490" s="17" t="s">
        <v>433</v>
      </c>
    </row>
    <row r="491" spans="1:16" x14ac:dyDescent="0.35">
      <c r="A491" s="17">
        <v>80</v>
      </c>
      <c r="B491" s="17">
        <v>1</v>
      </c>
      <c r="C491" s="17">
        <v>1994</v>
      </c>
      <c r="D491" s="17" t="s">
        <v>404</v>
      </c>
      <c r="E491" s="41" t="s">
        <v>45</v>
      </c>
      <c r="F491" s="41" t="s">
        <v>620</v>
      </c>
      <c r="G491" s="17">
        <v>41.05</v>
      </c>
      <c r="H491" s="17">
        <v>-2.4333</v>
      </c>
      <c r="I491" s="17">
        <v>1000</v>
      </c>
      <c r="J491" s="17" t="s">
        <v>1330</v>
      </c>
      <c r="K491" s="17" t="s">
        <v>33</v>
      </c>
      <c r="L491" s="17" t="s">
        <v>34</v>
      </c>
      <c r="M491" s="17" t="s">
        <v>38</v>
      </c>
      <c r="N491" s="17" t="s">
        <v>2724</v>
      </c>
      <c r="O491" s="17" t="s">
        <v>1330</v>
      </c>
    </row>
    <row r="492" spans="1:16" x14ac:dyDescent="0.35">
      <c r="A492" s="17">
        <v>80</v>
      </c>
      <c r="B492" s="17">
        <v>2</v>
      </c>
      <c r="C492" s="17">
        <v>2005</v>
      </c>
      <c r="D492" s="17" t="s">
        <v>404</v>
      </c>
      <c r="E492" s="41" t="s">
        <v>45</v>
      </c>
      <c r="F492" s="41" t="s">
        <v>620</v>
      </c>
      <c r="G492" s="17">
        <v>41.05</v>
      </c>
      <c r="H492" s="17">
        <v>-2.4333</v>
      </c>
      <c r="I492" s="17">
        <v>1000</v>
      </c>
      <c r="J492" s="17" t="s">
        <v>1330</v>
      </c>
      <c r="K492" s="17" t="s">
        <v>33</v>
      </c>
      <c r="L492" s="17" t="s">
        <v>34</v>
      </c>
      <c r="M492" s="17" t="s">
        <v>38</v>
      </c>
      <c r="N492" s="17" t="s">
        <v>2724</v>
      </c>
      <c r="O492" s="17" t="s">
        <v>1330</v>
      </c>
    </row>
    <row r="493" spans="1:16" x14ac:dyDescent="0.35">
      <c r="A493" s="17">
        <v>776</v>
      </c>
      <c r="B493" s="17">
        <v>1</v>
      </c>
      <c r="C493" s="17">
        <v>2017</v>
      </c>
      <c r="D493" s="17" t="s">
        <v>404</v>
      </c>
      <c r="E493" s="41" t="s">
        <v>82</v>
      </c>
      <c r="F493" s="41" t="s">
        <v>620</v>
      </c>
      <c r="G493" s="17">
        <v>40.81194</v>
      </c>
      <c r="H493" s="17">
        <v>14.41239</v>
      </c>
      <c r="I493" s="17">
        <v>650</v>
      </c>
      <c r="J493" s="17">
        <v>3000</v>
      </c>
      <c r="K493" s="17" t="s">
        <v>375</v>
      </c>
      <c r="L493" s="17" t="s">
        <v>34</v>
      </c>
      <c r="M493" s="17" t="s">
        <v>38</v>
      </c>
      <c r="N493" s="17" t="s">
        <v>2725</v>
      </c>
      <c r="O493" s="17" t="s">
        <v>44</v>
      </c>
    </row>
    <row r="494" spans="1:16" x14ac:dyDescent="0.35">
      <c r="A494" s="17">
        <v>780</v>
      </c>
      <c r="B494" s="17">
        <v>1</v>
      </c>
      <c r="C494" s="17" t="s">
        <v>1352</v>
      </c>
      <c r="D494" s="17" t="s">
        <v>1330</v>
      </c>
      <c r="E494" s="41" t="s">
        <v>82</v>
      </c>
      <c r="F494" s="41" t="s">
        <v>621</v>
      </c>
      <c r="G494" s="17">
        <v>40.812170000000002</v>
      </c>
      <c r="H494" s="17">
        <v>14.41994</v>
      </c>
      <c r="J494" s="17">
        <v>1300</v>
      </c>
      <c r="K494" s="17" t="s">
        <v>102</v>
      </c>
      <c r="L494" s="17" t="s">
        <v>34</v>
      </c>
      <c r="M494" s="17" t="s">
        <v>38</v>
      </c>
      <c r="N494" s="17" t="s">
        <v>2726</v>
      </c>
      <c r="O494" s="17" t="s">
        <v>1330</v>
      </c>
      <c r="P494" s="17" t="s">
        <v>2727</v>
      </c>
    </row>
    <row r="495" spans="1:16" x14ac:dyDescent="0.35">
      <c r="A495" s="17">
        <v>795</v>
      </c>
      <c r="B495" s="17">
        <v>1</v>
      </c>
      <c r="C495" s="17" t="s">
        <v>1344</v>
      </c>
      <c r="D495" s="17" t="s">
        <v>1330</v>
      </c>
      <c r="E495" s="41" t="s">
        <v>45</v>
      </c>
      <c r="F495" s="41" t="s">
        <v>620</v>
      </c>
      <c r="G495" s="17">
        <v>36.952500000000001</v>
      </c>
      <c r="H495" s="17">
        <v>-3.4933299999999998</v>
      </c>
      <c r="I495" s="17">
        <v>1400</v>
      </c>
      <c r="J495" s="17">
        <v>1300</v>
      </c>
      <c r="K495" s="17" t="s">
        <v>33</v>
      </c>
      <c r="L495" s="17" t="s">
        <v>34</v>
      </c>
      <c r="M495" s="17" t="s">
        <v>38</v>
      </c>
      <c r="N495" s="17" t="s">
        <v>2728</v>
      </c>
      <c r="O495" s="17" t="s">
        <v>44</v>
      </c>
    </row>
    <row r="496" spans="1:16" hidden="1" x14ac:dyDescent="0.35">
      <c r="A496" s="17">
        <v>801</v>
      </c>
      <c r="B496" s="17">
        <v>1</v>
      </c>
      <c r="C496" s="17">
        <v>2017</v>
      </c>
      <c r="D496" s="17" t="s">
        <v>404</v>
      </c>
      <c r="E496" s="41" t="s">
        <v>45</v>
      </c>
      <c r="F496" s="41" t="s">
        <v>621</v>
      </c>
      <c r="G496" s="17">
        <v>42.227679999999999</v>
      </c>
      <c r="H496" s="17">
        <v>-6.5340600000000002</v>
      </c>
      <c r="I496" s="17">
        <v>1387</v>
      </c>
      <c r="J496" s="17">
        <v>9939</v>
      </c>
      <c r="K496" s="17" t="s">
        <v>1330</v>
      </c>
      <c r="L496" s="17" t="s">
        <v>34</v>
      </c>
      <c r="M496" s="17" t="s">
        <v>2729</v>
      </c>
      <c r="N496" s="17" t="s">
        <v>2730</v>
      </c>
      <c r="O496" s="17" t="s">
        <v>1330</v>
      </c>
    </row>
    <row r="497" spans="1:16" hidden="1" x14ac:dyDescent="0.35">
      <c r="A497" s="17">
        <v>801</v>
      </c>
      <c r="B497" s="17">
        <v>2</v>
      </c>
      <c r="C497" s="17">
        <v>2017</v>
      </c>
      <c r="D497" s="17" t="s">
        <v>404</v>
      </c>
      <c r="E497" s="41" t="s">
        <v>45</v>
      </c>
      <c r="F497" s="41" t="s">
        <v>621</v>
      </c>
      <c r="G497" s="17">
        <v>39.807929999999999</v>
      </c>
      <c r="H497" s="17">
        <v>-0.47089999999999999</v>
      </c>
      <c r="I497" s="17">
        <v>553</v>
      </c>
      <c r="J497" s="17">
        <v>1414</v>
      </c>
      <c r="K497" s="17" t="s">
        <v>1330</v>
      </c>
      <c r="L497" s="17" t="s">
        <v>34</v>
      </c>
      <c r="M497" s="17" t="s">
        <v>38</v>
      </c>
      <c r="N497" s="17" t="s">
        <v>2731</v>
      </c>
      <c r="O497" s="17" t="s">
        <v>1330</v>
      </c>
    </row>
    <row r="498" spans="1:16" x14ac:dyDescent="0.35">
      <c r="A498" s="17">
        <v>850</v>
      </c>
      <c r="B498" s="17">
        <v>1</v>
      </c>
      <c r="C498" s="17" t="s">
        <v>1346</v>
      </c>
      <c r="D498" s="17" t="s">
        <v>1330</v>
      </c>
      <c r="E498" s="41" t="s">
        <v>37</v>
      </c>
      <c r="F498" s="41" t="s">
        <v>622</v>
      </c>
      <c r="G498" s="17">
        <v>40.254351999999997</v>
      </c>
      <c r="H498" s="17">
        <v>-7.9396250000000004</v>
      </c>
      <c r="I498" s="17">
        <v>724</v>
      </c>
      <c r="J498" s="17">
        <v>33400</v>
      </c>
      <c r="K498" s="17" t="s">
        <v>102</v>
      </c>
      <c r="L498" s="17" t="s">
        <v>34</v>
      </c>
      <c r="M498" s="17" t="s">
        <v>2732</v>
      </c>
      <c r="O498" s="17" t="s">
        <v>1330</v>
      </c>
    </row>
    <row r="499" spans="1:16" hidden="1" x14ac:dyDescent="0.35">
      <c r="A499" s="17">
        <v>856</v>
      </c>
      <c r="B499" s="17">
        <v>1</v>
      </c>
      <c r="C499" s="17" t="s">
        <v>2733</v>
      </c>
      <c r="D499" s="17" t="s">
        <v>1330</v>
      </c>
      <c r="E499" s="41" t="s">
        <v>49</v>
      </c>
      <c r="F499" s="41" t="s">
        <v>622</v>
      </c>
      <c r="G499" s="17">
        <v>40.638249000000002</v>
      </c>
      <c r="H499" s="17">
        <v>22.993379999999998</v>
      </c>
      <c r="I499" s="17">
        <v>312</v>
      </c>
      <c r="J499" s="17">
        <v>1664</v>
      </c>
      <c r="K499" s="17" t="s">
        <v>1330</v>
      </c>
      <c r="L499" s="17" t="s">
        <v>34</v>
      </c>
      <c r="M499" s="17" t="s">
        <v>38</v>
      </c>
      <c r="N499" s="17" t="s">
        <v>2734</v>
      </c>
      <c r="O499" s="17" t="s">
        <v>376</v>
      </c>
    </row>
    <row r="500" spans="1:16" x14ac:dyDescent="0.35">
      <c r="A500" s="17">
        <v>857</v>
      </c>
      <c r="B500" s="17">
        <v>1</v>
      </c>
      <c r="C500" s="17" t="s">
        <v>1424</v>
      </c>
      <c r="D500" s="17" t="s">
        <v>1330</v>
      </c>
      <c r="E500" s="41" t="s">
        <v>82</v>
      </c>
      <c r="F500" s="41" t="s">
        <v>621</v>
      </c>
      <c r="G500" s="17">
        <v>40.191670000000002</v>
      </c>
      <c r="H500" s="17">
        <v>8.5833399999999997</v>
      </c>
      <c r="I500" s="17">
        <v>1025</v>
      </c>
      <c r="J500" s="17">
        <v>12235.5</v>
      </c>
      <c r="K500" s="17" t="s">
        <v>102</v>
      </c>
      <c r="L500" s="17" t="s">
        <v>34</v>
      </c>
      <c r="M500" s="17" t="s">
        <v>2735</v>
      </c>
      <c r="N500" s="17" t="s">
        <v>2736</v>
      </c>
      <c r="O500" s="17" t="s">
        <v>1330</v>
      </c>
    </row>
    <row r="501" spans="1:16" x14ac:dyDescent="0.35">
      <c r="A501" s="17">
        <v>861</v>
      </c>
      <c r="B501" s="17">
        <v>1</v>
      </c>
      <c r="C501" s="17" t="s">
        <v>1346</v>
      </c>
      <c r="D501" s="17" t="s">
        <v>1330</v>
      </c>
      <c r="E501" s="41" t="s">
        <v>37</v>
      </c>
      <c r="F501" s="41" t="s">
        <v>622</v>
      </c>
      <c r="G501" s="17">
        <v>40.327070999999997</v>
      </c>
      <c r="H501" s="17">
        <v>-7.8606199999999999</v>
      </c>
      <c r="I501" s="17">
        <v>775</v>
      </c>
      <c r="J501" s="17">
        <v>7600</v>
      </c>
      <c r="K501" s="17" t="s">
        <v>375</v>
      </c>
      <c r="L501" s="17" t="s">
        <v>34</v>
      </c>
      <c r="M501" s="17" t="s">
        <v>38</v>
      </c>
      <c r="N501" s="17" t="s">
        <v>2737</v>
      </c>
      <c r="O501" s="17" t="s">
        <v>1330</v>
      </c>
    </row>
    <row r="502" spans="1:16" hidden="1" x14ac:dyDescent="0.35">
      <c r="A502" s="17">
        <v>862</v>
      </c>
      <c r="B502" s="17">
        <v>1</v>
      </c>
      <c r="C502" s="17">
        <v>1997</v>
      </c>
      <c r="D502" s="17" t="s">
        <v>1330</v>
      </c>
      <c r="E502" s="41" t="s">
        <v>49</v>
      </c>
      <c r="F502" s="41" t="s">
        <v>622</v>
      </c>
      <c r="G502" s="17">
        <v>40.61806</v>
      </c>
      <c r="H502" s="17">
        <v>23.02778</v>
      </c>
      <c r="I502" s="17">
        <v>305</v>
      </c>
      <c r="J502" s="17">
        <v>1664</v>
      </c>
      <c r="K502" s="17" t="s">
        <v>33</v>
      </c>
      <c r="L502" s="17" t="s">
        <v>34</v>
      </c>
      <c r="M502" s="17" t="s">
        <v>38</v>
      </c>
      <c r="N502" s="17" t="s">
        <v>2738</v>
      </c>
      <c r="O502" s="17" t="s">
        <v>376</v>
      </c>
    </row>
    <row r="503" spans="1:16" hidden="1" x14ac:dyDescent="0.35">
      <c r="A503" s="17">
        <v>527</v>
      </c>
      <c r="B503" s="17">
        <v>1</v>
      </c>
      <c r="C503" s="17">
        <v>1979</v>
      </c>
      <c r="D503" s="17" t="s">
        <v>1330</v>
      </c>
      <c r="E503" s="41" t="s">
        <v>45</v>
      </c>
      <c r="F503" s="41" t="s">
        <v>622</v>
      </c>
      <c r="G503" s="17">
        <v>38.150265042178802</v>
      </c>
      <c r="H503" s="17">
        <v>-1.4239159193868201</v>
      </c>
      <c r="I503" s="17">
        <v>750</v>
      </c>
      <c r="J503" s="17">
        <v>30</v>
      </c>
      <c r="K503" s="17" t="s">
        <v>1330</v>
      </c>
      <c r="L503" s="17" t="s">
        <v>34</v>
      </c>
      <c r="M503" s="17" t="s">
        <v>38</v>
      </c>
      <c r="N503" s="17" t="s">
        <v>2812</v>
      </c>
      <c r="O503" s="17" t="s">
        <v>1330</v>
      </c>
      <c r="P503" s="17" t="s">
        <v>2813</v>
      </c>
    </row>
    <row r="504" spans="1:16" hidden="1" x14ac:dyDescent="0.35">
      <c r="A504" s="17">
        <v>527</v>
      </c>
      <c r="B504" s="17">
        <v>2</v>
      </c>
      <c r="C504" s="17">
        <v>1994</v>
      </c>
      <c r="D504" s="17" t="s">
        <v>1330</v>
      </c>
      <c r="E504" s="41" t="s">
        <v>45</v>
      </c>
      <c r="F504" s="41" t="s">
        <v>622</v>
      </c>
      <c r="G504" s="17">
        <v>38.150265042178802</v>
      </c>
      <c r="H504" s="17">
        <v>-1.4239159193868201</v>
      </c>
      <c r="I504" s="17">
        <v>750</v>
      </c>
      <c r="J504" s="17">
        <v>50</v>
      </c>
      <c r="K504" s="17" t="s">
        <v>1330</v>
      </c>
      <c r="L504" s="17" t="s">
        <v>34</v>
      </c>
      <c r="M504" s="17" t="s">
        <v>38</v>
      </c>
      <c r="N504" s="17" t="s">
        <v>2812</v>
      </c>
      <c r="O504" s="17" t="s">
        <v>1330</v>
      </c>
      <c r="P504" s="17" t="s">
        <v>2813</v>
      </c>
    </row>
    <row r="505" spans="1:16" hidden="1" x14ac:dyDescent="0.35">
      <c r="A505" s="17">
        <v>527</v>
      </c>
      <c r="B505" s="17">
        <v>3</v>
      </c>
      <c r="C505" s="17">
        <v>2000</v>
      </c>
      <c r="D505" s="17" t="s">
        <v>1330</v>
      </c>
      <c r="E505" s="41" t="s">
        <v>45</v>
      </c>
      <c r="F505" s="41" t="s">
        <v>622</v>
      </c>
      <c r="G505" s="17">
        <v>38.150265042178802</v>
      </c>
      <c r="H505" s="17">
        <v>-1.4239159193868201</v>
      </c>
      <c r="I505" s="17">
        <v>750</v>
      </c>
      <c r="J505" s="17">
        <v>60</v>
      </c>
      <c r="K505" s="17" t="s">
        <v>1330</v>
      </c>
      <c r="L505" s="17" t="s">
        <v>34</v>
      </c>
      <c r="M505" s="17" t="s">
        <v>38</v>
      </c>
      <c r="N505" s="17" t="s">
        <v>2812</v>
      </c>
      <c r="O505" s="17" t="s">
        <v>1330</v>
      </c>
      <c r="P505" s="17" t="s">
        <v>2813</v>
      </c>
    </row>
    <row r="506" spans="1:16" hidden="1" x14ac:dyDescent="0.35">
      <c r="A506" s="17">
        <v>535</v>
      </c>
      <c r="B506" s="17">
        <v>1</v>
      </c>
      <c r="C506" s="17">
        <v>1990</v>
      </c>
      <c r="D506" s="17" t="s">
        <v>404</v>
      </c>
      <c r="E506" s="41" t="s">
        <v>49</v>
      </c>
      <c r="F506" s="41" t="s">
        <v>622</v>
      </c>
      <c r="G506" s="17">
        <v>38.1687709737704</v>
      </c>
      <c r="H506" s="17">
        <v>23.791061976034801</v>
      </c>
      <c r="I506" s="17">
        <v>435</v>
      </c>
      <c r="J506" s="17" t="s">
        <v>1330</v>
      </c>
      <c r="K506" s="17" t="s">
        <v>1330</v>
      </c>
      <c r="L506" s="17" t="s">
        <v>34</v>
      </c>
      <c r="M506" s="17" t="s">
        <v>38</v>
      </c>
      <c r="N506" s="17" t="s">
        <v>2812</v>
      </c>
      <c r="O506" s="17" t="s">
        <v>1330</v>
      </c>
    </row>
    <row r="507" spans="1:16" hidden="1" x14ac:dyDescent="0.35">
      <c r="A507" s="17">
        <v>535</v>
      </c>
      <c r="B507" s="17">
        <v>2</v>
      </c>
      <c r="C507" s="17">
        <v>1990</v>
      </c>
      <c r="D507" s="17" t="s">
        <v>404</v>
      </c>
      <c r="E507" s="41" t="s">
        <v>49</v>
      </c>
      <c r="F507" s="41" t="s">
        <v>622</v>
      </c>
      <c r="G507" s="17">
        <v>38.1687709737704</v>
      </c>
      <c r="H507" s="17">
        <v>23.791061976034801</v>
      </c>
      <c r="I507" s="17">
        <v>435</v>
      </c>
      <c r="J507" s="17" t="s">
        <v>1330</v>
      </c>
      <c r="K507" s="17" t="s">
        <v>1330</v>
      </c>
      <c r="L507" s="17" t="s">
        <v>34</v>
      </c>
      <c r="M507" s="17" t="s">
        <v>38</v>
      </c>
      <c r="N507" s="17" t="s">
        <v>2812</v>
      </c>
      <c r="O507" s="17" t="s">
        <v>1330</v>
      </c>
    </row>
    <row r="508" spans="1:16" hidden="1" x14ac:dyDescent="0.35">
      <c r="A508" s="17">
        <v>535</v>
      </c>
      <c r="B508" s="17">
        <v>3</v>
      </c>
      <c r="C508" s="17">
        <v>1991</v>
      </c>
      <c r="D508" s="17" t="s">
        <v>404</v>
      </c>
      <c r="E508" s="41" t="s">
        <v>49</v>
      </c>
      <c r="F508" s="41" t="s">
        <v>622</v>
      </c>
      <c r="G508" s="17">
        <v>38.1687709737704</v>
      </c>
      <c r="H508" s="17">
        <v>23.791061976034801</v>
      </c>
      <c r="I508" s="17">
        <v>435</v>
      </c>
      <c r="J508" s="17" t="s">
        <v>1330</v>
      </c>
      <c r="K508" s="17" t="s">
        <v>1330</v>
      </c>
      <c r="L508" s="17" t="s">
        <v>34</v>
      </c>
      <c r="M508" s="17" t="s">
        <v>38</v>
      </c>
      <c r="N508" s="17" t="s">
        <v>2812</v>
      </c>
      <c r="O508" s="17" t="s">
        <v>1330</v>
      </c>
    </row>
    <row r="509" spans="1:16" hidden="1" x14ac:dyDescent="0.35">
      <c r="A509" s="17">
        <v>535</v>
      </c>
      <c r="B509" s="17">
        <v>4</v>
      </c>
      <c r="C509" s="17">
        <v>1992</v>
      </c>
      <c r="D509" s="17" t="s">
        <v>404</v>
      </c>
      <c r="E509" s="41" t="s">
        <v>49</v>
      </c>
      <c r="F509" s="41" t="s">
        <v>622</v>
      </c>
      <c r="G509" s="17">
        <v>38.1687709737704</v>
      </c>
      <c r="H509" s="17">
        <v>23.791061976034801</v>
      </c>
      <c r="I509" s="17">
        <v>435</v>
      </c>
      <c r="J509" s="17" t="s">
        <v>1330</v>
      </c>
      <c r="K509" s="17" t="s">
        <v>1330</v>
      </c>
      <c r="L509" s="17" t="s">
        <v>34</v>
      </c>
      <c r="M509" s="17" t="s">
        <v>38</v>
      </c>
      <c r="N509" s="17" t="s">
        <v>2812</v>
      </c>
      <c r="O509" s="17" t="s">
        <v>1330</v>
      </c>
    </row>
    <row r="510" spans="1:16" hidden="1" x14ac:dyDescent="0.35">
      <c r="A510" s="17">
        <v>536</v>
      </c>
      <c r="B510" s="17">
        <v>1</v>
      </c>
      <c r="C510" s="17">
        <v>1960</v>
      </c>
      <c r="E510" s="41" t="s">
        <v>49</v>
      </c>
      <c r="F510" s="41" t="s">
        <v>622</v>
      </c>
      <c r="G510" s="17">
        <v>38.1687709737704</v>
      </c>
      <c r="H510" s="17">
        <v>23.791061976034801</v>
      </c>
      <c r="I510" s="17">
        <v>200</v>
      </c>
      <c r="J510" s="17" t="s">
        <v>1330</v>
      </c>
      <c r="K510" s="17" t="s">
        <v>1330</v>
      </c>
      <c r="L510" s="17" t="s">
        <v>34</v>
      </c>
      <c r="M510" s="17" t="s">
        <v>38</v>
      </c>
      <c r="N510" s="17" t="s">
        <v>2812</v>
      </c>
      <c r="O510" s="17" t="s">
        <v>433</v>
      </c>
      <c r="P510" s="17" t="s">
        <v>2814</v>
      </c>
    </row>
    <row r="511" spans="1:16" hidden="1" x14ac:dyDescent="0.35">
      <c r="A511" s="17">
        <v>536</v>
      </c>
      <c r="B511" s="17">
        <v>2</v>
      </c>
      <c r="C511" s="17" t="s">
        <v>2815</v>
      </c>
      <c r="E511" s="41" t="s">
        <v>49</v>
      </c>
      <c r="F511" s="41" t="s">
        <v>622</v>
      </c>
      <c r="G511" s="17">
        <v>38.1687709737704</v>
      </c>
      <c r="H511" s="17">
        <v>23.791061976034801</v>
      </c>
      <c r="I511" s="17">
        <v>200</v>
      </c>
      <c r="J511" s="17" t="s">
        <v>1330</v>
      </c>
      <c r="K511" s="17" t="s">
        <v>1330</v>
      </c>
      <c r="L511" s="17" t="s">
        <v>34</v>
      </c>
      <c r="M511" s="17" t="s">
        <v>38</v>
      </c>
      <c r="N511" s="17" t="s">
        <v>2812</v>
      </c>
      <c r="O511" s="17" t="s">
        <v>433</v>
      </c>
    </row>
    <row r="512" spans="1:16" hidden="1" x14ac:dyDescent="0.35">
      <c r="A512" s="17">
        <v>536</v>
      </c>
      <c r="B512" s="17">
        <v>3</v>
      </c>
      <c r="C512" s="17" t="s">
        <v>2816</v>
      </c>
      <c r="E512" s="41" t="s">
        <v>49</v>
      </c>
      <c r="F512" s="41" t="s">
        <v>622</v>
      </c>
      <c r="G512" s="17">
        <v>38.1687709737704</v>
      </c>
      <c r="H512" s="17">
        <v>23.791061976034801</v>
      </c>
      <c r="I512" s="17">
        <v>450</v>
      </c>
      <c r="J512" s="17" t="s">
        <v>1330</v>
      </c>
      <c r="K512" s="17" t="s">
        <v>1330</v>
      </c>
      <c r="L512" s="17" t="s">
        <v>34</v>
      </c>
      <c r="M512" s="17" t="s">
        <v>38</v>
      </c>
      <c r="N512" s="17" t="s">
        <v>2812</v>
      </c>
      <c r="O512" s="17" t="s">
        <v>433</v>
      </c>
    </row>
    <row r="513" spans="1:16" hidden="1" x14ac:dyDescent="0.35">
      <c r="A513" s="17">
        <v>536</v>
      </c>
      <c r="B513" s="17">
        <v>4</v>
      </c>
      <c r="C513" s="17" t="s">
        <v>2817</v>
      </c>
      <c r="E513" s="41" t="s">
        <v>49</v>
      </c>
      <c r="F513" s="41" t="s">
        <v>622</v>
      </c>
      <c r="G513" s="17">
        <v>38.1687709737704</v>
      </c>
      <c r="H513" s="17">
        <v>23.791061976034801</v>
      </c>
      <c r="I513" s="17">
        <v>400</v>
      </c>
      <c r="J513" s="17" t="s">
        <v>1330</v>
      </c>
      <c r="K513" s="17" t="s">
        <v>1330</v>
      </c>
      <c r="L513" s="17" t="s">
        <v>34</v>
      </c>
      <c r="M513" s="17" t="s">
        <v>38</v>
      </c>
      <c r="N513" s="17" t="s">
        <v>2812</v>
      </c>
      <c r="O513" s="17" t="s">
        <v>433</v>
      </c>
    </row>
    <row r="514" spans="1:16" hidden="1" x14ac:dyDescent="0.35">
      <c r="A514" s="17">
        <v>536</v>
      </c>
      <c r="B514" s="17">
        <v>5</v>
      </c>
      <c r="C514" s="17" t="s">
        <v>2165</v>
      </c>
      <c r="E514" s="41" t="s">
        <v>49</v>
      </c>
      <c r="F514" s="41" t="s">
        <v>622</v>
      </c>
      <c r="G514" s="17">
        <v>38.1687709737704</v>
      </c>
      <c r="H514" s="17">
        <v>23.791061976034801</v>
      </c>
      <c r="I514" s="17">
        <v>350</v>
      </c>
      <c r="J514" s="17" t="s">
        <v>1330</v>
      </c>
      <c r="K514" s="17" t="s">
        <v>1330</v>
      </c>
      <c r="L514" s="17" t="s">
        <v>34</v>
      </c>
      <c r="M514" s="17" t="s">
        <v>38</v>
      </c>
      <c r="N514" s="17" t="s">
        <v>2812</v>
      </c>
      <c r="O514" s="17" t="s">
        <v>433</v>
      </c>
    </row>
    <row r="515" spans="1:16" hidden="1" x14ac:dyDescent="0.35">
      <c r="A515" s="17">
        <v>536</v>
      </c>
      <c r="B515" s="17">
        <v>6</v>
      </c>
      <c r="C515" s="17" t="s">
        <v>2818</v>
      </c>
      <c r="E515" s="41" t="s">
        <v>49</v>
      </c>
      <c r="F515" s="41" t="s">
        <v>622</v>
      </c>
      <c r="G515" s="17">
        <v>38.1687709737704</v>
      </c>
      <c r="H515" s="17">
        <v>23.791061976034801</v>
      </c>
      <c r="I515" s="17">
        <v>400</v>
      </c>
      <c r="J515" s="17" t="s">
        <v>1330</v>
      </c>
      <c r="K515" s="17" t="s">
        <v>1330</v>
      </c>
      <c r="L515" s="17" t="s">
        <v>34</v>
      </c>
      <c r="M515" s="17" t="s">
        <v>38</v>
      </c>
      <c r="N515" s="17" t="s">
        <v>2812</v>
      </c>
      <c r="O515" s="17" t="s">
        <v>433</v>
      </c>
    </row>
    <row r="516" spans="1:16" hidden="1" x14ac:dyDescent="0.35">
      <c r="A516" s="17">
        <v>536</v>
      </c>
      <c r="B516" s="17">
        <v>7</v>
      </c>
      <c r="C516" s="17" t="s">
        <v>1545</v>
      </c>
      <c r="E516" s="41" t="s">
        <v>49</v>
      </c>
      <c r="F516" s="41" t="s">
        <v>622</v>
      </c>
      <c r="G516" s="17">
        <v>38.1687709737704</v>
      </c>
      <c r="H516" s="17">
        <v>23.791061976034801</v>
      </c>
      <c r="I516" s="41">
        <v>350</v>
      </c>
      <c r="J516" s="17" t="s">
        <v>1330</v>
      </c>
      <c r="K516" s="17" t="s">
        <v>1330</v>
      </c>
      <c r="L516" s="17" t="s">
        <v>34</v>
      </c>
      <c r="M516" s="17" t="s">
        <v>38</v>
      </c>
      <c r="N516" s="17" t="s">
        <v>2812</v>
      </c>
      <c r="O516" s="17" t="s">
        <v>433</v>
      </c>
    </row>
    <row r="517" spans="1:16" x14ac:dyDescent="0.35">
      <c r="A517" s="17">
        <v>556</v>
      </c>
      <c r="B517" s="17">
        <v>1</v>
      </c>
      <c r="C517" s="17" t="s">
        <v>1371</v>
      </c>
      <c r="E517" s="41" t="s">
        <v>37</v>
      </c>
      <c r="F517" s="41" t="s">
        <v>620</v>
      </c>
      <c r="G517" s="17">
        <v>37.299999999999997</v>
      </c>
      <c r="H517" s="17">
        <v>-8.5</v>
      </c>
      <c r="I517" s="41" t="s">
        <v>1330</v>
      </c>
      <c r="J517" s="17" t="s">
        <v>1330</v>
      </c>
      <c r="K517" s="17" t="s">
        <v>102</v>
      </c>
      <c r="L517" s="17" t="s">
        <v>34</v>
      </c>
      <c r="M517" s="17" t="s">
        <v>2819</v>
      </c>
      <c r="N517" s="17" t="s">
        <v>2820</v>
      </c>
      <c r="O517" s="17" t="s">
        <v>1330</v>
      </c>
    </row>
    <row r="518" spans="1:16" hidden="1" x14ac:dyDescent="0.35">
      <c r="A518" s="17">
        <v>557</v>
      </c>
      <c r="B518" s="17">
        <v>1</v>
      </c>
      <c r="C518" s="17" t="s">
        <v>2821</v>
      </c>
      <c r="E518" s="41" t="s">
        <v>72</v>
      </c>
      <c r="F518" s="41" t="s">
        <v>621</v>
      </c>
      <c r="G518" s="17">
        <v>36.671109999999999</v>
      </c>
      <c r="H518" s="17">
        <v>8.1723599999999994</v>
      </c>
      <c r="I518" s="41">
        <v>360</v>
      </c>
      <c r="J518" s="17">
        <v>16100.5</v>
      </c>
      <c r="K518" s="17" t="s">
        <v>432</v>
      </c>
      <c r="L518" s="17" t="s">
        <v>34</v>
      </c>
      <c r="M518" s="17" t="s">
        <v>2822</v>
      </c>
      <c r="N518" s="17" t="s">
        <v>2823</v>
      </c>
      <c r="O518" s="17" t="s">
        <v>1330</v>
      </c>
    </row>
    <row r="519" spans="1:16" x14ac:dyDescent="0.35">
      <c r="A519" s="17">
        <v>563</v>
      </c>
      <c r="B519" s="17" t="s">
        <v>102</v>
      </c>
      <c r="C519" s="17" t="s">
        <v>2824</v>
      </c>
      <c r="E519" s="41" t="s">
        <v>45</v>
      </c>
      <c r="F519" s="41" t="s">
        <v>622</v>
      </c>
      <c r="G519" s="17">
        <v>41.579068856276002</v>
      </c>
      <c r="H519" s="17">
        <v>1.9392662784141199</v>
      </c>
      <c r="I519" s="41">
        <v>457</v>
      </c>
      <c r="J519" s="17" t="s">
        <v>2825</v>
      </c>
      <c r="K519" s="17" t="s">
        <v>102</v>
      </c>
      <c r="L519" s="17" t="s">
        <v>51</v>
      </c>
      <c r="M519" s="17" t="s">
        <v>38</v>
      </c>
      <c r="N519" s="17" t="s">
        <v>2812</v>
      </c>
      <c r="O519" s="17" t="s">
        <v>1330</v>
      </c>
      <c r="P519" s="17" t="s">
        <v>2826</v>
      </c>
    </row>
    <row r="520" spans="1:16" x14ac:dyDescent="0.35">
      <c r="A520" s="17">
        <v>564</v>
      </c>
      <c r="B520" s="17">
        <v>1</v>
      </c>
      <c r="C520" s="17" t="s">
        <v>2827</v>
      </c>
      <c r="E520" s="41" t="s">
        <v>45</v>
      </c>
      <c r="F520" s="41" t="s">
        <v>622</v>
      </c>
      <c r="G520" s="17">
        <v>42.394410211313499</v>
      </c>
      <c r="H520" s="17">
        <v>2.9078527251216899</v>
      </c>
      <c r="I520" s="41" t="s">
        <v>1330</v>
      </c>
      <c r="J520" s="17" t="s">
        <v>2828</v>
      </c>
      <c r="K520" s="17" t="s">
        <v>33</v>
      </c>
      <c r="L520" s="17" t="s">
        <v>34</v>
      </c>
      <c r="M520" s="17" t="s">
        <v>2829</v>
      </c>
      <c r="N520" s="17" t="s">
        <v>2830</v>
      </c>
      <c r="O520" s="17" t="s">
        <v>1330</v>
      </c>
    </row>
    <row r="521" spans="1:16" hidden="1" x14ac:dyDescent="0.35">
      <c r="A521" s="17">
        <v>571</v>
      </c>
      <c r="B521" s="17">
        <v>1</v>
      </c>
      <c r="C521" s="17" t="s">
        <v>1382</v>
      </c>
      <c r="E521" s="41" t="s">
        <v>45</v>
      </c>
      <c r="F521" s="41" t="s">
        <v>620</v>
      </c>
      <c r="G521" s="17">
        <v>41.654170000000001</v>
      </c>
      <c r="H521" s="17">
        <v>2.0697199999999998</v>
      </c>
      <c r="I521" s="41">
        <v>485</v>
      </c>
      <c r="J521" s="17">
        <v>4543</v>
      </c>
      <c r="K521" s="17" t="s">
        <v>1330</v>
      </c>
      <c r="L521" s="17" t="s">
        <v>34</v>
      </c>
      <c r="M521" s="17" t="s">
        <v>2831</v>
      </c>
      <c r="N521" s="17" t="s">
        <v>2832</v>
      </c>
      <c r="O521" s="17" t="s">
        <v>1330</v>
      </c>
    </row>
    <row r="522" spans="1:16" x14ac:dyDescent="0.35">
      <c r="A522" s="17">
        <v>576</v>
      </c>
      <c r="B522" s="17">
        <v>1</v>
      </c>
      <c r="C522" s="17" t="s">
        <v>2833</v>
      </c>
      <c r="E522" s="41" t="s">
        <v>82</v>
      </c>
      <c r="F522" s="41" t="s">
        <v>620</v>
      </c>
      <c r="G522" s="17">
        <v>42.783332999999999</v>
      </c>
      <c r="H522" s="17">
        <v>10.833333</v>
      </c>
      <c r="I522" s="41">
        <v>54.71</v>
      </c>
      <c r="J522" s="17">
        <v>100</v>
      </c>
      <c r="K522" s="17" t="s">
        <v>33</v>
      </c>
      <c r="L522" s="17" t="s">
        <v>34</v>
      </c>
      <c r="M522" s="17" t="s">
        <v>412</v>
      </c>
      <c r="N522" s="17" t="s">
        <v>2834</v>
      </c>
      <c r="O522" s="17" t="s">
        <v>730</v>
      </c>
      <c r="P522" s="17" t="s">
        <v>2835</v>
      </c>
    </row>
    <row r="523" spans="1:16" x14ac:dyDescent="0.35">
      <c r="A523" s="17">
        <v>595</v>
      </c>
      <c r="B523" s="17">
        <v>1</v>
      </c>
      <c r="C523" s="17" t="s">
        <v>1345</v>
      </c>
      <c r="E523" s="41" t="s">
        <v>45</v>
      </c>
      <c r="F523" s="41" t="s">
        <v>620</v>
      </c>
      <c r="G523" s="17">
        <v>3.8512262283599998</v>
      </c>
      <c r="H523" s="17">
        <v>-17.099452362934699</v>
      </c>
      <c r="I523" s="41">
        <v>556</v>
      </c>
      <c r="J523" s="17">
        <v>6500</v>
      </c>
      <c r="K523" s="17" t="s">
        <v>432</v>
      </c>
      <c r="L523" s="17" t="s">
        <v>34</v>
      </c>
      <c r="M523" s="17" t="s">
        <v>2836</v>
      </c>
      <c r="N523" s="17" t="s">
        <v>2837</v>
      </c>
      <c r="O523" s="17" t="s">
        <v>376</v>
      </c>
    </row>
    <row r="524" spans="1:16" hidden="1" x14ac:dyDescent="0.35">
      <c r="A524" s="17">
        <v>93</v>
      </c>
      <c r="B524" s="17">
        <v>1</v>
      </c>
      <c r="C524" s="17">
        <v>1979</v>
      </c>
      <c r="D524" s="17" t="s">
        <v>1330</v>
      </c>
      <c r="E524" s="41" t="s">
        <v>64</v>
      </c>
      <c r="F524" s="41" t="s">
        <v>620</v>
      </c>
      <c r="G524" s="17">
        <v>36.82694</v>
      </c>
      <c r="H524" s="17">
        <v>28.32611</v>
      </c>
      <c r="I524" s="41" t="s">
        <v>1330</v>
      </c>
      <c r="J524" s="17" t="s">
        <v>1330</v>
      </c>
      <c r="K524" s="17" t="s">
        <v>1330</v>
      </c>
      <c r="L524" s="17" t="s">
        <v>51</v>
      </c>
      <c r="M524" s="17" t="s">
        <v>38</v>
      </c>
      <c r="N524" s="17" t="s">
        <v>3059</v>
      </c>
      <c r="O524" s="17" t="s">
        <v>44</v>
      </c>
      <c r="P524" s="17" t="s">
        <v>3060</v>
      </c>
    </row>
    <row r="525" spans="1:16" hidden="1" x14ac:dyDescent="0.35">
      <c r="A525" s="17">
        <v>93</v>
      </c>
      <c r="B525" s="17">
        <v>2</v>
      </c>
      <c r="C525" s="17">
        <v>1995</v>
      </c>
      <c r="D525" s="17" t="s">
        <v>1330</v>
      </c>
      <c r="E525" s="41" t="s">
        <v>64</v>
      </c>
      <c r="F525" s="41" t="s">
        <v>620</v>
      </c>
      <c r="G525" s="17">
        <v>36.854439999999997</v>
      </c>
      <c r="H525" s="17">
        <v>28.287220000000001</v>
      </c>
      <c r="I525" s="17" t="s">
        <v>1330</v>
      </c>
      <c r="J525" s="17" t="s">
        <v>1330</v>
      </c>
      <c r="K525" s="17" t="s">
        <v>1330</v>
      </c>
      <c r="L525" s="17" t="s">
        <v>51</v>
      </c>
      <c r="M525" s="17" t="s">
        <v>38</v>
      </c>
      <c r="N525" s="17" t="s">
        <v>3059</v>
      </c>
      <c r="O525" s="17" t="s">
        <v>44</v>
      </c>
      <c r="P525" s="17" t="s">
        <v>3060</v>
      </c>
    </row>
    <row r="526" spans="1:16" hidden="1" x14ac:dyDescent="0.35">
      <c r="A526" s="17">
        <v>93</v>
      </c>
      <c r="B526" s="17">
        <v>3</v>
      </c>
      <c r="C526" s="17">
        <v>1999</v>
      </c>
      <c r="D526" s="17" t="s">
        <v>1330</v>
      </c>
      <c r="E526" s="41" t="s">
        <v>64</v>
      </c>
      <c r="F526" s="41" t="s">
        <v>620</v>
      </c>
      <c r="G526" s="17">
        <v>36.836390000000002</v>
      </c>
      <c r="H526" s="17">
        <v>28.302779999999998</v>
      </c>
      <c r="I526" s="17" t="s">
        <v>1330</v>
      </c>
      <c r="J526" s="17" t="s">
        <v>1330</v>
      </c>
      <c r="K526" s="17" t="s">
        <v>1330</v>
      </c>
      <c r="L526" s="17" t="s">
        <v>51</v>
      </c>
      <c r="M526" s="17" t="s">
        <v>38</v>
      </c>
      <c r="N526" s="17" t="s">
        <v>3059</v>
      </c>
      <c r="O526" s="17" t="s">
        <v>44</v>
      </c>
      <c r="P526" s="17" t="s">
        <v>3060</v>
      </c>
    </row>
    <row r="527" spans="1:16" x14ac:dyDescent="0.35">
      <c r="A527" s="17">
        <v>96</v>
      </c>
      <c r="B527" s="17">
        <v>1</v>
      </c>
      <c r="C527" s="17">
        <v>1994</v>
      </c>
      <c r="D527" s="17" t="s">
        <v>1330</v>
      </c>
      <c r="E527" s="41" t="s">
        <v>45</v>
      </c>
      <c r="F527" s="41" t="s">
        <v>621</v>
      </c>
      <c r="G527" s="17">
        <v>41.924999999999997</v>
      </c>
      <c r="H527" s="17">
        <v>1.825</v>
      </c>
      <c r="I527" s="17" t="s">
        <v>1330</v>
      </c>
      <c r="J527" s="17" t="s">
        <v>3061</v>
      </c>
      <c r="K527" s="17" t="s">
        <v>33</v>
      </c>
      <c r="L527" s="17" t="s">
        <v>51</v>
      </c>
      <c r="M527" s="17" t="s">
        <v>1089</v>
      </c>
      <c r="N527" s="17" t="s">
        <v>3062</v>
      </c>
      <c r="O527" s="17" t="s">
        <v>433</v>
      </c>
      <c r="P527" s="17" t="s">
        <v>3063</v>
      </c>
    </row>
    <row r="528" spans="1:16" x14ac:dyDescent="0.35">
      <c r="A528" s="17">
        <v>96</v>
      </c>
      <c r="B528" s="17">
        <v>2</v>
      </c>
      <c r="C528" s="17">
        <v>1998</v>
      </c>
      <c r="D528" s="17" t="s">
        <v>1330</v>
      </c>
      <c r="E528" s="41" t="s">
        <v>45</v>
      </c>
      <c r="F528" s="41" t="s">
        <v>621</v>
      </c>
      <c r="G528" s="17">
        <v>41.924999999999997</v>
      </c>
      <c r="H528" s="17">
        <v>1.825</v>
      </c>
      <c r="I528" s="17" t="s">
        <v>1330</v>
      </c>
      <c r="J528" s="17" t="s">
        <v>3061</v>
      </c>
      <c r="K528" s="17" t="s">
        <v>33</v>
      </c>
      <c r="L528" s="17" t="s">
        <v>51</v>
      </c>
      <c r="M528" s="17" t="s">
        <v>1089</v>
      </c>
      <c r="N528" s="17" t="s">
        <v>3062</v>
      </c>
      <c r="O528" s="17" t="s">
        <v>433</v>
      </c>
      <c r="P528" s="17" t="s">
        <v>3063</v>
      </c>
    </row>
    <row r="529" spans="1:16" x14ac:dyDescent="0.35">
      <c r="A529" s="17">
        <v>102</v>
      </c>
      <c r="B529" s="17">
        <v>1</v>
      </c>
      <c r="C529" s="17">
        <v>2012</v>
      </c>
      <c r="D529" s="17" t="s">
        <v>1330</v>
      </c>
      <c r="E529" s="41" t="s">
        <v>37</v>
      </c>
      <c r="F529" s="41" t="s">
        <v>620</v>
      </c>
      <c r="G529" s="17">
        <v>40.766669999999998</v>
      </c>
      <c r="H529" s="17">
        <v>-7.85</v>
      </c>
      <c r="I529" s="17" t="s">
        <v>1330</v>
      </c>
      <c r="J529" s="17" t="s">
        <v>3064</v>
      </c>
      <c r="K529" s="17" t="s">
        <v>33</v>
      </c>
      <c r="L529" s="17" t="s">
        <v>34</v>
      </c>
      <c r="M529" s="17" t="s">
        <v>1089</v>
      </c>
      <c r="N529" s="17" t="s">
        <v>3065</v>
      </c>
      <c r="O529" s="17" t="s">
        <v>44</v>
      </c>
    </row>
    <row r="530" spans="1:16" x14ac:dyDescent="0.35">
      <c r="A530" s="17">
        <v>109</v>
      </c>
      <c r="B530" s="17" t="s">
        <v>3066</v>
      </c>
      <c r="C530" s="17">
        <v>2016</v>
      </c>
      <c r="D530" s="17" t="s">
        <v>1330</v>
      </c>
      <c r="E530" s="41" t="s">
        <v>37</v>
      </c>
      <c r="F530" s="41" t="s">
        <v>621</v>
      </c>
      <c r="G530" s="17">
        <v>39.5</v>
      </c>
      <c r="H530" s="17">
        <v>-8</v>
      </c>
      <c r="I530" s="17">
        <v>652</v>
      </c>
      <c r="J530" s="17" t="s">
        <v>1330</v>
      </c>
      <c r="K530" s="17" t="s">
        <v>102</v>
      </c>
      <c r="L530" s="17" t="s">
        <v>51</v>
      </c>
      <c r="M530" s="17" t="s">
        <v>3067</v>
      </c>
      <c r="N530" s="17" t="s">
        <v>1833</v>
      </c>
      <c r="O530" s="17" t="s">
        <v>4750</v>
      </c>
      <c r="P530" s="17" t="s">
        <v>3068</v>
      </c>
    </row>
    <row r="531" spans="1:16" x14ac:dyDescent="0.35">
      <c r="A531" s="17">
        <v>109</v>
      </c>
      <c r="B531" s="17" t="s">
        <v>3069</v>
      </c>
      <c r="C531" s="17">
        <v>2017</v>
      </c>
      <c r="D531" s="17" t="s">
        <v>1330</v>
      </c>
      <c r="E531" s="41" t="s">
        <v>37</v>
      </c>
      <c r="F531" s="41" t="s">
        <v>621</v>
      </c>
      <c r="G531" s="17">
        <v>39.5</v>
      </c>
      <c r="H531" s="17">
        <v>-8</v>
      </c>
      <c r="I531" s="17">
        <v>652</v>
      </c>
      <c r="J531" s="17" t="s">
        <v>1330</v>
      </c>
      <c r="K531" s="17" t="s">
        <v>102</v>
      </c>
      <c r="L531" s="17" t="s">
        <v>51</v>
      </c>
      <c r="M531" s="17" t="s">
        <v>3067</v>
      </c>
      <c r="N531" s="17" t="s">
        <v>1833</v>
      </c>
      <c r="O531" s="17" t="s">
        <v>4750</v>
      </c>
      <c r="P531" s="17" t="s">
        <v>3068</v>
      </c>
    </row>
    <row r="532" spans="1:16" hidden="1" x14ac:dyDescent="0.35">
      <c r="A532" s="17">
        <v>112</v>
      </c>
      <c r="B532" s="17" t="s">
        <v>102</v>
      </c>
      <c r="C532" s="17" t="s">
        <v>1330</v>
      </c>
      <c r="D532" s="17" t="s">
        <v>1330</v>
      </c>
      <c r="E532" s="41" t="s">
        <v>37</v>
      </c>
      <c r="F532" s="41" t="s">
        <v>622</v>
      </c>
      <c r="G532" s="17">
        <v>39.5</v>
      </c>
      <c r="H532" s="17">
        <v>-8</v>
      </c>
      <c r="I532" s="17">
        <v>879</v>
      </c>
      <c r="J532" s="17" t="s">
        <v>1330</v>
      </c>
      <c r="K532" s="17" t="s">
        <v>1330</v>
      </c>
      <c r="L532" s="17" t="s">
        <v>51</v>
      </c>
      <c r="M532" s="17" t="s">
        <v>3067</v>
      </c>
      <c r="N532" s="17" t="s">
        <v>3070</v>
      </c>
      <c r="O532" s="17" t="s">
        <v>4749</v>
      </c>
      <c r="P532" s="17" t="s">
        <v>3071</v>
      </c>
    </row>
    <row r="533" spans="1:16" x14ac:dyDescent="0.35">
      <c r="A533" s="17">
        <v>114</v>
      </c>
      <c r="B533" s="17">
        <v>1</v>
      </c>
      <c r="C533" s="17">
        <v>2003</v>
      </c>
      <c r="D533" s="17" t="s">
        <v>404</v>
      </c>
      <c r="E533" s="41" t="s">
        <v>45</v>
      </c>
      <c r="F533" s="41" t="s">
        <v>622</v>
      </c>
      <c r="G533" s="17">
        <v>41.62</v>
      </c>
      <c r="H533" s="17">
        <v>1.96</v>
      </c>
      <c r="I533" s="17">
        <v>547.5</v>
      </c>
      <c r="J533" s="17">
        <v>4600</v>
      </c>
      <c r="K533" s="17" t="s">
        <v>33</v>
      </c>
      <c r="L533" s="17" t="s">
        <v>34</v>
      </c>
      <c r="M533" s="17" t="s">
        <v>38</v>
      </c>
      <c r="N533" s="17" t="s">
        <v>3072</v>
      </c>
      <c r="O533" s="17" t="s">
        <v>44</v>
      </c>
      <c r="P533" s="17" t="s">
        <v>3073</v>
      </c>
    </row>
    <row r="534" spans="1:16" hidden="1" x14ac:dyDescent="0.35">
      <c r="A534" s="17">
        <v>117</v>
      </c>
      <c r="B534" s="17">
        <v>1</v>
      </c>
      <c r="C534" s="17">
        <v>1998</v>
      </c>
      <c r="D534" s="17" t="s">
        <v>1330</v>
      </c>
      <c r="E534" s="41" t="s">
        <v>86</v>
      </c>
      <c r="F534" s="41" t="s">
        <v>622</v>
      </c>
      <c r="G534" s="17">
        <v>43.667499999999997</v>
      </c>
      <c r="H534" s="17">
        <v>5.1524999999999999</v>
      </c>
      <c r="I534" s="17">
        <v>400</v>
      </c>
      <c r="J534" s="17" t="s">
        <v>1330</v>
      </c>
      <c r="K534" s="17" t="s">
        <v>1330</v>
      </c>
      <c r="L534" s="17" t="s">
        <v>34</v>
      </c>
      <c r="M534" s="17" t="s">
        <v>1089</v>
      </c>
      <c r="N534" s="17" t="s">
        <v>3074</v>
      </c>
      <c r="O534" s="17" t="s">
        <v>433</v>
      </c>
      <c r="P534" s="17" t="s">
        <v>3075</v>
      </c>
    </row>
    <row r="535" spans="1:16" hidden="1" x14ac:dyDescent="0.35">
      <c r="A535" s="17">
        <v>117</v>
      </c>
      <c r="B535" s="17">
        <v>2</v>
      </c>
      <c r="C535" s="17">
        <v>1997</v>
      </c>
      <c r="D535" s="17" t="s">
        <v>1330</v>
      </c>
      <c r="E535" s="41" t="s">
        <v>86</v>
      </c>
      <c r="F535" s="41" t="s">
        <v>622</v>
      </c>
      <c r="G535" s="17">
        <v>43.667499999999997</v>
      </c>
      <c r="H535" s="17">
        <v>5.1524999999999999</v>
      </c>
      <c r="I535" s="17">
        <v>400</v>
      </c>
      <c r="J535" s="17" t="s">
        <v>1330</v>
      </c>
      <c r="K535" s="17" t="s">
        <v>1330</v>
      </c>
      <c r="L535" s="17" t="s">
        <v>34</v>
      </c>
      <c r="M535" s="17" t="s">
        <v>1089</v>
      </c>
      <c r="N535" s="17" t="s">
        <v>3074</v>
      </c>
      <c r="O535" s="17" t="s">
        <v>433</v>
      </c>
      <c r="P535" s="17" t="s">
        <v>3076</v>
      </c>
    </row>
    <row r="536" spans="1:16" hidden="1" x14ac:dyDescent="0.35">
      <c r="A536" s="17">
        <v>117</v>
      </c>
      <c r="B536" s="17">
        <v>3</v>
      </c>
      <c r="C536" s="17" t="s">
        <v>3077</v>
      </c>
      <c r="D536" s="17" t="s">
        <v>1330</v>
      </c>
      <c r="E536" s="41" t="s">
        <v>86</v>
      </c>
      <c r="F536" s="41" t="s">
        <v>622</v>
      </c>
      <c r="G536" s="17">
        <v>43.667499999999997</v>
      </c>
      <c r="H536" s="17">
        <v>5.1524999999999999</v>
      </c>
      <c r="I536" s="17">
        <v>400</v>
      </c>
      <c r="J536" s="17" t="s">
        <v>1330</v>
      </c>
      <c r="K536" s="17" t="s">
        <v>1330</v>
      </c>
      <c r="L536" s="17" t="s">
        <v>51</v>
      </c>
      <c r="M536" s="17" t="s">
        <v>1089</v>
      </c>
      <c r="N536" s="17" t="s">
        <v>3074</v>
      </c>
      <c r="O536" s="17" t="s">
        <v>433</v>
      </c>
      <c r="P536" s="17" t="s">
        <v>3078</v>
      </c>
    </row>
    <row r="537" spans="1:16" hidden="1" x14ac:dyDescent="0.35">
      <c r="A537" s="17">
        <v>117</v>
      </c>
      <c r="B537" s="17">
        <v>4</v>
      </c>
      <c r="C537" s="17" t="s">
        <v>3079</v>
      </c>
      <c r="D537" s="17" t="s">
        <v>1330</v>
      </c>
      <c r="E537" s="41" t="s">
        <v>86</v>
      </c>
      <c r="F537" s="41" t="s">
        <v>622</v>
      </c>
      <c r="G537" s="17">
        <v>43.667499999999997</v>
      </c>
      <c r="H537" s="17">
        <v>5.1524999999999999</v>
      </c>
      <c r="I537" s="17">
        <v>400</v>
      </c>
      <c r="J537" s="17" t="s">
        <v>1330</v>
      </c>
      <c r="K537" s="17" t="s">
        <v>1330</v>
      </c>
      <c r="L537" s="17" t="s">
        <v>51</v>
      </c>
      <c r="M537" s="17" t="s">
        <v>1089</v>
      </c>
      <c r="N537" s="17" t="s">
        <v>3074</v>
      </c>
      <c r="O537" s="17" t="s">
        <v>433</v>
      </c>
      <c r="P537" s="17" t="s">
        <v>3080</v>
      </c>
    </row>
    <row r="538" spans="1:16" hidden="1" x14ac:dyDescent="0.35">
      <c r="A538" s="17">
        <v>117</v>
      </c>
      <c r="B538" s="17">
        <v>5</v>
      </c>
      <c r="C538" s="17" t="s">
        <v>3081</v>
      </c>
      <c r="D538" s="17" t="s">
        <v>1330</v>
      </c>
      <c r="E538" s="41" t="s">
        <v>86</v>
      </c>
      <c r="F538" s="41" t="s">
        <v>622</v>
      </c>
      <c r="G538" s="17">
        <v>43.667499999999997</v>
      </c>
      <c r="H538" s="17">
        <v>5.1524999999999999</v>
      </c>
      <c r="I538" s="17">
        <v>400</v>
      </c>
      <c r="J538" s="17" t="s">
        <v>1330</v>
      </c>
      <c r="K538" s="17" t="s">
        <v>1330</v>
      </c>
      <c r="L538" s="17" t="s">
        <v>51</v>
      </c>
      <c r="M538" s="17" t="s">
        <v>1089</v>
      </c>
      <c r="N538" s="17" t="s">
        <v>3074</v>
      </c>
      <c r="O538" s="17" t="s">
        <v>433</v>
      </c>
      <c r="P538" s="17" t="s">
        <v>3080</v>
      </c>
    </row>
    <row r="539" spans="1:16" hidden="1" x14ac:dyDescent="0.35">
      <c r="A539" s="17">
        <v>117</v>
      </c>
      <c r="B539" s="17">
        <v>6</v>
      </c>
      <c r="C539" s="17">
        <v>1995</v>
      </c>
      <c r="D539" s="17" t="s">
        <v>1330</v>
      </c>
      <c r="E539" s="41" t="s">
        <v>86</v>
      </c>
      <c r="F539" s="41" t="s">
        <v>622</v>
      </c>
      <c r="G539" s="17">
        <v>43.667499999999997</v>
      </c>
      <c r="H539" s="17">
        <v>5.1524999999999999</v>
      </c>
      <c r="I539" s="17">
        <v>400</v>
      </c>
      <c r="J539" s="17" t="s">
        <v>1330</v>
      </c>
      <c r="K539" s="17" t="s">
        <v>1330</v>
      </c>
      <c r="L539" s="17" t="s">
        <v>34</v>
      </c>
      <c r="M539" s="17" t="s">
        <v>1089</v>
      </c>
      <c r="N539" s="17" t="s">
        <v>3074</v>
      </c>
      <c r="O539" s="17" t="s">
        <v>433</v>
      </c>
      <c r="P539" s="17" t="s">
        <v>3082</v>
      </c>
    </row>
    <row r="540" spans="1:16" hidden="1" x14ac:dyDescent="0.35">
      <c r="A540" s="17">
        <v>117</v>
      </c>
      <c r="B540" s="17">
        <v>7</v>
      </c>
      <c r="C540" s="17" t="s">
        <v>3083</v>
      </c>
      <c r="D540" s="17" t="s">
        <v>1330</v>
      </c>
      <c r="E540" s="41" t="s">
        <v>86</v>
      </c>
      <c r="F540" s="41" t="s">
        <v>622</v>
      </c>
      <c r="G540" s="17">
        <v>43.667499999999997</v>
      </c>
      <c r="H540" s="17">
        <v>5.1524999999999999</v>
      </c>
      <c r="I540" s="17">
        <v>400</v>
      </c>
      <c r="J540" s="17" t="s">
        <v>1330</v>
      </c>
      <c r="K540" s="17" t="s">
        <v>1330</v>
      </c>
      <c r="L540" s="17" t="s">
        <v>51</v>
      </c>
      <c r="M540" s="17" t="s">
        <v>1089</v>
      </c>
      <c r="N540" s="17" t="s">
        <v>3074</v>
      </c>
      <c r="O540" s="17" t="s">
        <v>433</v>
      </c>
      <c r="P540" s="17" t="s">
        <v>3084</v>
      </c>
    </row>
    <row r="541" spans="1:16" hidden="1" x14ac:dyDescent="0.35">
      <c r="A541" s="17">
        <v>117</v>
      </c>
      <c r="B541" s="17">
        <v>8</v>
      </c>
      <c r="C541" s="17">
        <v>1993</v>
      </c>
      <c r="D541" s="17" t="s">
        <v>1330</v>
      </c>
      <c r="E541" s="41" t="s">
        <v>86</v>
      </c>
      <c r="F541" s="41" t="s">
        <v>622</v>
      </c>
      <c r="G541" s="17">
        <v>43.667499999999997</v>
      </c>
      <c r="H541" s="17">
        <v>5.1524999999999999</v>
      </c>
      <c r="I541" s="17">
        <v>400</v>
      </c>
      <c r="J541" s="17" t="s">
        <v>1330</v>
      </c>
      <c r="K541" s="17" t="s">
        <v>1330</v>
      </c>
      <c r="L541" s="17" t="s">
        <v>34</v>
      </c>
      <c r="M541" s="17" t="s">
        <v>1089</v>
      </c>
      <c r="N541" s="17" t="s">
        <v>3074</v>
      </c>
      <c r="O541" s="17" t="s">
        <v>433</v>
      </c>
      <c r="P541" s="17" t="s">
        <v>3085</v>
      </c>
    </row>
    <row r="542" spans="1:16" hidden="1" x14ac:dyDescent="0.35">
      <c r="A542" s="17">
        <v>117</v>
      </c>
      <c r="B542" s="17">
        <v>9</v>
      </c>
      <c r="C542" s="17">
        <v>1991</v>
      </c>
      <c r="D542" s="17" t="s">
        <v>1330</v>
      </c>
      <c r="E542" s="41" t="s">
        <v>86</v>
      </c>
      <c r="F542" s="41" t="s">
        <v>622</v>
      </c>
      <c r="G542" s="17">
        <v>43.667499999999997</v>
      </c>
      <c r="H542" s="17">
        <v>5.1524999999999999</v>
      </c>
      <c r="I542" s="17">
        <v>400</v>
      </c>
      <c r="J542" s="17" t="s">
        <v>1330</v>
      </c>
      <c r="K542" s="17" t="s">
        <v>1330</v>
      </c>
      <c r="L542" s="17" t="s">
        <v>34</v>
      </c>
      <c r="M542" s="17" t="s">
        <v>1089</v>
      </c>
      <c r="N542" s="17" t="s">
        <v>3074</v>
      </c>
      <c r="O542" s="17" t="s">
        <v>433</v>
      </c>
      <c r="P542" s="17" t="s">
        <v>3082</v>
      </c>
    </row>
    <row r="543" spans="1:16" hidden="1" x14ac:dyDescent="0.35">
      <c r="A543" s="17">
        <v>117</v>
      </c>
      <c r="B543" s="17">
        <v>10</v>
      </c>
      <c r="C543" s="17">
        <v>1989</v>
      </c>
      <c r="D543" s="17" t="s">
        <v>1330</v>
      </c>
      <c r="E543" s="41" t="s">
        <v>86</v>
      </c>
      <c r="F543" s="41" t="s">
        <v>622</v>
      </c>
      <c r="G543" s="17">
        <v>43.667499999999997</v>
      </c>
      <c r="H543" s="17">
        <v>5.1524999999999999</v>
      </c>
      <c r="I543" s="17">
        <v>400</v>
      </c>
      <c r="J543" s="17" t="s">
        <v>1330</v>
      </c>
      <c r="K543" s="17" t="s">
        <v>1330</v>
      </c>
      <c r="L543" s="17" t="s">
        <v>34</v>
      </c>
      <c r="M543" s="17" t="s">
        <v>1089</v>
      </c>
      <c r="N543" s="17" t="s">
        <v>3074</v>
      </c>
      <c r="O543" s="17" t="s">
        <v>433</v>
      </c>
      <c r="P543" s="17" t="s">
        <v>3086</v>
      </c>
    </row>
    <row r="544" spans="1:16" hidden="1" x14ac:dyDescent="0.35">
      <c r="A544" s="17">
        <v>117</v>
      </c>
      <c r="B544" s="17">
        <v>11</v>
      </c>
      <c r="C544" s="17" t="s">
        <v>3087</v>
      </c>
      <c r="D544" s="17" t="s">
        <v>1330</v>
      </c>
      <c r="E544" s="41" t="s">
        <v>86</v>
      </c>
      <c r="F544" s="41" t="s">
        <v>622</v>
      </c>
      <c r="G544" s="17">
        <v>43.667499999999997</v>
      </c>
      <c r="H544" s="17">
        <v>5.1524999999999999</v>
      </c>
      <c r="I544" s="17">
        <v>400</v>
      </c>
      <c r="J544" s="17" t="s">
        <v>1330</v>
      </c>
      <c r="K544" s="17" t="s">
        <v>1330</v>
      </c>
      <c r="L544" s="17" t="s">
        <v>51</v>
      </c>
      <c r="M544" s="17" t="s">
        <v>1089</v>
      </c>
      <c r="N544" s="17" t="s">
        <v>3074</v>
      </c>
      <c r="O544" s="17" t="s">
        <v>433</v>
      </c>
      <c r="P544" s="17" t="s">
        <v>3088</v>
      </c>
    </row>
    <row r="545" spans="1:17" hidden="1" x14ac:dyDescent="0.35">
      <c r="A545" s="17">
        <v>117</v>
      </c>
      <c r="B545" s="17">
        <v>12</v>
      </c>
      <c r="C545" s="17">
        <v>1971</v>
      </c>
      <c r="D545" s="17" t="s">
        <v>1330</v>
      </c>
      <c r="E545" s="41" t="s">
        <v>86</v>
      </c>
      <c r="F545" s="41" t="s">
        <v>622</v>
      </c>
      <c r="G545" s="17">
        <v>43.667499999999997</v>
      </c>
      <c r="H545" s="17">
        <v>5.1524999999999999</v>
      </c>
      <c r="I545" s="17">
        <v>400</v>
      </c>
      <c r="J545" s="17" t="s">
        <v>1330</v>
      </c>
      <c r="K545" s="17" t="s">
        <v>1330</v>
      </c>
      <c r="L545" s="17" t="s">
        <v>34</v>
      </c>
      <c r="M545" s="17" t="s">
        <v>1089</v>
      </c>
      <c r="N545" s="17" t="s">
        <v>3074</v>
      </c>
      <c r="O545" s="17" t="s">
        <v>433</v>
      </c>
      <c r="P545" s="17" t="s">
        <v>3089</v>
      </c>
    </row>
    <row r="546" spans="1:17" x14ac:dyDescent="0.35">
      <c r="A546" s="17">
        <v>228</v>
      </c>
      <c r="B546" s="17">
        <v>1</v>
      </c>
      <c r="C546" s="17" t="s">
        <v>3090</v>
      </c>
      <c r="D546" s="17" t="s">
        <v>404</v>
      </c>
      <c r="E546" s="41" t="s">
        <v>37</v>
      </c>
      <c r="F546" s="41" t="s">
        <v>620</v>
      </c>
      <c r="G546" s="17">
        <v>40.14611</v>
      </c>
      <c r="H546" s="17">
        <v>-7.9930599999999998</v>
      </c>
      <c r="I546" s="17">
        <v>500</v>
      </c>
      <c r="J546" s="17" t="s">
        <v>3091</v>
      </c>
      <c r="K546" s="17" t="s">
        <v>375</v>
      </c>
      <c r="L546" s="17" t="s">
        <v>34</v>
      </c>
      <c r="M546" s="17" t="s">
        <v>3092</v>
      </c>
      <c r="N546" s="17" t="s">
        <v>3093</v>
      </c>
      <c r="O546" s="17" t="s">
        <v>433</v>
      </c>
    </row>
    <row r="547" spans="1:17" x14ac:dyDescent="0.35">
      <c r="A547" s="17">
        <v>340</v>
      </c>
      <c r="B547" s="17">
        <v>1</v>
      </c>
      <c r="C547" s="17" t="s">
        <v>3094</v>
      </c>
      <c r="D547" s="17" t="s">
        <v>3095</v>
      </c>
      <c r="E547" s="41" t="s">
        <v>45</v>
      </c>
      <c r="F547" s="41" t="s">
        <v>622</v>
      </c>
      <c r="G547" s="17">
        <v>40.450000000000003</v>
      </c>
      <c r="H547" s="17">
        <v>-4.8</v>
      </c>
      <c r="I547" s="17" t="s">
        <v>3096</v>
      </c>
      <c r="J547" s="17">
        <v>22244</v>
      </c>
      <c r="K547" s="17" t="s">
        <v>102</v>
      </c>
      <c r="L547" s="17" t="s">
        <v>34</v>
      </c>
      <c r="M547" s="17" t="s">
        <v>1089</v>
      </c>
      <c r="N547" s="17" t="s">
        <v>3097</v>
      </c>
      <c r="O547" s="17" t="s">
        <v>433</v>
      </c>
      <c r="P547" s="17" t="s">
        <v>3098</v>
      </c>
    </row>
    <row r="548" spans="1:17" x14ac:dyDescent="0.35">
      <c r="A548" s="17">
        <v>457</v>
      </c>
      <c r="B548" s="17">
        <v>1</v>
      </c>
      <c r="C548" s="17" t="s">
        <v>3099</v>
      </c>
      <c r="D548" s="17" t="s">
        <v>404</v>
      </c>
      <c r="E548" s="41" t="s">
        <v>45</v>
      </c>
      <c r="F548" s="41" t="s">
        <v>622</v>
      </c>
      <c r="G548" s="17">
        <v>37.970874000000002</v>
      </c>
      <c r="H548" s="17">
        <v>-4.8340649999999998</v>
      </c>
      <c r="I548" s="17">
        <v>555.5</v>
      </c>
      <c r="J548" s="17">
        <v>18.77</v>
      </c>
      <c r="K548" s="17" t="s">
        <v>432</v>
      </c>
      <c r="L548" s="17" t="s">
        <v>34</v>
      </c>
      <c r="M548" s="17" t="s">
        <v>1089</v>
      </c>
      <c r="N548" s="17" t="s">
        <v>3100</v>
      </c>
      <c r="O548" s="17" t="s">
        <v>433</v>
      </c>
      <c r="P548" s="17" t="s">
        <v>3101</v>
      </c>
    </row>
    <row r="549" spans="1:17" x14ac:dyDescent="0.35">
      <c r="A549" s="17">
        <v>457</v>
      </c>
      <c r="B549" s="17">
        <v>2</v>
      </c>
      <c r="C549" s="17" t="s">
        <v>3102</v>
      </c>
      <c r="D549" s="17" t="s">
        <v>404</v>
      </c>
      <c r="E549" s="41" t="s">
        <v>45</v>
      </c>
      <c r="F549" s="41" t="s">
        <v>622</v>
      </c>
      <c r="G549" s="17">
        <v>37.970874000000002</v>
      </c>
      <c r="H549" s="17">
        <v>-4.8340649999999998</v>
      </c>
      <c r="I549" s="17">
        <v>555.5</v>
      </c>
      <c r="J549" s="17">
        <v>13.82</v>
      </c>
      <c r="K549" s="17" t="s">
        <v>432</v>
      </c>
      <c r="L549" s="17" t="s">
        <v>34</v>
      </c>
      <c r="M549" s="17" t="s">
        <v>1089</v>
      </c>
      <c r="N549" s="17" t="s">
        <v>3103</v>
      </c>
      <c r="O549" s="17" t="s">
        <v>433</v>
      </c>
      <c r="P549" s="17" t="s">
        <v>3104</v>
      </c>
    </row>
    <row r="550" spans="1:17" x14ac:dyDescent="0.35">
      <c r="A550" s="17">
        <v>485</v>
      </c>
      <c r="B550" s="17">
        <v>1</v>
      </c>
      <c r="C550" s="17" t="s">
        <v>3105</v>
      </c>
      <c r="E550" s="41" t="s">
        <v>45</v>
      </c>
      <c r="F550" s="41" t="s">
        <v>622</v>
      </c>
      <c r="G550" s="17">
        <v>40.17</v>
      </c>
      <c r="H550" s="17">
        <v>0.06</v>
      </c>
      <c r="I550" s="17">
        <v>350</v>
      </c>
      <c r="J550" s="17">
        <v>900</v>
      </c>
      <c r="K550" s="17" t="s">
        <v>102</v>
      </c>
      <c r="L550" s="17" t="s">
        <v>34</v>
      </c>
      <c r="M550" s="17" t="s">
        <v>38</v>
      </c>
      <c r="N550" s="17" t="s">
        <v>3106</v>
      </c>
      <c r="O550" s="17" t="s">
        <v>433</v>
      </c>
    </row>
    <row r="551" spans="1:17" x14ac:dyDescent="0.35">
      <c r="A551" s="17">
        <v>808</v>
      </c>
      <c r="B551" s="17">
        <v>1</v>
      </c>
      <c r="C551" s="17" t="s">
        <v>3107</v>
      </c>
      <c r="E551" s="41" t="s">
        <v>45</v>
      </c>
      <c r="F551" s="41" t="s">
        <v>621</v>
      </c>
      <c r="G551" s="17">
        <v>42.395899999999997</v>
      </c>
      <c r="H551" s="17">
        <v>2.9036</v>
      </c>
      <c r="I551" s="17">
        <v>185</v>
      </c>
      <c r="J551" s="17" t="s">
        <v>3108</v>
      </c>
      <c r="K551" s="17" t="s">
        <v>33</v>
      </c>
      <c r="L551" s="17" t="s">
        <v>34</v>
      </c>
      <c r="M551" s="17" t="s">
        <v>76</v>
      </c>
      <c r="N551" s="17" t="s">
        <v>3109</v>
      </c>
      <c r="O551" s="17" t="s">
        <v>433</v>
      </c>
      <c r="P551" s="17" t="s">
        <v>3110</v>
      </c>
    </row>
    <row r="552" spans="1:17" x14ac:dyDescent="0.35">
      <c r="A552" s="17">
        <v>808</v>
      </c>
      <c r="B552" s="17">
        <v>2</v>
      </c>
      <c r="C552" s="17" t="s">
        <v>3111</v>
      </c>
      <c r="E552" s="41" t="s">
        <v>45</v>
      </c>
      <c r="F552" s="41" t="s">
        <v>621</v>
      </c>
      <c r="G552" s="17">
        <v>42.395899999999997</v>
      </c>
      <c r="H552" s="17">
        <v>2.9036</v>
      </c>
      <c r="I552" s="17">
        <v>185</v>
      </c>
      <c r="J552" s="17" t="s">
        <v>3112</v>
      </c>
      <c r="K552" s="17" t="s">
        <v>33</v>
      </c>
      <c r="L552" s="17" t="s">
        <v>34</v>
      </c>
      <c r="M552" s="17" t="s">
        <v>76</v>
      </c>
      <c r="N552" s="17" t="s">
        <v>3109</v>
      </c>
      <c r="O552" s="17" t="s">
        <v>433</v>
      </c>
      <c r="P552" s="17" t="s">
        <v>3110</v>
      </c>
    </row>
    <row r="553" spans="1:17" x14ac:dyDescent="0.35">
      <c r="A553" s="17">
        <v>808</v>
      </c>
      <c r="B553" s="17">
        <v>3</v>
      </c>
      <c r="C553" s="17" t="s">
        <v>3113</v>
      </c>
      <c r="E553" s="41" t="s">
        <v>45</v>
      </c>
      <c r="F553" s="41" t="s">
        <v>621</v>
      </c>
      <c r="G553" s="17">
        <v>42.395899999999997</v>
      </c>
      <c r="H553" s="17">
        <v>2.9036</v>
      </c>
      <c r="I553" s="17">
        <v>185</v>
      </c>
      <c r="J553" s="17" t="s">
        <v>3114</v>
      </c>
      <c r="K553" s="17" t="s">
        <v>33</v>
      </c>
      <c r="L553" s="17" t="s">
        <v>34</v>
      </c>
      <c r="M553" s="17" t="s">
        <v>76</v>
      </c>
      <c r="N553" s="17" t="s">
        <v>3109</v>
      </c>
      <c r="O553" s="17" t="s">
        <v>433</v>
      </c>
      <c r="P553" s="17" t="s">
        <v>3110</v>
      </c>
    </row>
    <row r="554" spans="1:17" hidden="1" x14ac:dyDescent="0.35">
      <c r="A554" s="17">
        <v>809</v>
      </c>
      <c r="B554" s="17">
        <v>1</v>
      </c>
      <c r="C554" s="17" t="s">
        <v>3115</v>
      </c>
      <c r="E554" s="41" t="s">
        <v>82</v>
      </c>
      <c r="F554" s="41" t="s">
        <v>621</v>
      </c>
      <c r="G554" s="17">
        <v>43.706940000000003</v>
      </c>
      <c r="H554" s="17">
        <v>10.53889</v>
      </c>
      <c r="I554" s="17">
        <v>185</v>
      </c>
      <c r="J554" s="17" t="s">
        <v>1330</v>
      </c>
      <c r="K554" s="17" t="s">
        <v>1330</v>
      </c>
      <c r="L554" s="17" t="s">
        <v>34</v>
      </c>
      <c r="M554" s="17" t="s">
        <v>38</v>
      </c>
      <c r="N554" s="17" t="s">
        <v>3116</v>
      </c>
      <c r="O554" s="17" t="s">
        <v>433</v>
      </c>
      <c r="P554" s="17" t="s">
        <v>3117</v>
      </c>
    </row>
    <row r="555" spans="1:17" hidden="1" x14ac:dyDescent="0.35">
      <c r="A555" s="17">
        <v>809</v>
      </c>
      <c r="B555" s="17">
        <v>2</v>
      </c>
      <c r="C555" s="17" t="s">
        <v>3118</v>
      </c>
      <c r="E555" s="41" t="s">
        <v>82</v>
      </c>
      <c r="F555" s="41" t="s">
        <v>621</v>
      </c>
      <c r="G555" s="17">
        <v>43.706940000000003</v>
      </c>
      <c r="H555" s="17">
        <v>10.53889</v>
      </c>
      <c r="I555" s="17">
        <v>185</v>
      </c>
      <c r="J555" s="17" t="s">
        <v>1330</v>
      </c>
      <c r="K555" s="17" t="s">
        <v>1330</v>
      </c>
      <c r="L555" s="17" t="s">
        <v>34</v>
      </c>
      <c r="M555" s="17" t="s">
        <v>38</v>
      </c>
      <c r="N555" s="17" t="s">
        <v>3116</v>
      </c>
      <c r="O555" s="17" t="s">
        <v>433</v>
      </c>
      <c r="P555" s="17" t="s">
        <v>3119</v>
      </c>
    </row>
    <row r="556" spans="1:17" x14ac:dyDescent="0.35">
      <c r="A556" s="17">
        <v>821</v>
      </c>
      <c r="B556" s="17">
        <v>1</v>
      </c>
      <c r="C556" s="17">
        <v>2009</v>
      </c>
      <c r="D556" s="17" t="s">
        <v>404</v>
      </c>
      <c r="E556" s="41" t="s">
        <v>45</v>
      </c>
      <c r="F556" s="41" t="s">
        <v>621</v>
      </c>
      <c r="G556" s="17">
        <v>39.03913</v>
      </c>
      <c r="H556" s="17">
        <v>-1.5019400000000001</v>
      </c>
      <c r="I556" s="17">
        <v>920</v>
      </c>
      <c r="J556" s="17">
        <v>968</v>
      </c>
      <c r="K556" s="17" t="s">
        <v>432</v>
      </c>
      <c r="L556" s="17" t="s">
        <v>34</v>
      </c>
      <c r="M556" s="17" t="s">
        <v>38</v>
      </c>
      <c r="N556" s="17" t="s">
        <v>3120</v>
      </c>
      <c r="O556" s="17" t="s">
        <v>44</v>
      </c>
      <c r="P556" s="17" t="s">
        <v>3121</v>
      </c>
    </row>
    <row r="557" spans="1:17" x14ac:dyDescent="0.35">
      <c r="A557" s="17">
        <v>822</v>
      </c>
      <c r="B557" s="17">
        <v>1</v>
      </c>
      <c r="C557" s="17" t="s">
        <v>2220</v>
      </c>
      <c r="E557" s="41" t="s">
        <v>45</v>
      </c>
      <c r="F557" s="41" t="s">
        <v>621</v>
      </c>
      <c r="G557" s="17">
        <v>41.566670000000002</v>
      </c>
      <c r="H557" s="17">
        <v>1.76667</v>
      </c>
      <c r="I557" s="17">
        <v>478</v>
      </c>
      <c r="J557" s="17">
        <v>1082</v>
      </c>
      <c r="K557" s="17" t="s">
        <v>375</v>
      </c>
      <c r="L557" s="17" t="s">
        <v>34</v>
      </c>
      <c r="M557" s="17" t="s">
        <v>38</v>
      </c>
      <c r="N557" s="17" t="s">
        <v>3122</v>
      </c>
      <c r="O557" s="17" t="s">
        <v>433</v>
      </c>
      <c r="P557" s="17" t="s">
        <v>3123</v>
      </c>
    </row>
    <row r="558" spans="1:17" hidden="1" x14ac:dyDescent="0.35">
      <c r="A558" s="17">
        <v>27</v>
      </c>
      <c r="B558" s="17">
        <v>1</v>
      </c>
      <c r="C558" s="17" t="s">
        <v>3449</v>
      </c>
      <c r="D558" s="17" t="s">
        <v>1330</v>
      </c>
      <c r="E558" s="41" t="s">
        <v>37</v>
      </c>
      <c r="F558" s="41" t="s">
        <v>620</v>
      </c>
      <c r="G558" s="17">
        <v>40.583333333333336</v>
      </c>
      <c r="H558" s="17">
        <v>8.4333333333333336</v>
      </c>
      <c r="I558" s="17">
        <v>500</v>
      </c>
      <c r="J558" s="17">
        <v>6000</v>
      </c>
      <c r="K558" s="17" t="s">
        <v>1330</v>
      </c>
      <c r="L558" s="17" t="s">
        <v>34</v>
      </c>
      <c r="M558" s="17" t="s">
        <v>3450</v>
      </c>
      <c r="N558" s="17" t="s">
        <v>3451</v>
      </c>
      <c r="O558" s="17" t="s">
        <v>4749</v>
      </c>
      <c r="P558" s="17" t="s">
        <v>3452</v>
      </c>
      <c r="Q558" s="17" t="s">
        <v>3453</v>
      </c>
    </row>
    <row r="559" spans="1:17" hidden="1" x14ac:dyDescent="0.35">
      <c r="A559" s="17">
        <v>27</v>
      </c>
      <c r="B559" s="17">
        <v>2</v>
      </c>
      <c r="C559" s="17" t="s">
        <v>3454</v>
      </c>
      <c r="D559" s="17" t="s">
        <v>1330</v>
      </c>
      <c r="E559" s="41" t="s">
        <v>37</v>
      </c>
      <c r="F559" s="41" t="s">
        <v>620</v>
      </c>
      <c r="G559" s="17">
        <v>40.583333333333336</v>
      </c>
      <c r="H559" s="17">
        <v>8.4333333333333336</v>
      </c>
      <c r="I559" s="17">
        <v>500</v>
      </c>
      <c r="J559" s="17" t="s">
        <v>1330</v>
      </c>
      <c r="K559" s="17" t="s">
        <v>1330</v>
      </c>
      <c r="L559" s="17" t="s">
        <v>34</v>
      </c>
      <c r="M559" s="17" t="s">
        <v>3450</v>
      </c>
      <c r="N559" s="17" t="s">
        <v>3451</v>
      </c>
      <c r="O559" s="17" t="s">
        <v>4749</v>
      </c>
      <c r="P559" s="17" t="s">
        <v>3455</v>
      </c>
      <c r="Q559" s="17" t="s">
        <v>3453</v>
      </c>
    </row>
    <row r="560" spans="1:17" hidden="1" x14ac:dyDescent="0.35">
      <c r="A560" s="17">
        <v>27</v>
      </c>
      <c r="B560" s="17">
        <v>3</v>
      </c>
      <c r="C560" s="17" t="s">
        <v>1507</v>
      </c>
      <c r="D560" s="17" t="s">
        <v>1330</v>
      </c>
      <c r="E560" s="41" t="s">
        <v>37</v>
      </c>
      <c r="F560" s="41" t="s">
        <v>620</v>
      </c>
      <c r="G560" s="17">
        <v>40.583333333333336</v>
      </c>
      <c r="H560" s="17">
        <v>8.4333333333333336</v>
      </c>
      <c r="I560" s="17">
        <v>500</v>
      </c>
      <c r="J560" s="17" t="s">
        <v>1330</v>
      </c>
      <c r="K560" s="17" t="s">
        <v>1330</v>
      </c>
      <c r="L560" s="17" t="s">
        <v>34</v>
      </c>
      <c r="M560" s="17" t="s">
        <v>3450</v>
      </c>
      <c r="N560" s="17" t="s">
        <v>3451</v>
      </c>
      <c r="O560" s="17" t="s">
        <v>4749</v>
      </c>
      <c r="P560" s="17" t="s">
        <v>3455</v>
      </c>
      <c r="Q560" s="17" t="s">
        <v>3453</v>
      </c>
    </row>
    <row r="561" spans="1:18" x14ac:dyDescent="0.35">
      <c r="A561" s="17">
        <v>123</v>
      </c>
      <c r="B561" s="17">
        <v>1</v>
      </c>
      <c r="C561" s="17" t="s">
        <v>1344</v>
      </c>
      <c r="D561" s="17" t="s">
        <v>1330</v>
      </c>
      <c r="E561" s="41" t="s">
        <v>45</v>
      </c>
      <c r="F561" s="41" t="s">
        <v>620</v>
      </c>
      <c r="G561" s="17">
        <v>36.94</v>
      </c>
      <c r="H561" s="17">
        <v>3.4938888888888888</v>
      </c>
      <c r="I561" s="17">
        <v>1650</v>
      </c>
      <c r="J561" s="17">
        <v>1300</v>
      </c>
      <c r="K561" s="17" t="s">
        <v>33</v>
      </c>
      <c r="L561" s="17" t="s">
        <v>34</v>
      </c>
      <c r="M561" s="17" t="s">
        <v>1835</v>
      </c>
      <c r="N561" s="17" t="s">
        <v>3456</v>
      </c>
      <c r="O561" s="17" t="s">
        <v>44</v>
      </c>
      <c r="P561" s="17" t="s">
        <v>3457</v>
      </c>
      <c r="Q561" s="17" t="s">
        <v>3458</v>
      </c>
    </row>
    <row r="562" spans="1:18" x14ac:dyDescent="0.35">
      <c r="A562" s="17">
        <v>126</v>
      </c>
      <c r="B562" s="17">
        <v>1</v>
      </c>
      <c r="C562" s="17" t="s">
        <v>1381</v>
      </c>
      <c r="D562" s="17" t="s">
        <v>1330</v>
      </c>
      <c r="E562" s="41" t="s">
        <v>45</v>
      </c>
      <c r="F562" s="41" t="s">
        <v>622</v>
      </c>
      <c r="G562" s="17">
        <v>41.250300000000003</v>
      </c>
      <c r="H562" s="17">
        <v>-6.4939</v>
      </c>
      <c r="I562" s="17" t="s">
        <v>3459</v>
      </c>
      <c r="J562" s="17">
        <v>120</v>
      </c>
      <c r="K562" s="17" t="s">
        <v>430</v>
      </c>
      <c r="L562" s="17" t="s">
        <v>34</v>
      </c>
      <c r="M562" s="17" t="s">
        <v>1833</v>
      </c>
      <c r="N562" s="17" t="s">
        <v>3460</v>
      </c>
      <c r="O562" s="17" t="s">
        <v>1330</v>
      </c>
      <c r="P562" s="17" t="s">
        <v>3461</v>
      </c>
      <c r="Q562" s="17" t="s">
        <v>3462</v>
      </c>
    </row>
    <row r="563" spans="1:18" x14ac:dyDescent="0.35">
      <c r="A563" s="17">
        <v>126</v>
      </c>
      <c r="B563" s="17">
        <v>2</v>
      </c>
      <c r="C563" s="17" t="s">
        <v>3463</v>
      </c>
      <c r="D563" s="17" t="s">
        <v>1330</v>
      </c>
      <c r="E563" s="41" t="s">
        <v>45</v>
      </c>
      <c r="F563" s="41" t="s">
        <v>622</v>
      </c>
      <c r="G563" s="17">
        <v>41.250300000000003</v>
      </c>
      <c r="H563" s="17">
        <v>-6.4939</v>
      </c>
      <c r="I563" s="17" t="s">
        <v>3459</v>
      </c>
      <c r="J563" s="17">
        <v>452</v>
      </c>
      <c r="K563" s="17" t="s">
        <v>430</v>
      </c>
      <c r="L563" s="17" t="s">
        <v>34</v>
      </c>
      <c r="M563" s="17" t="s">
        <v>1833</v>
      </c>
      <c r="N563" s="17" t="s">
        <v>3460</v>
      </c>
      <c r="O563" s="17" t="s">
        <v>1330</v>
      </c>
      <c r="P563" s="17" t="s">
        <v>3461</v>
      </c>
      <c r="Q563" s="17" t="s">
        <v>3462</v>
      </c>
    </row>
    <row r="564" spans="1:18" x14ac:dyDescent="0.35">
      <c r="A564" s="17">
        <v>126</v>
      </c>
      <c r="B564" s="17">
        <v>3</v>
      </c>
      <c r="C564" s="17" t="s">
        <v>3464</v>
      </c>
      <c r="D564" s="17" t="s">
        <v>1330</v>
      </c>
      <c r="E564" s="41" t="s">
        <v>45</v>
      </c>
      <c r="F564" s="41" t="s">
        <v>622</v>
      </c>
      <c r="G564" s="17">
        <v>41.250300000000003</v>
      </c>
      <c r="H564" s="17">
        <v>-6.4939</v>
      </c>
      <c r="I564" s="17" t="s">
        <v>3459</v>
      </c>
      <c r="J564" s="17">
        <v>110</v>
      </c>
      <c r="K564" s="17" t="s">
        <v>430</v>
      </c>
      <c r="L564" s="17" t="s">
        <v>34</v>
      </c>
      <c r="M564" s="17" t="s">
        <v>1833</v>
      </c>
      <c r="N564" s="17" t="s">
        <v>3460</v>
      </c>
      <c r="O564" s="17" t="s">
        <v>1330</v>
      </c>
      <c r="P564" s="17" t="s">
        <v>3461</v>
      </c>
      <c r="Q564" s="17" t="s">
        <v>3462</v>
      </c>
    </row>
    <row r="565" spans="1:18" x14ac:dyDescent="0.35">
      <c r="A565" s="17">
        <v>151</v>
      </c>
      <c r="B565" s="17">
        <v>1</v>
      </c>
      <c r="C565" s="17" t="s">
        <v>1133</v>
      </c>
      <c r="D565" s="17" t="s">
        <v>1330</v>
      </c>
      <c r="E565" s="41" t="s">
        <v>45</v>
      </c>
      <c r="F565" s="41" t="s">
        <v>622</v>
      </c>
      <c r="G565" s="17">
        <v>41.616199999999999</v>
      </c>
      <c r="H565" s="17">
        <v>1.6415</v>
      </c>
      <c r="I565" s="17" t="s">
        <v>1330</v>
      </c>
      <c r="J565" s="17" t="s">
        <v>1330</v>
      </c>
      <c r="K565" s="17" t="s">
        <v>33</v>
      </c>
      <c r="L565" s="17" t="s">
        <v>34</v>
      </c>
      <c r="M565" s="17" t="s">
        <v>3465</v>
      </c>
      <c r="N565" s="17" t="s">
        <v>3466</v>
      </c>
      <c r="O565" s="17" t="s">
        <v>44</v>
      </c>
      <c r="P565" s="17" t="s">
        <v>3467</v>
      </c>
      <c r="Q565" s="17" t="s">
        <v>3468</v>
      </c>
      <c r="R565" s="17" t="s">
        <v>3469</v>
      </c>
    </row>
    <row r="566" spans="1:18" x14ac:dyDescent="0.35">
      <c r="A566" s="17">
        <v>156</v>
      </c>
      <c r="B566" s="17">
        <v>1</v>
      </c>
      <c r="C566" s="17" t="s">
        <v>3470</v>
      </c>
      <c r="D566" s="17" t="s">
        <v>1330</v>
      </c>
      <c r="E566" s="41" t="s">
        <v>37</v>
      </c>
      <c r="F566" s="41" t="s">
        <v>621</v>
      </c>
      <c r="G566" s="17">
        <v>39.825000000000003</v>
      </c>
      <c r="H566" s="17">
        <v>7.833333333333333</v>
      </c>
      <c r="I566" s="17">
        <v>675</v>
      </c>
      <c r="J566" s="17" t="s">
        <v>1330</v>
      </c>
      <c r="K566" s="17" t="s">
        <v>33</v>
      </c>
      <c r="L566" s="17" t="s">
        <v>51</v>
      </c>
      <c r="M566" s="17" t="s">
        <v>2724</v>
      </c>
      <c r="N566" s="17" t="s">
        <v>3471</v>
      </c>
      <c r="O566" s="17" t="s">
        <v>433</v>
      </c>
      <c r="P566" s="17" t="s">
        <v>3472</v>
      </c>
      <c r="Q566" s="17" t="s">
        <v>3473</v>
      </c>
    </row>
    <row r="567" spans="1:18" x14ac:dyDescent="0.35">
      <c r="A567" s="17">
        <v>156</v>
      </c>
      <c r="B567" s="17">
        <v>2</v>
      </c>
      <c r="C567" s="17" t="s">
        <v>59</v>
      </c>
      <c r="D567" s="17" t="s">
        <v>1330</v>
      </c>
      <c r="E567" s="41" t="s">
        <v>37</v>
      </c>
      <c r="F567" s="41" t="s">
        <v>621</v>
      </c>
      <c r="G567" s="17">
        <v>39.825000000000003</v>
      </c>
      <c r="H567" s="17">
        <v>7.833333333333333</v>
      </c>
      <c r="I567" s="17">
        <v>675</v>
      </c>
      <c r="J567" s="17" t="s">
        <v>1330</v>
      </c>
      <c r="K567" s="17" t="s">
        <v>33</v>
      </c>
      <c r="L567" s="17" t="s">
        <v>51</v>
      </c>
      <c r="M567" s="17" t="s">
        <v>2724</v>
      </c>
      <c r="N567" s="17" t="s">
        <v>3471</v>
      </c>
      <c r="O567" s="17" t="s">
        <v>433</v>
      </c>
      <c r="P567" s="17" t="s">
        <v>3472</v>
      </c>
      <c r="Q567" s="17" t="s">
        <v>3473</v>
      </c>
    </row>
    <row r="568" spans="1:18" x14ac:dyDescent="0.35">
      <c r="A568" s="17">
        <v>162</v>
      </c>
      <c r="B568" s="17">
        <v>1</v>
      </c>
      <c r="C568" s="17" t="s">
        <v>3474</v>
      </c>
      <c r="D568" s="17" t="s">
        <v>1330</v>
      </c>
      <c r="E568" s="41" t="s">
        <v>37</v>
      </c>
      <c r="F568" s="41" t="s">
        <v>620</v>
      </c>
      <c r="G568" s="17">
        <v>40.133333333333333</v>
      </c>
      <c r="H568" s="17">
        <v>8.1666666666666661</v>
      </c>
      <c r="I568" s="17">
        <v>497</v>
      </c>
      <c r="J568" s="17">
        <v>60</v>
      </c>
      <c r="K568" s="17" t="s">
        <v>1101</v>
      </c>
      <c r="L568" s="17" t="s">
        <v>34</v>
      </c>
      <c r="M568" s="17" t="s">
        <v>2724</v>
      </c>
      <c r="N568" s="17" t="s">
        <v>3475</v>
      </c>
      <c r="O568" s="17" t="s">
        <v>44</v>
      </c>
      <c r="P568" s="17" t="s">
        <v>3476</v>
      </c>
      <c r="Q568" s="17" t="s">
        <v>3477</v>
      </c>
    </row>
    <row r="569" spans="1:18" x14ac:dyDescent="0.35">
      <c r="A569" s="17">
        <v>198</v>
      </c>
      <c r="B569" s="17">
        <v>1</v>
      </c>
      <c r="C569" s="17" t="s">
        <v>3478</v>
      </c>
      <c r="D569" s="17" t="s">
        <v>1330</v>
      </c>
      <c r="E569" s="41" t="s">
        <v>45</v>
      </c>
      <c r="F569" s="41" t="s">
        <v>620</v>
      </c>
      <c r="G569" s="17">
        <v>40.249166666666667</v>
      </c>
      <c r="H569" s="17">
        <v>4.9094444444444445</v>
      </c>
      <c r="I569" s="17">
        <v>995</v>
      </c>
      <c r="J569" s="17">
        <v>6652</v>
      </c>
      <c r="K569" s="17" t="s">
        <v>33</v>
      </c>
      <c r="L569" s="17" t="s">
        <v>34</v>
      </c>
      <c r="M569" s="17" t="s">
        <v>2724</v>
      </c>
      <c r="N569" s="17" t="s">
        <v>3479</v>
      </c>
      <c r="O569" s="17" t="s">
        <v>1330</v>
      </c>
      <c r="P569" s="17" t="s">
        <v>3480</v>
      </c>
      <c r="Q569" s="17" t="s">
        <v>3481</v>
      </c>
    </row>
    <row r="570" spans="1:18" hidden="1" x14ac:dyDescent="0.35">
      <c r="A570" s="17">
        <v>199</v>
      </c>
      <c r="B570" s="17">
        <v>1</v>
      </c>
      <c r="C570" s="17" t="s">
        <v>55</v>
      </c>
      <c r="D570" s="17" t="s">
        <v>404</v>
      </c>
      <c r="E570" s="41" t="s">
        <v>49</v>
      </c>
      <c r="F570" s="41" t="s">
        <v>622</v>
      </c>
      <c r="G570" s="17">
        <v>39.947000000000003</v>
      </c>
      <c r="H570" s="17">
        <v>23.53</v>
      </c>
      <c r="I570" s="17" t="s">
        <v>1330</v>
      </c>
      <c r="J570" s="17" t="s">
        <v>1330</v>
      </c>
      <c r="K570" s="17" t="s">
        <v>1330</v>
      </c>
      <c r="L570" s="17" t="s">
        <v>51</v>
      </c>
      <c r="M570" s="17" t="s">
        <v>3482</v>
      </c>
      <c r="N570" s="17" t="s">
        <v>3483</v>
      </c>
      <c r="O570" s="17" t="s">
        <v>433</v>
      </c>
      <c r="P570" s="17" t="s">
        <v>3484</v>
      </c>
      <c r="Q570" s="17" t="s">
        <v>3485</v>
      </c>
    </row>
    <row r="571" spans="1:18" hidden="1" x14ac:dyDescent="0.35">
      <c r="A571" s="17">
        <v>199</v>
      </c>
      <c r="B571" s="17">
        <v>2</v>
      </c>
      <c r="C571" s="17" t="s">
        <v>3486</v>
      </c>
      <c r="D571" s="17" t="s">
        <v>1330</v>
      </c>
      <c r="E571" s="41" t="s">
        <v>49</v>
      </c>
      <c r="F571" s="41" t="s">
        <v>622</v>
      </c>
      <c r="G571" s="17">
        <v>40.098999999999997</v>
      </c>
      <c r="H571" s="17">
        <v>23.436388034754099</v>
      </c>
      <c r="I571" s="17" t="s">
        <v>1330</v>
      </c>
      <c r="J571" s="17" t="s">
        <v>1330</v>
      </c>
      <c r="K571" s="17" t="s">
        <v>1330</v>
      </c>
      <c r="P571" s="17" t="s">
        <v>3487</v>
      </c>
      <c r="Q571" s="17" t="s">
        <v>3488</v>
      </c>
    </row>
    <row r="572" spans="1:18" hidden="1" x14ac:dyDescent="0.35">
      <c r="A572" s="17">
        <v>199</v>
      </c>
      <c r="B572" s="17">
        <v>3</v>
      </c>
      <c r="C572" s="17" t="s">
        <v>3489</v>
      </c>
      <c r="D572" s="17" t="s">
        <v>1330</v>
      </c>
      <c r="E572" s="41" t="s">
        <v>49</v>
      </c>
      <c r="F572" s="41" t="s">
        <v>622</v>
      </c>
      <c r="G572" s="17">
        <v>39.953000000000003</v>
      </c>
      <c r="H572" s="17">
        <v>23.607452379575601</v>
      </c>
      <c r="I572" s="17" t="s">
        <v>1330</v>
      </c>
      <c r="J572" s="17" t="s">
        <v>1330</v>
      </c>
      <c r="K572" s="17" t="s">
        <v>1330</v>
      </c>
      <c r="P572" s="17" t="s">
        <v>3490</v>
      </c>
      <c r="Q572" s="17" t="s">
        <v>3491</v>
      </c>
    </row>
    <row r="573" spans="1:18" hidden="1" x14ac:dyDescent="0.35">
      <c r="A573" s="17">
        <v>199</v>
      </c>
      <c r="B573" s="17">
        <v>4</v>
      </c>
      <c r="C573" s="17" t="s">
        <v>3492</v>
      </c>
      <c r="D573" s="17" t="s">
        <v>1330</v>
      </c>
      <c r="E573" s="41" t="s">
        <v>49</v>
      </c>
      <c r="F573" s="41" t="s">
        <v>622</v>
      </c>
      <c r="G573" s="17">
        <v>40.0144458730596</v>
      </c>
      <c r="H573" s="17">
        <v>23.528710144875301</v>
      </c>
      <c r="I573" s="17" t="s">
        <v>1330</v>
      </c>
      <c r="J573" s="17" t="s">
        <v>1330</v>
      </c>
      <c r="K573" s="17" t="s">
        <v>1330</v>
      </c>
      <c r="P573" s="17" t="s">
        <v>3490</v>
      </c>
      <c r="Q573" s="17" t="s">
        <v>3493</v>
      </c>
    </row>
    <row r="574" spans="1:18" hidden="1" x14ac:dyDescent="0.35">
      <c r="A574" s="17">
        <v>199</v>
      </c>
      <c r="B574" s="17">
        <v>5</v>
      </c>
      <c r="C574" s="17" t="s">
        <v>3494</v>
      </c>
      <c r="D574" s="17" t="s">
        <v>1330</v>
      </c>
      <c r="E574" s="41" t="s">
        <v>49</v>
      </c>
      <c r="F574" s="41" t="s">
        <v>622</v>
      </c>
      <c r="G574" s="17">
        <v>40.0144458730596</v>
      </c>
      <c r="H574" s="17">
        <v>23.528700000000001</v>
      </c>
      <c r="I574" s="17" t="s">
        <v>1330</v>
      </c>
      <c r="J574" s="17" t="s">
        <v>1330</v>
      </c>
      <c r="K574" s="17" t="s">
        <v>1330</v>
      </c>
      <c r="P574" s="17" t="s">
        <v>3490</v>
      </c>
      <c r="Q574" s="17" t="s">
        <v>3495</v>
      </c>
    </row>
    <row r="575" spans="1:18" x14ac:dyDescent="0.35">
      <c r="A575" s="17">
        <v>203</v>
      </c>
      <c r="B575" s="17">
        <v>1</v>
      </c>
      <c r="C575" s="17" t="s">
        <v>3496</v>
      </c>
      <c r="D575" s="17" t="s">
        <v>404</v>
      </c>
      <c r="E575" s="41" t="s">
        <v>45</v>
      </c>
      <c r="F575" s="41" t="s">
        <v>621</v>
      </c>
      <c r="G575" s="17">
        <v>42</v>
      </c>
      <c r="H575" s="17">
        <v>1.2</v>
      </c>
      <c r="I575" s="17">
        <v>550</v>
      </c>
      <c r="J575" s="17">
        <v>200</v>
      </c>
      <c r="K575" s="17" t="s">
        <v>33</v>
      </c>
      <c r="L575" s="17" t="s">
        <v>34</v>
      </c>
      <c r="M575" s="17" t="s">
        <v>3497</v>
      </c>
      <c r="N575" s="17" t="s">
        <v>3498</v>
      </c>
      <c r="O575" s="17" t="s">
        <v>44</v>
      </c>
      <c r="Q575" s="17" t="s">
        <v>3499</v>
      </c>
    </row>
    <row r="576" spans="1:18" x14ac:dyDescent="0.35">
      <c r="A576" s="17">
        <v>221</v>
      </c>
      <c r="B576" s="17">
        <v>1</v>
      </c>
      <c r="C576" s="17" t="s">
        <v>1381</v>
      </c>
      <c r="D576" s="17" t="s">
        <v>1330</v>
      </c>
      <c r="E576" s="41" t="s">
        <v>45</v>
      </c>
      <c r="F576" s="41" t="s">
        <v>620</v>
      </c>
      <c r="G576" s="17">
        <v>38.68333333333333</v>
      </c>
      <c r="H576" s="17">
        <v>0.2</v>
      </c>
      <c r="I576" s="17">
        <v>450</v>
      </c>
      <c r="J576" s="17">
        <v>263</v>
      </c>
      <c r="K576" s="17" t="s">
        <v>33</v>
      </c>
      <c r="L576" s="17" t="s">
        <v>34</v>
      </c>
      <c r="M576" s="17" t="s">
        <v>3482</v>
      </c>
      <c r="N576" s="17" t="s">
        <v>3500</v>
      </c>
      <c r="O576" s="17" t="s">
        <v>1330</v>
      </c>
      <c r="Q576" s="17" t="s">
        <v>3501</v>
      </c>
    </row>
    <row r="577" spans="1:17" x14ac:dyDescent="0.35">
      <c r="A577" s="17">
        <v>223</v>
      </c>
      <c r="B577" s="17">
        <v>1</v>
      </c>
      <c r="C577" s="17" t="s">
        <v>3502</v>
      </c>
      <c r="D577" s="17" t="s">
        <v>1330</v>
      </c>
      <c r="E577" s="41" t="s">
        <v>45</v>
      </c>
      <c r="F577" s="41" t="s">
        <v>620</v>
      </c>
      <c r="G577" s="17">
        <v>39.68</v>
      </c>
      <c r="H577" s="17">
        <v>0.41407222222222223</v>
      </c>
      <c r="I577" s="17" t="s">
        <v>1330</v>
      </c>
      <c r="J577" s="17">
        <v>716</v>
      </c>
      <c r="K577" s="17" t="s">
        <v>33</v>
      </c>
      <c r="L577" s="17" t="s">
        <v>34</v>
      </c>
      <c r="M577" s="17" t="s">
        <v>3482</v>
      </c>
      <c r="N577" s="17" t="s">
        <v>3503</v>
      </c>
      <c r="O577" s="17" t="s">
        <v>1330</v>
      </c>
      <c r="P577" s="17" t="s">
        <v>3504</v>
      </c>
      <c r="Q577" s="17" t="s">
        <v>3505</v>
      </c>
    </row>
    <row r="578" spans="1:17" hidden="1" x14ac:dyDescent="0.35">
      <c r="A578" s="17">
        <v>225</v>
      </c>
      <c r="B578" s="17">
        <v>1</v>
      </c>
      <c r="C578" s="17" t="s">
        <v>3506</v>
      </c>
      <c r="D578" s="17" t="s">
        <v>1330</v>
      </c>
      <c r="E578" s="41" t="s">
        <v>74</v>
      </c>
      <c r="F578" s="41" t="s">
        <v>622</v>
      </c>
      <c r="G578" s="17">
        <v>32.7425</v>
      </c>
      <c r="H578" s="17">
        <v>35.027500000000003</v>
      </c>
      <c r="I578" s="17" t="s">
        <v>3507</v>
      </c>
      <c r="J578" s="17">
        <v>154</v>
      </c>
      <c r="K578" s="17" t="s">
        <v>432</v>
      </c>
      <c r="L578" s="17" t="s">
        <v>34</v>
      </c>
      <c r="M578" s="17" t="s">
        <v>3508</v>
      </c>
      <c r="N578" s="17" t="s">
        <v>3509</v>
      </c>
      <c r="O578" s="17" t="s">
        <v>1330</v>
      </c>
      <c r="P578" s="17" t="s">
        <v>3510</v>
      </c>
      <c r="Q578" s="17" t="s">
        <v>3511</v>
      </c>
    </row>
    <row r="579" spans="1:17" hidden="1" x14ac:dyDescent="0.35">
      <c r="A579" s="17">
        <v>231</v>
      </c>
      <c r="B579" s="17">
        <v>1</v>
      </c>
      <c r="C579" s="17" t="s">
        <v>3512</v>
      </c>
      <c r="D579" s="17" t="s">
        <v>1330</v>
      </c>
      <c r="E579" s="41" t="s">
        <v>49</v>
      </c>
      <c r="F579" s="41" t="s">
        <v>621</v>
      </c>
      <c r="G579" s="17">
        <v>38</v>
      </c>
      <c r="H579" s="17">
        <v>23.866666666666667</v>
      </c>
      <c r="I579" s="17" t="s">
        <v>3513</v>
      </c>
      <c r="J579" s="17">
        <v>1449</v>
      </c>
      <c r="K579" s="17" t="s">
        <v>33</v>
      </c>
      <c r="L579" s="17" t="s">
        <v>51</v>
      </c>
      <c r="M579" s="17" t="s">
        <v>3482</v>
      </c>
      <c r="N579" s="17" t="s">
        <v>3514</v>
      </c>
      <c r="O579" s="17" t="s">
        <v>101</v>
      </c>
      <c r="P579" s="17" t="s">
        <v>3515</v>
      </c>
      <c r="Q579" s="17" t="s">
        <v>3516</v>
      </c>
    </row>
    <row r="580" spans="1:17" hidden="1" x14ac:dyDescent="0.35">
      <c r="A580" s="17">
        <v>231</v>
      </c>
      <c r="B580" s="17">
        <v>2</v>
      </c>
      <c r="C580" s="17" t="s">
        <v>3517</v>
      </c>
      <c r="D580" s="17" t="s">
        <v>1330</v>
      </c>
      <c r="E580" s="41" t="s">
        <v>49</v>
      </c>
      <c r="G580" s="17" t="s">
        <v>1330</v>
      </c>
      <c r="I580" s="17" t="s">
        <v>1330</v>
      </c>
      <c r="J580" s="17">
        <v>25100</v>
      </c>
      <c r="K580" s="17" t="s">
        <v>1330</v>
      </c>
      <c r="L580" s="17" t="s">
        <v>51</v>
      </c>
      <c r="M580" s="17" t="s">
        <v>1330</v>
      </c>
      <c r="N580" s="17" t="s">
        <v>1330</v>
      </c>
      <c r="Q580" s="17" t="s">
        <v>3518</v>
      </c>
    </row>
    <row r="581" spans="1:17" hidden="1" x14ac:dyDescent="0.35">
      <c r="A581" s="17">
        <v>231</v>
      </c>
      <c r="B581" s="17">
        <v>3</v>
      </c>
      <c r="C581" s="17" t="s">
        <v>3519</v>
      </c>
      <c r="D581" s="17" t="s">
        <v>1330</v>
      </c>
      <c r="E581" s="41" t="s">
        <v>49</v>
      </c>
      <c r="G581" s="17" t="s">
        <v>1330</v>
      </c>
      <c r="I581" s="17" t="s">
        <v>1330</v>
      </c>
      <c r="J581" s="17" t="s">
        <v>1330</v>
      </c>
      <c r="K581" s="17" t="s">
        <v>1330</v>
      </c>
      <c r="L581" s="17" t="s">
        <v>51</v>
      </c>
      <c r="M581" s="17" t="s">
        <v>1330</v>
      </c>
      <c r="N581" s="17" t="s">
        <v>1330</v>
      </c>
      <c r="Q581" s="17" t="s">
        <v>3518</v>
      </c>
    </row>
    <row r="582" spans="1:17" hidden="1" x14ac:dyDescent="0.35">
      <c r="A582" s="17">
        <v>231</v>
      </c>
      <c r="B582" s="17">
        <v>4</v>
      </c>
      <c r="C582" s="17" t="s">
        <v>3520</v>
      </c>
      <c r="D582" s="17" t="s">
        <v>1330</v>
      </c>
      <c r="E582" s="41" t="s">
        <v>49</v>
      </c>
      <c r="G582" s="17" t="s">
        <v>1330</v>
      </c>
      <c r="I582" s="17" t="s">
        <v>1330</v>
      </c>
      <c r="J582" s="17">
        <v>400</v>
      </c>
      <c r="K582" s="17" t="s">
        <v>1330</v>
      </c>
      <c r="L582" s="17" t="s">
        <v>51</v>
      </c>
      <c r="M582" s="17" t="s">
        <v>1330</v>
      </c>
      <c r="N582" s="17" t="s">
        <v>1330</v>
      </c>
      <c r="Q582" s="17" t="s">
        <v>3518</v>
      </c>
    </row>
    <row r="583" spans="1:17" hidden="1" x14ac:dyDescent="0.35">
      <c r="A583" s="17">
        <v>231</v>
      </c>
      <c r="B583" s="17">
        <v>5</v>
      </c>
      <c r="C583" s="17" t="s">
        <v>3521</v>
      </c>
      <c r="D583" s="17" t="s">
        <v>1330</v>
      </c>
      <c r="E583" s="41" t="s">
        <v>49</v>
      </c>
      <c r="G583" s="17" t="s">
        <v>1330</v>
      </c>
      <c r="I583" s="17" t="s">
        <v>1330</v>
      </c>
      <c r="J583" s="17">
        <v>85000</v>
      </c>
      <c r="K583" s="17" t="s">
        <v>1330</v>
      </c>
      <c r="L583" s="17" t="s">
        <v>51</v>
      </c>
      <c r="M583" s="17" t="s">
        <v>1330</v>
      </c>
      <c r="N583" s="17" t="s">
        <v>1330</v>
      </c>
      <c r="Q583" s="17" t="s">
        <v>3518</v>
      </c>
    </row>
    <row r="584" spans="1:17" hidden="1" x14ac:dyDescent="0.35">
      <c r="A584" s="17">
        <v>238</v>
      </c>
      <c r="B584" s="17">
        <v>1</v>
      </c>
      <c r="C584" s="17" t="s">
        <v>1058</v>
      </c>
      <c r="D584" s="17" t="s">
        <v>1330</v>
      </c>
      <c r="E584" s="41" t="s">
        <v>86</v>
      </c>
      <c r="F584" s="41" t="s">
        <v>620</v>
      </c>
      <c r="G584" s="17">
        <v>43.05</v>
      </c>
      <c r="H584" s="17">
        <v>6.05</v>
      </c>
      <c r="I584" s="17">
        <v>200</v>
      </c>
      <c r="J584" s="17" t="s">
        <v>1330</v>
      </c>
      <c r="K584" s="17" t="s">
        <v>1330</v>
      </c>
      <c r="L584" s="17" t="s">
        <v>51</v>
      </c>
      <c r="M584" s="17" t="s">
        <v>3522</v>
      </c>
      <c r="N584" s="17" t="s">
        <v>3523</v>
      </c>
      <c r="O584" s="17" t="s">
        <v>1330</v>
      </c>
      <c r="P584" s="17" t="s">
        <v>3524</v>
      </c>
      <c r="Q584" s="17" t="s">
        <v>3525</v>
      </c>
    </row>
    <row r="585" spans="1:17" hidden="1" x14ac:dyDescent="0.35">
      <c r="A585" s="17">
        <v>238</v>
      </c>
      <c r="B585" s="17">
        <v>2</v>
      </c>
      <c r="C585" s="17" t="s">
        <v>88</v>
      </c>
      <c r="D585" s="17" t="s">
        <v>1330</v>
      </c>
      <c r="E585" s="41" t="s">
        <v>86</v>
      </c>
      <c r="F585" s="41" t="s">
        <v>620</v>
      </c>
      <c r="G585" s="17">
        <v>43.05</v>
      </c>
      <c r="H585" s="17">
        <v>6.05</v>
      </c>
      <c r="I585" s="17">
        <v>200</v>
      </c>
      <c r="J585" s="17" t="s">
        <v>1330</v>
      </c>
      <c r="K585" s="17" t="s">
        <v>1330</v>
      </c>
      <c r="L585" s="17" t="s">
        <v>51</v>
      </c>
      <c r="M585" s="17" t="s">
        <v>3522</v>
      </c>
      <c r="N585" s="17" t="s">
        <v>3523</v>
      </c>
      <c r="O585" s="17" t="s">
        <v>1330</v>
      </c>
      <c r="P585" s="17" t="s">
        <v>3524</v>
      </c>
      <c r="Q585" s="17" t="s">
        <v>3525</v>
      </c>
    </row>
    <row r="586" spans="1:17" hidden="1" x14ac:dyDescent="0.35">
      <c r="A586" s="17">
        <v>238</v>
      </c>
      <c r="B586" s="17">
        <v>3</v>
      </c>
      <c r="C586" s="17" t="s">
        <v>55</v>
      </c>
      <c r="D586" s="17" t="s">
        <v>1330</v>
      </c>
      <c r="E586" s="41" t="s">
        <v>86</v>
      </c>
      <c r="F586" s="41" t="s">
        <v>620</v>
      </c>
      <c r="G586" s="17">
        <v>43.05</v>
      </c>
      <c r="H586" s="17">
        <v>6.05</v>
      </c>
      <c r="I586" s="17">
        <v>200</v>
      </c>
      <c r="J586" s="17" t="s">
        <v>1330</v>
      </c>
      <c r="K586" s="17" t="s">
        <v>1330</v>
      </c>
      <c r="L586" s="17" t="s">
        <v>51</v>
      </c>
      <c r="M586" s="17" t="s">
        <v>3522</v>
      </c>
      <c r="N586" s="17" t="s">
        <v>3523</v>
      </c>
      <c r="O586" s="17" t="s">
        <v>1330</v>
      </c>
      <c r="P586" s="17" t="s">
        <v>3524</v>
      </c>
      <c r="Q586" s="17" t="s">
        <v>3525</v>
      </c>
    </row>
    <row r="587" spans="1:17" hidden="1" x14ac:dyDescent="0.35">
      <c r="A587" s="17">
        <v>238</v>
      </c>
      <c r="B587" s="17">
        <v>4</v>
      </c>
      <c r="C587" s="17" t="s">
        <v>89</v>
      </c>
      <c r="D587" s="17" t="s">
        <v>1330</v>
      </c>
      <c r="E587" s="41" t="s">
        <v>86</v>
      </c>
      <c r="F587" s="41" t="s">
        <v>620</v>
      </c>
      <c r="G587" s="17">
        <v>43.05</v>
      </c>
      <c r="H587" s="17">
        <v>6.05</v>
      </c>
      <c r="I587" s="17">
        <v>200</v>
      </c>
      <c r="J587" s="17">
        <v>25000</v>
      </c>
      <c r="K587" s="17" t="s">
        <v>33</v>
      </c>
      <c r="L587" s="17" t="s">
        <v>51</v>
      </c>
      <c r="M587" s="17" t="s">
        <v>3522</v>
      </c>
      <c r="N587" s="17" t="s">
        <v>3523</v>
      </c>
      <c r="O587" s="17" t="s">
        <v>1330</v>
      </c>
      <c r="P587" s="17" t="s">
        <v>3524</v>
      </c>
      <c r="Q587" s="17" t="s">
        <v>3525</v>
      </c>
    </row>
    <row r="588" spans="1:17" hidden="1" x14ac:dyDescent="0.35">
      <c r="A588" s="17">
        <v>238</v>
      </c>
      <c r="B588" s="17">
        <v>5</v>
      </c>
      <c r="C588" s="17" t="s">
        <v>59</v>
      </c>
      <c r="D588" s="17" t="s">
        <v>1330</v>
      </c>
      <c r="E588" s="41" t="s">
        <v>86</v>
      </c>
      <c r="F588" s="41" t="s">
        <v>620</v>
      </c>
      <c r="G588" s="17">
        <v>43.05</v>
      </c>
      <c r="H588" s="17">
        <v>6.05</v>
      </c>
      <c r="I588" s="17">
        <v>200</v>
      </c>
      <c r="J588" s="17">
        <v>14000</v>
      </c>
      <c r="K588" s="17" t="s">
        <v>33</v>
      </c>
      <c r="L588" s="17" t="s">
        <v>51</v>
      </c>
      <c r="M588" s="17" t="s">
        <v>3522</v>
      </c>
      <c r="N588" s="17" t="s">
        <v>3523</v>
      </c>
      <c r="O588" s="17" t="s">
        <v>1330</v>
      </c>
      <c r="P588" s="17" t="s">
        <v>3524</v>
      </c>
      <c r="Q588" s="17" t="s">
        <v>3525</v>
      </c>
    </row>
    <row r="589" spans="1:17" x14ac:dyDescent="0.35">
      <c r="A589" s="17">
        <v>244</v>
      </c>
      <c r="B589" s="17">
        <v>1</v>
      </c>
      <c r="C589" s="17" t="s">
        <v>1099</v>
      </c>
      <c r="D589" s="17" t="s">
        <v>404</v>
      </c>
      <c r="E589" s="41" t="s">
        <v>82</v>
      </c>
      <c r="F589" s="41" t="s">
        <v>622</v>
      </c>
      <c r="G589" s="17">
        <v>38.128900000000002</v>
      </c>
      <c r="H589" s="17">
        <v>12.764799999999999</v>
      </c>
      <c r="I589" s="17" t="s">
        <v>1330</v>
      </c>
      <c r="J589" s="17">
        <v>2772.6000000000004</v>
      </c>
      <c r="K589" s="17" t="s">
        <v>102</v>
      </c>
      <c r="L589" s="17" t="s">
        <v>51</v>
      </c>
      <c r="M589" s="17" t="s">
        <v>3526</v>
      </c>
      <c r="N589" s="17" t="s">
        <v>3527</v>
      </c>
      <c r="O589" s="17" t="s">
        <v>1330</v>
      </c>
      <c r="P589" s="17" t="s">
        <v>3528</v>
      </c>
      <c r="Q589" s="17" t="s">
        <v>3529</v>
      </c>
    </row>
    <row r="590" spans="1:17" x14ac:dyDescent="0.35">
      <c r="A590" s="17">
        <v>244</v>
      </c>
      <c r="B590" s="17">
        <v>2</v>
      </c>
      <c r="C590" s="17" t="s">
        <v>3530</v>
      </c>
      <c r="D590" s="17" t="s">
        <v>1330</v>
      </c>
      <c r="E590" s="41" t="s">
        <v>82</v>
      </c>
      <c r="F590" s="41" t="s">
        <v>622</v>
      </c>
      <c r="G590" s="17">
        <v>38.128900000000002</v>
      </c>
      <c r="H590" s="17">
        <v>12.764799999999999</v>
      </c>
      <c r="I590" s="17" t="s">
        <v>1330</v>
      </c>
      <c r="J590" s="17">
        <v>9.3000000000000007</v>
      </c>
      <c r="K590" s="17" t="s">
        <v>102</v>
      </c>
      <c r="L590" s="17" t="s">
        <v>51</v>
      </c>
      <c r="M590" s="17" t="s">
        <v>3526</v>
      </c>
      <c r="N590" s="17" t="s">
        <v>3527</v>
      </c>
      <c r="O590" s="17" t="s">
        <v>1330</v>
      </c>
      <c r="P590" s="17" t="s">
        <v>3531</v>
      </c>
      <c r="Q590" s="17" t="s">
        <v>3529</v>
      </c>
    </row>
    <row r="591" spans="1:17" x14ac:dyDescent="0.35">
      <c r="A591" s="17">
        <v>244</v>
      </c>
      <c r="B591" s="17">
        <v>3</v>
      </c>
      <c r="C591" s="17" t="s">
        <v>970</v>
      </c>
      <c r="D591" s="17" t="s">
        <v>1330</v>
      </c>
      <c r="E591" s="41" t="s">
        <v>82</v>
      </c>
      <c r="F591" s="41" t="s">
        <v>622</v>
      </c>
      <c r="G591" s="17">
        <v>38.128900000000002</v>
      </c>
      <c r="H591" s="17">
        <v>12.764799999999999</v>
      </c>
      <c r="I591" s="17" t="s">
        <v>1330</v>
      </c>
      <c r="J591" s="17">
        <v>47.4</v>
      </c>
      <c r="K591" s="17" t="s">
        <v>102</v>
      </c>
      <c r="L591" s="17" t="s">
        <v>51</v>
      </c>
      <c r="M591" s="17" t="s">
        <v>3526</v>
      </c>
      <c r="N591" s="17" t="s">
        <v>3527</v>
      </c>
      <c r="O591" s="17" t="s">
        <v>1330</v>
      </c>
      <c r="Q591" s="17" t="s">
        <v>3529</v>
      </c>
    </row>
    <row r="592" spans="1:17" x14ac:dyDescent="0.35">
      <c r="A592" s="17">
        <v>244</v>
      </c>
      <c r="B592" s="17">
        <v>4</v>
      </c>
      <c r="C592" s="17" t="s">
        <v>3532</v>
      </c>
      <c r="D592" s="17" t="s">
        <v>1330</v>
      </c>
      <c r="E592" s="41" t="s">
        <v>82</v>
      </c>
      <c r="F592" s="41" t="s">
        <v>622</v>
      </c>
      <c r="G592" s="17">
        <v>38.128900000000002</v>
      </c>
      <c r="H592" s="17">
        <v>12.764799999999999</v>
      </c>
      <c r="I592" s="17" t="s">
        <v>1330</v>
      </c>
      <c r="J592" s="17">
        <v>63.78</v>
      </c>
      <c r="K592" s="17" t="s">
        <v>102</v>
      </c>
      <c r="L592" s="17" t="s">
        <v>51</v>
      </c>
      <c r="M592" s="17" t="s">
        <v>3526</v>
      </c>
      <c r="N592" s="17" t="s">
        <v>3527</v>
      </c>
      <c r="O592" s="17" t="s">
        <v>1330</v>
      </c>
      <c r="Q592" s="17" t="s">
        <v>3529</v>
      </c>
    </row>
    <row r="593" spans="1:17" x14ac:dyDescent="0.35">
      <c r="A593" s="17">
        <v>244</v>
      </c>
      <c r="B593" s="17">
        <v>5</v>
      </c>
      <c r="C593" s="17" t="s">
        <v>3533</v>
      </c>
      <c r="D593" s="17" t="s">
        <v>1330</v>
      </c>
      <c r="E593" s="41" t="s">
        <v>82</v>
      </c>
      <c r="F593" s="41" t="s">
        <v>622</v>
      </c>
      <c r="G593" s="17">
        <v>38.128900000000002</v>
      </c>
      <c r="H593" s="17">
        <v>12.764799999999999</v>
      </c>
      <c r="I593" s="17" t="s">
        <v>1330</v>
      </c>
      <c r="J593" s="17">
        <v>64.849999999999994</v>
      </c>
      <c r="K593" s="17" t="s">
        <v>102</v>
      </c>
      <c r="L593" s="17" t="s">
        <v>51</v>
      </c>
      <c r="M593" s="17" t="s">
        <v>3526</v>
      </c>
      <c r="N593" s="17" t="s">
        <v>3527</v>
      </c>
      <c r="O593" s="17" t="s">
        <v>1330</v>
      </c>
      <c r="Q593" s="17" t="s">
        <v>3529</v>
      </c>
    </row>
    <row r="594" spans="1:17" x14ac:dyDescent="0.35">
      <c r="A594" s="17">
        <v>244</v>
      </c>
      <c r="B594" s="17">
        <v>6</v>
      </c>
      <c r="C594" s="17" t="s">
        <v>3534</v>
      </c>
      <c r="D594" s="17" t="s">
        <v>1330</v>
      </c>
      <c r="E594" s="41" t="s">
        <v>82</v>
      </c>
      <c r="F594" s="41" t="s">
        <v>622</v>
      </c>
      <c r="G594" s="17">
        <v>38.128900000000002</v>
      </c>
      <c r="H594" s="17">
        <v>12.764799999999999</v>
      </c>
      <c r="I594" s="17" t="s">
        <v>1330</v>
      </c>
      <c r="J594" s="17">
        <v>207.91</v>
      </c>
      <c r="K594" s="17" t="s">
        <v>102</v>
      </c>
      <c r="L594" s="17" t="s">
        <v>51</v>
      </c>
      <c r="M594" s="17" t="s">
        <v>3526</v>
      </c>
      <c r="N594" s="17" t="s">
        <v>3527</v>
      </c>
      <c r="O594" s="17" t="s">
        <v>1330</v>
      </c>
      <c r="Q594" s="17" t="s">
        <v>3529</v>
      </c>
    </row>
    <row r="595" spans="1:17" x14ac:dyDescent="0.35">
      <c r="A595" s="17">
        <v>244</v>
      </c>
      <c r="B595" s="17">
        <v>7</v>
      </c>
      <c r="C595" s="17" t="s">
        <v>1099</v>
      </c>
      <c r="D595" s="17" t="s">
        <v>404</v>
      </c>
      <c r="E595" s="41" t="s">
        <v>82</v>
      </c>
      <c r="F595" s="41" t="s">
        <v>622</v>
      </c>
      <c r="G595" s="17">
        <v>37.430700000000002</v>
      </c>
      <c r="H595" s="17">
        <v>14.392099999999999</v>
      </c>
      <c r="I595" s="17" t="s">
        <v>1330</v>
      </c>
      <c r="J595" s="17">
        <v>3166.8999999999996</v>
      </c>
      <c r="K595" s="17" t="s">
        <v>102</v>
      </c>
      <c r="L595" s="17" t="s">
        <v>51</v>
      </c>
      <c r="M595" s="17" t="s">
        <v>3526</v>
      </c>
      <c r="N595" s="17" t="s">
        <v>3527</v>
      </c>
      <c r="O595" s="17" t="s">
        <v>1330</v>
      </c>
      <c r="P595" s="17" t="s">
        <v>3535</v>
      </c>
      <c r="Q595" s="17" t="s">
        <v>3536</v>
      </c>
    </row>
    <row r="596" spans="1:17" x14ac:dyDescent="0.35">
      <c r="A596" s="17">
        <v>244</v>
      </c>
      <c r="B596" s="17">
        <v>8</v>
      </c>
      <c r="C596" s="17" t="s">
        <v>3530</v>
      </c>
      <c r="D596" s="17" t="s">
        <v>1330</v>
      </c>
      <c r="E596" s="41" t="s">
        <v>82</v>
      </c>
      <c r="F596" s="41" t="s">
        <v>622</v>
      </c>
      <c r="G596" s="17">
        <v>37.430700000000002</v>
      </c>
      <c r="H596" s="17">
        <v>14.392099999999999</v>
      </c>
      <c r="I596" s="17" t="s">
        <v>1330</v>
      </c>
      <c r="J596" s="17">
        <v>3.17</v>
      </c>
      <c r="K596" s="17" t="s">
        <v>102</v>
      </c>
      <c r="L596" s="17" t="s">
        <v>51</v>
      </c>
      <c r="M596" s="17" t="s">
        <v>3526</v>
      </c>
      <c r="N596" s="17" t="s">
        <v>3527</v>
      </c>
      <c r="O596" s="17" t="s">
        <v>1330</v>
      </c>
      <c r="Q596" s="17" t="s">
        <v>3536</v>
      </c>
    </row>
    <row r="597" spans="1:17" x14ac:dyDescent="0.35">
      <c r="A597" s="17">
        <v>244</v>
      </c>
      <c r="B597" s="17">
        <v>9</v>
      </c>
      <c r="C597" s="17" t="s">
        <v>970</v>
      </c>
      <c r="D597" s="17" t="s">
        <v>1330</v>
      </c>
      <c r="E597" s="41" t="s">
        <v>82</v>
      </c>
      <c r="F597" s="41" t="s">
        <v>622</v>
      </c>
      <c r="G597" s="17">
        <v>37.430700000000002</v>
      </c>
      <c r="H597" s="17">
        <v>14.392099999999999</v>
      </c>
      <c r="I597" s="17" t="s">
        <v>1330</v>
      </c>
      <c r="J597" s="17">
        <v>69.290000000000006</v>
      </c>
      <c r="K597" s="17" t="s">
        <v>102</v>
      </c>
      <c r="L597" s="17" t="s">
        <v>51</v>
      </c>
      <c r="M597" s="17" t="s">
        <v>3526</v>
      </c>
      <c r="N597" s="17" t="s">
        <v>3527</v>
      </c>
      <c r="O597" s="17" t="s">
        <v>1330</v>
      </c>
      <c r="Q597" s="17" t="s">
        <v>3536</v>
      </c>
    </row>
    <row r="598" spans="1:17" x14ac:dyDescent="0.35">
      <c r="A598" s="17">
        <v>244</v>
      </c>
      <c r="B598" s="17">
        <v>10</v>
      </c>
      <c r="C598" s="17" t="s">
        <v>3532</v>
      </c>
      <c r="D598" s="17" t="s">
        <v>1330</v>
      </c>
      <c r="E598" s="41" t="s">
        <v>82</v>
      </c>
      <c r="F598" s="41" t="s">
        <v>622</v>
      </c>
      <c r="G598" s="17">
        <v>37.430700000000002</v>
      </c>
      <c r="H598" s="17">
        <v>14.392099999999999</v>
      </c>
      <c r="I598" s="17" t="s">
        <v>1330</v>
      </c>
      <c r="J598" s="17">
        <v>421.97</v>
      </c>
      <c r="K598" s="17" t="s">
        <v>102</v>
      </c>
      <c r="L598" s="17" t="s">
        <v>51</v>
      </c>
      <c r="M598" s="17" t="s">
        <v>3526</v>
      </c>
      <c r="N598" s="17" t="s">
        <v>3527</v>
      </c>
      <c r="O598" s="17" t="s">
        <v>1330</v>
      </c>
      <c r="Q598" s="17" t="s">
        <v>3536</v>
      </c>
    </row>
    <row r="599" spans="1:17" x14ac:dyDescent="0.35">
      <c r="A599" s="17">
        <v>244</v>
      </c>
      <c r="B599" s="17">
        <v>11</v>
      </c>
      <c r="C599" s="17" t="s">
        <v>3533</v>
      </c>
      <c r="D599" s="17" t="s">
        <v>1330</v>
      </c>
      <c r="E599" s="41" t="s">
        <v>82</v>
      </c>
      <c r="F599" s="41" t="s">
        <v>622</v>
      </c>
      <c r="G599" s="17">
        <v>37.430700000000002</v>
      </c>
      <c r="H599" s="17">
        <v>14.392099999999999</v>
      </c>
      <c r="I599" s="17" t="s">
        <v>1330</v>
      </c>
      <c r="J599" s="17">
        <v>449.16</v>
      </c>
      <c r="K599" s="17" t="s">
        <v>102</v>
      </c>
      <c r="L599" s="17" t="s">
        <v>51</v>
      </c>
      <c r="M599" s="17" t="s">
        <v>3526</v>
      </c>
      <c r="N599" s="17" t="s">
        <v>3527</v>
      </c>
      <c r="O599" s="17" t="s">
        <v>1330</v>
      </c>
      <c r="Q599" s="17" t="s">
        <v>3536</v>
      </c>
    </row>
    <row r="600" spans="1:17" x14ac:dyDescent="0.35">
      <c r="A600" s="17">
        <v>244</v>
      </c>
      <c r="B600" s="17">
        <v>12</v>
      </c>
      <c r="C600" s="17" t="s">
        <v>3534</v>
      </c>
      <c r="D600" s="17" t="s">
        <v>1330</v>
      </c>
      <c r="E600" s="41" t="s">
        <v>82</v>
      </c>
      <c r="F600" s="41" t="s">
        <v>622</v>
      </c>
      <c r="G600" s="17">
        <v>37.430700000000002</v>
      </c>
      <c r="H600" s="17">
        <v>14.392099999999999</v>
      </c>
      <c r="I600" s="17" t="s">
        <v>1330</v>
      </c>
      <c r="J600" s="17">
        <v>5.49</v>
      </c>
      <c r="K600" s="17" t="s">
        <v>102</v>
      </c>
      <c r="L600" s="17" t="s">
        <v>51</v>
      </c>
      <c r="M600" s="17" t="s">
        <v>3526</v>
      </c>
      <c r="N600" s="17" t="s">
        <v>3527</v>
      </c>
      <c r="O600" s="17" t="s">
        <v>1330</v>
      </c>
      <c r="Q600" s="17" t="s">
        <v>3536</v>
      </c>
    </row>
    <row r="601" spans="1:17" x14ac:dyDescent="0.35">
      <c r="A601" s="17">
        <v>244</v>
      </c>
      <c r="B601" s="17">
        <v>13</v>
      </c>
      <c r="C601" s="17" t="s">
        <v>1099</v>
      </c>
      <c r="D601" s="17" t="s">
        <v>404</v>
      </c>
      <c r="E601" s="41" t="s">
        <v>82</v>
      </c>
      <c r="F601" s="41" t="s">
        <v>622</v>
      </c>
      <c r="G601" s="17">
        <v>38.190600000000003</v>
      </c>
      <c r="H601" s="17">
        <v>15.526400000000001</v>
      </c>
      <c r="I601" s="17" t="s">
        <v>1330</v>
      </c>
      <c r="J601" s="17">
        <v>503.4</v>
      </c>
      <c r="K601" s="17" t="s">
        <v>102</v>
      </c>
      <c r="L601" s="17" t="s">
        <v>51</v>
      </c>
      <c r="M601" s="17" t="s">
        <v>3526</v>
      </c>
      <c r="N601" s="17" t="s">
        <v>3527</v>
      </c>
      <c r="O601" s="17" t="s">
        <v>1330</v>
      </c>
      <c r="P601" s="17" t="s">
        <v>3537</v>
      </c>
      <c r="Q601" s="17" t="s">
        <v>3538</v>
      </c>
    </row>
    <row r="602" spans="1:17" x14ac:dyDescent="0.35">
      <c r="A602" s="17">
        <v>244</v>
      </c>
      <c r="B602" s="17">
        <v>14</v>
      </c>
      <c r="C602" s="17" t="s">
        <v>970</v>
      </c>
      <c r="D602" s="17" t="s">
        <v>1330</v>
      </c>
      <c r="E602" s="41" t="s">
        <v>82</v>
      </c>
      <c r="F602" s="41" t="s">
        <v>622</v>
      </c>
      <c r="G602" s="17">
        <v>38.190600000000003</v>
      </c>
      <c r="H602" s="17">
        <v>15.526400000000001</v>
      </c>
      <c r="I602" s="17" t="s">
        <v>1330</v>
      </c>
      <c r="J602" s="17">
        <v>1.39</v>
      </c>
      <c r="K602" s="17" t="s">
        <v>102</v>
      </c>
      <c r="L602" s="17" t="s">
        <v>51</v>
      </c>
      <c r="M602" s="17" t="s">
        <v>3526</v>
      </c>
      <c r="N602" s="17" t="s">
        <v>3527</v>
      </c>
      <c r="O602" s="17" t="s">
        <v>1330</v>
      </c>
      <c r="Q602" s="17" t="s">
        <v>3538</v>
      </c>
    </row>
    <row r="603" spans="1:17" x14ac:dyDescent="0.35">
      <c r="A603" s="17">
        <v>244</v>
      </c>
      <c r="B603" s="17">
        <v>15</v>
      </c>
      <c r="C603" s="17" t="s">
        <v>3532</v>
      </c>
      <c r="D603" s="17" t="s">
        <v>1330</v>
      </c>
      <c r="E603" s="41" t="s">
        <v>82</v>
      </c>
      <c r="F603" s="41" t="s">
        <v>622</v>
      </c>
      <c r="G603" s="17">
        <v>38.190600000000003</v>
      </c>
      <c r="H603" s="17">
        <v>15.526400000000001</v>
      </c>
      <c r="I603" s="17" t="s">
        <v>1330</v>
      </c>
      <c r="J603" s="17">
        <v>2.34</v>
      </c>
      <c r="K603" s="17" t="s">
        <v>102</v>
      </c>
      <c r="L603" s="17" t="s">
        <v>51</v>
      </c>
      <c r="M603" s="17" t="s">
        <v>3526</v>
      </c>
      <c r="N603" s="17" t="s">
        <v>3527</v>
      </c>
      <c r="O603" s="17" t="s">
        <v>1330</v>
      </c>
      <c r="Q603" s="17" t="s">
        <v>3538</v>
      </c>
    </row>
    <row r="604" spans="1:17" x14ac:dyDescent="0.35">
      <c r="A604" s="17">
        <v>244</v>
      </c>
      <c r="B604" s="17">
        <v>16</v>
      </c>
      <c r="C604" s="17" t="s">
        <v>3533</v>
      </c>
      <c r="D604" s="17" t="s">
        <v>1330</v>
      </c>
      <c r="E604" s="41" t="s">
        <v>82</v>
      </c>
      <c r="F604" s="41" t="s">
        <v>622</v>
      </c>
      <c r="G604" s="17">
        <v>38.190600000000003</v>
      </c>
      <c r="H604" s="17">
        <v>15.526400000000001</v>
      </c>
      <c r="I604" s="17" t="s">
        <v>1330</v>
      </c>
      <c r="J604" s="17">
        <v>1.39</v>
      </c>
      <c r="K604" s="17" t="s">
        <v>102</v>
      </c>
      <c r="L604" s="17" t="s">
        <v>51</v>
      </c>
      <c r="M604" s="17" t="s">
        <v>3526</v>
      </c>
      <c r="N604" s="17" t="s">
        <v>3527</v>
      </c>
      <c r="O604" s="17" t="s">
        <v>1330</v>
      </c>
      <c r="Q604" s="17" t="s">
        <v>3538</v>
      </c>
    </row>
    <row r="605" spans="1:17" x14ac:dyDescent="0.35">
      <c r="A605" s="17">
        <v>244</v>
      </c>
      <c r="B605" s="17">
        <v>17</v>
      </c>
      <c r="C605" s="17" t="s">
        <v>3534</v>
      </c>
      <c r="D605" s="17" t="s">
        <v>1330</v>
      </c>
      <c r="E605" s="41" t="s">
        <v>82</v>
      </c>
      <c r="F605" s="41" t="s">
        <v>622</v>
      </c>
      <c r="G605" s="17">
        <v>38.190600000000003</v>
      </c>
      <c r="H605" s="17">
        <v>15.526400000000001</v>
      </c>
      <c r="I605" s="17" t="s">
        <v>1330</v>
      </c>
      <c r="J605" s="17">
        <v>22.08</v>
      </c>
      <c r="K605" s="17" t="s">
        <v>102</v>
      </c>
      <c r="L605" s="17" t="s">
        <v>51</v>
      </c>
      <c r="M605" s="17" t="s">
        <v>3526</v>
      </c>
      <c r="N605" s="17" t="s">
        <v>3527</v>
      </c>
      <c r="O605" s="17" t="s">
        <v>1330</v>
      </c>
      <c r="Q605" s="17" t="s">
        <v>3538</v>
      </c>
    </row>
    <row r="606" spans="1:17" x14ac:dyDescent="0.35">
      <c r="A606" s="17">
        <v>244</v>
      </c>
      <c r="B606" s="17">
        <v>18</v>
      </c>
      <c r="C606" s="17" t="s">
        <v>1099</v>
      </c>
      <c r="D606" s="17" t="s">
        <v>404</v>
      </c>
      <c r="E606" s="41" t="s">
        <v>82</v>
      </c>
      <c r="F606" s="41" t="s">
        <v>622</v>
      </c>
      <c r="G606" s="17">
        <v>37.722900000000003</v>
      </c>
      <c r="H606" s="17">
        <v>13.2715</v>
      </c>
      <c r="I606" s="17" t="s">
        <v>1330</v>
      </c>
      <c r="J606" s="17">
        <v>1088.4000000000001</v>
      </c>
      <c r="K606" s="17" t="s">
        <v>102</v>
      </c>
      <c r="L606" s="17" t="s">
        <v>51</v>
      </c>
      <c r="M606" s="17" t="s">
        <v>3526</v>
      </c>
      <c r="N606" s="17" t="s">
        <v>3527</v>
      </c>
      <c r="O606" s="17" t="s">
        <v>1330</v>
      </c>
      <c r="P606" s="17" t="s">
        <v>3539</v>
      </c>
      <c r="Q606" s="17" t="s">
        <v>3540</v>
      </c>
    </row>
    <row r="607" spans="1:17" x14ac:dyDescent="0.35">
      <c r="A607" s="17">
        <v>244</v>
      </c>
      <c r="B607" s="17">
        <v>19</v>
      </c>
      <c r="C607" s="17" t="s">
        <v>3532</v>
      </c>
      <c r="D607" s="17" t="s">
        <v>1330</v>
      </c>
      <c r="E607" s="41" t="s">
        <v>82</v>
      </c>
      <c r="F607" s="41" t="s">
        <v>622</v>
      </c>
      <c r="G607" s="17">
        <v>37.722900000000003</v>
      </c>
      <c r="H607" s="17">
        <v>13.2715</v>
      </c>
      <c r="I607" s="17" t="s">
        <v>1330</v>
      </c>
      <c r="J607" s="17">
        <v>12.5</v>
      </c>
      <c r="K607" s="17" t="s">
        <v>102</v>
      </c>
      <c r="L607" s="17" t="s">
        <v>51</v>
      </c>
      <c r="M607" s="17" t="s">
        <v>3526</v>
      </c>
      <c r="N607" s="17" t="s">
        <v>3527</v>
      </c>
      <c r="O607" s="17" t="s">
        <v>1330</v>
      </c>
      <c r="Q607" s="17" t="s">
        <v>3540</v>
      </c>
    </row>
    <row r="608" spans="1:17" x14ac:dyDescent="0.35">
      <c r="A608" s="17">
        <v>244</v>
      </c>
      <c r="B608" s="17">
        <v>20</v>
      </c>
      <c r="C608" s="17" t="s">
        <v>3533</v>
      </c>
      <c r="D608" s="17" t="s">
        <v>1330</v>
      </c>
      <c r="E608" s="41" t="s">
        <v>82</v>
      </c>
      <c r="F608" s="41" t="s">
        <v>622</v>
      </c>
      <c r="G608" s="17">
        <v>37.722900000000003</v>
      </c>
      <c r="H608" s="17">
        <v>13.2715</v>
      </c>
      <c r="I608" s="17" t="s">
        <v>1330</v>
      </c>
      <c r="J608" s="17">
        <v>4.5599999999999996</v>
      </c>
      <c r="K608" s="17" t="s">
        <v>102</v>
      </c>
      <c r="L608" s="17" t="s">
        <v>51</v>
      </c>
      <c r="M608" s="17" t="s">
        <v>3526</v>
      </c>
      <c r="N608" s="17" t="s">
        <v>3527</v>
      </c>
      <c r="O608" s="17" t="s">
        <v>1330</v>
      </c>
      <c r="Q608" s="17" t="s">
        <v>3540</v>
      </c>
    </row>
    <row r="609" spans="1:17" x14ac:dyDescent="0.35">
      <c r="A609" s="17">
        <v>244</v>
      </c>
      <c r="B609" s="17">
        <v>21</v>
      </c>
      <c r="C609" s="17" t="s">
        <v>1099</v>
      </c>
      <c r="D609" s="17" t="s">
        <v>404</v>
      </c>
      <c r="E609" s="41" t="s">
        <v>82</v>
      </c>
      <c r="F609" s="41" t="s">
        <v>622</v>
      </c>
      <c r="G609" s="17">
        <v>37.863399999999999</v>
      </c>
      <c r="H609" s="17">
        <v>13.3765</v>
      </c>
      <c r="I609" s="17" t="s">
        <v>1330</v>
      </c>
      <c r="J609" s="17">
        <v>1067.19</v>
      </c>
      <c r="K609" s="17" t="s">
        <v>102</v>
      </c>
      <c r="L609" s="17" t="s">
        <v>51</v>
      </c>
      <c r="M609" s="17" t="s">
        <v>3526</v>
      </c>
      <c r="N609" s="17" t="s">
        <v>3527</v>
      </c>
      <c r="O609" s="17" t="s">
        <v>1330</v>
      </c>
      <c r="P609" s="17" t="s">
        <v>3541</v>
      </c>
      <c r="Q609" s="17" t="s">
        <v>3542</v>
      </c>
    </row>
    <row r="610" spans="1:17" x14ac:dyDescent="0.35">
      <c r="A610" s="17">
        <v>244</v>
      </c>
      <c r="B610" s="17">
        <v>22</v>
      </c>
      <c r="C610" s="17" t="s">
        <v>3534</v>
      </c>
      <c r="D610" s="17" t="s">
        <v>1330</v>
      </c>
      <c r="E610" s="41" t="s">
        <v>82</v>
      </c>
      <c r="F610" s="41" t="s">
        <v>622</v>
      </c>
      <c r="G610" s="17">
        <v>37.863399999999999</v>
      </c>
      <c r="H610" s="17">
        <v>13.3765</v>
      </c>
      <c r="I610" s="17" t="s">
        <v>1330</v>
      </c>
      <c r="J610" s="17">
        <v>3.83</v>
      </c>
      <c r="K610" s="17" t="s">
        <v>102</v>
      </c>
      <c r="L610" s="17" t="s">
        <v>51</v>
      </c>
      <c r="M610" s="17" t="s">
        <v>3526</v>
      </c>
      <c r="N610" s="17" t="s">
        <v>3527</v>
      </c>
      <c r="O610" s="17" t="s">
        <v>1330</v>
      </c>
      <c r="Q610" s="17" t="s">
        <v>3542</v>
      </c>
    </row>
    <row r="611" spans="1:17" x14ac:dyDescent="0.35">
      <c r="A611" s="17">
        <v>244</v>
      </c>
      <c r="B611" s="17">
        <v>23</v>
      </c>
      <c r="C611" s="17" t="s">
        <v>1099</v>
      </c>
      <c r="D611" s="17" t="s">
        <v>404</v>
      </c>
      <c r="E611" s="41" t="s">
        <v>82</v>
      </c>
      <c r="F611" s="41" t="s">
        <v>622</v>
      </c>
      <c r="G611" s="17">
        <v>37.034199999999998</v>
      </c>
      <c r="H611" s="17">
        <v>14.7224</v>
      </c>
      <c r="I611" s="17" t="s">
        <v>1330</v>
      </c>
      <c r="J611" s="17">
        <v>1155.99</v>
      </c>
      <c r="K611" s="17" t="s">
        <v>102</v>
      </c>
      <c r="L611" s="17" t="s">
        <v>51</v>
      </c>
      <c r="M611" s="17" t="s">
        <v>3526</v>
      </c>
      <c r="N611" s="17" t="s">
        <v>3527</v>
      </c>
      <c r="O611" s="17" t="s">
        <v>1330</v>
      </c>
      <c r="P611" s="17" t="s">
        <v>3543</v>
      </c>
      <c r="Q611" s="17" t="s">
        <v>3544</v>
      </c>
    </row>
    <row r="612" spans="1:17" hidden="1" x14ac:dyDescent="0.35">
      <c r="A612" s="17">
        <v>264</v>
      </c>
      <c r="B612" s="17">
        <v>1</v>
      </c>
      <c r="C612" s="17" t="s">
        <v>3545</v>
      </c>
      <c r="D612" s="17" t="s">
        <v>1330</v>
      </c>
      <c r="E612" s="41" t="s">
        <v>82</v>
      </c>
      <c r="F612" s="41" t="s">
        <v>622</v>
      </c>
      <c r="G612" s="17">
        <v>42.4497</v>
      </c>
      <c r="H612" s="17">
        <v>14.2392</v>
      </c>
      <c r="I612" s="17" t="s">
        <v>1330</v>
      </c>
      <c r="J612" s="17">
        <v>11</v>
      </c>
      <c r="K612" s="17" t="s">
        <v>1330</v>
      </c>
      <c r="L612" s="17" t="s">
        <v>34</v>
      </c>
      <c r="M612" s="17" t="s">
        <v>437</v>
      </c>
      <c r="N612" s="17" t="s">
        <v>3546</v>
      </c>
      <c r="O612" s="17" t="s">
        <v>1330</v>
      </c>
      <c r="P612" s="17" t="s">
        <v>3547</v>
      </c>
    </row>
    <row r="613" spans="1:17" x14ac:dyDescent="0.35">
      <c r="A613" s="17">
        <v>267</v>
      </c>
      <c r="B613" s="17">
        <v>1</v>
      </c>
      <c r="C613" s="17" t="s">
        <v>3548</v>
      </c>
      <c r="D613" s="17" t="s">
        <v>404</v>
      </c>
      <c r="E613" s="41" t="s">
        <v>45</v>
      </c>
      <c r="F613" s="41" t="s">
        <v>621</v>
      </c>
      <c r="G613" s="17">
        <v>41.858333333333334</v>
      </c>
      <c r="H613" s="17">
        <v>1.5083333333333333</v>
      </c>
      <c r="I613" s="17" t="s">
        <v>1330</v>
      </c>
      <c r="J613" s="17">
        <v>15300</v>
      </c>
      <c r="K613" s="17" t="s">
        <v>102</v>
      </c>
      <c r="L613" s="17" t="s">
        <v>34</v>
      </c>
      <c r="M613" s="17" t="s">
        <v>3549</v>
      </c>
      <c r="N613" s="17" t="s">
        <v>3550</v>
      </c>
      <c r="O613" s="17" t="s">
        <v>1330</v>
      </c>
      <c r="P613" s="17" t="s">
        <v>3551</v>
      </c>
    </row>
    <row r="614" spans="1:17" hidden="1" x14ac:dyDescent="0.35">
      <c r="A614" s="17">
        <v>268</v>
      </c>
      <c r="B614" s="17">
        <v>1</v>
      </c>
      <c r="C614" s="17" t="s">
        <v>1394</v>
      </c>
      <c r="D614" s="17" t="s">
        <v>1330</v>
      </c>
      <c r="E614" s="41" t="s">
        <v>45</v>
      </c>
      <c r="F614" s="41" t="s">
        <v>621</v>
      </c>
      <c r="G614" s="17" t="s">
        <v>3552</v>
      </c>
      <c r="H614" s="17" t="s">
        <v>3553</v>
      </c>
      <c r="I614" s="17">
        <v>765</v>
      </c>
      <c r="J614" s="17">
        <v>1427</v>
      </c>
      <c r="K614" s="17" t="s">
        <v>1330</v>
      </c>
      <c r="L614" s="17" t="s">
        <v>34</v>
      </c>
      <c r="M614" s="17" t="s">
        <v>3554</v>
      </c>
      <c r="N614" s="17" t="s">
        <v>3555</v>
      </c>
      <c r="O614" s="17" t="s">
        <v>433</v>
      </c>
      <c r="P614" s="17" t="s">
        <v>3556</v>
      </c>
    </row>
    <row r="615" spans="1:17" hidden="1" x14ac:dyDescent="0.35">
      <c r="A615" s="17">
        <v>269</v>
      </c>
      <c r="B615" s="17">
        <v>1</v>
      </c>
      <c r="C615" s="17" t="s">
        <v>3557</v>
      </c>
      <c r="D615" s="17" t="s">
        <v>1330</v>
      </c>
      <c r="E615" s="41" t="s">
        <v>49</v>
      </c>
      <c r="G615" s="17" t="s">
        <v>1330</v>
      </c>
      <c r="H615" s="17" t="s">
        <v>1330</v>
      </c>
      <c r="I615" s="17">
        <v>150</v>
      </c>
      <c r="J615" s="17" t="s">
        <v>1330</v>
      </c>
      <c r="K615" s="17" t="s">
        <v>1330</v>
      </c>
      <c r="L615" s="17" t="s">
        <v>34</v>
      </c>
      <c r="M615" s="17" t="s">
        <v>3558</v>
      </c>
      <c r="N615" s="17" t="s">
        <v>3559</v>
      </c>
      <c r="O615" s="17" t="s">
        <v>1330</v>
      </c>
    </row>
    <row r="616" spans="1:17" hidden="1" x14ac:dyDescent="0.35">
      <c r="A616" s="17">
        <v>269</v>
      </c>
      <c r="B616" s="17">
        <v>2</v>
      </c>
      <c r="C616" s="17" t="s">
        <v>3560</v>
      </c>
      <c r="D616" s="17" t="s">
        <v>1330</v>
      </c>
      <c r="E616" s="41" t="s">
        <v>49</v>
      </c>
      <c r="F616" s="41" t="s">
        <v>622</v>
      </c>
      <c r="G616" s="17">
        <v>40.167900000000003</v>
      </c>
      <c r="H616" s="17">
        <v>23.793500000000002</v>
      </c>
      <c r="I616" s="17">
        <v>200</v>
      </c>
      <c r="J616" s="17" t="s">
        <v>1330</v>
      </c>
      <c r="K616" s="17" t="s">
        <v>1330</v>
      </c>
      <c r="L616" s="17" t="s">
        <v>34</v>
      </c>
      <c r="M616" s="17" t="s">
        <v>3558</v>
      </c>
      <c r="N616" s="17" t="s">
        <v>3559</v>
      </c>
      <c r="O616" s="17" t="s">
        <v>1330</v>
      </c>
    </row>
    <row r="617" spans="1:17" x14ac:dyDescent="0.35">
      <c r="A617" s="17">
        <v>281</v>
      </c>
      <c r="B617" s="17">
        <v>1</v>
      </c>
      <c r="C617" s="17" t="s">
        <v>3561</v>
      </c>
      <c r="D617" s="17" t="s">
        <v>1330</v>
      </c>
      <c r="E617" s="41" t="s">
        <v>45</v>
      </c>
      <c r="F617" s="41" t="s">
        <v>622</v>
      </c>
      <c r="G617" s="17">
        <v>40.868231487471398</v>
      </c>
      <c r="H617" s="17">
        <v>-2.0786261547601299</v>
      </c>
      <c r="I617" s="17">
        <v>1300</v>
      </c>
      <c r="J617" s="17">
        <v>10000</v>
      </c>
      <c r="K617" s="17" t="s">
        <v>102</v>
      </c>
      <c r="L617" s="17" t="s">
        <v>34</v>
      </c>
      <c r="M617" s="17" t="s">
        <v>3562</v>
      </c>
      <c r="N617" s="17" t="s">
        <v>1330</v>
      </c>
      <c r="O617" s="17" t="s">
        <v>44</v>
      </c>
      <c r="P617" s="17" t="s">
        <v>3563</v>
      </c>
    </row>
    <row r="618" spans="1:17" hidden="1" x14ac:dyDescent="0.35">
      <c r="A618" s="17">
        <v>298</v>
      </c>
      <c r="B618" s="17">
        <v>1</v>
      </c>
      <c r="C618" s="17" t="s">
        <v>112</v>
      </c>
      <c r="D618" s="17" t="s">
        <v>1330</v>
      </c>
      <c r="E618" s="41" t="s">
        <v>74</v>
      </c>
      <c r="F618" s="41" t="s">
        <v>620</v>
      </c>
      <c r="G618" s="17">
        <v>32</v>
      </c>
      <c r="H618" s="17">
        <v>32.75</v>
      </c>
      <c r="I618" s="17">
        <v>546</v>
      </c>
      <c r="J618" s="17">
        <v>5700</v>
      </c>
      <c r="K618" s="17" t="s">
        <v>1330</v>
      </c>
      <c r="L618" s="17" t="s">
        <v>51</v>
      </c>
      <c r="M618" s="17" t="s">
        <v>3482</v>
      </c>
      <c r="N618" s="17" t="s">
        <v>3564</v>
      </c>
      <c r="P618" s="17" t="s">
        <v>3565</v>
      </c>
    </row>
    <row r="619" spans="1:17" hidden="1" x14ac:dyDescent="0.35">
      <c r="A619" s="17">
        <v>320</v>
      </c>
      <c r="B619" s="17">
        <v>1</v>
      </c>
      <c r="C619" s="17" t="s">
        <v>3548</v>
      </c>
      <c r="D619" s="17" t="s">
        <v>1330</v>
      </c>
      <c r="E619" s="41" t="s">
        <v>45</v>
      </c>
      <c r="F619" s="41" t="s">
        <v>620</v>
      </c>
      <c r="G619" s="17">
        <v>41.866666666666667</v>
      </c>
      <c r="H619" s="17">
        <v>1.6</v>
      </c>
      <c r="I619" s="17">
        <v>717.5</v>
      </c>
      <c r="J619" s="17">
        <v>27000</v>
      </c>
      <c r="K619" s="17" t="s">
        <v>1330</v>
      </c>
      <c r="L619" s="17" t="s">
        <v>34</v>
      </c>
      <c r="M619" s="17" t="s">
        <v>3566</v>
      </c>
      <c r="N619" s="17" t="s">
        <v>3567</v>
      </c>
      <c r="O619" s="17" t="s">
        <v>433</v>
      </c>
    </row>
    <row r="620" spans="1:17" x14ac:dyDescent="0.35">
      <c r="A620" s="17">
        <v>324</v>
      </c>
      <c r="B620" s="17">
        <v>1</v>
      </c>
      <c r="C620" s="17" t="s">
        <v>1831</v>
      </c>
      <c r="D620" s="17" t="s">
        <v>1330</v>
      </c>
      <c r="E620" s="41" t="s">
        <v>45</v>
      </c>
      <c r="F620" s="41" t="s">
        <v>622</v>
      </c>
      <c r="G620" s="17">
        <v>42.271999999999998</v>
      </c>
      <c r="H620" s="17">
        <v>-6.1779999999999999</v>
      </c>
      <c r="I620" s="17">
        <v>1063</v>
      </c>
      <c r="J620" s="17">
        <v>11602</v>
      </c>
      <c r="K620" s="17" t="s">
        <v>102</v>
      </c>
      <c r="L620" s="17" t="s">
        <v>34</v>
      </c>
      <c r="M620" s="17" t="s">
        <v>2724</v>
      </c>
      <c r="N620" s="17" t="s">
        <v>1330</v>
      </c>
      <c r="O620" s="17" t="s">
        <v>44</v>
      </c>
    </row>
    <row r="621" spans="1:17" x14ac:dyDescent="0.35">
      <c r="A621" s="17">
        <v>324</v>
      </c>
      <c r="B621" s="17">
        <v>2</v>
      </c>
      <c r="C621" s="17" t="s">
        <v>3548</v>
      </c>
      <c r="D621" s="17" t="s">
        <v>1330</v>
      </c>
      <c r="E621" s="41" t="s">
        <v>45</v>
      </c>
      <c r="F621" s="41" t="s">
        <v>622</v>
      </c>
      <c r="G621" s="17">
        <v>42.271999999999998</v>
      </c>
      <c r="H621" s="17">
        <v>-6.1779999999999999</v>
      </c>
      <c r="I621" s="17">
        <v>1063</v>
      </c>
      <c r="J621" s="17">
        <v>3000</v>
      </c>
      <c r="K621" s="17" t="s">
        <v>102</v>
      </c>
      <c r="L621" s="17" t="s">
        <v>34</v>
      </c>
      <c r="M621" s="17" t="s">
        <v>2724</v>
      </c>
      <c r="N621" s="17" t="s">
        <v>1330</v>
      </c>
      <c r="O621" s="17" t="s">
        <v>1330</v>
      </c>
    </row>
    <row r="622" spans="1:17" x14ac:dyDescent="0.35">
      <c r="A622" s="17">
        <v>333</v>
      </c>
      <c r="B622" s="17">
        <v>1</v>
      </c>
      <c r="C622" s="17" t="s">
        <v>1344</v>
      </c>
      <c r="E622" s="41" t="s">
        <v>45</v>
      </c>
      <c r="F622" s="41" t="s">
        <v>620</v>
      </c>
      <c r="G622" s="17">
        <v>36.953333000000001</v>
      </c>
      <c r="H622" s="17">
        <v>-3.4933329999999998</v>
      </c>
      <c r="I622" s="17">
        <v>1477</v>
      </c>
      <c r="J622" s="17">
        <v>3400</v>
      </c>
      <c r="K622" s="17" t="s">
        <v>33</v>
      </c>
      <c r="L622" s="17" t="s">
        <v>34</v>
      </c>
      <c r="M622" s="17" t="s">
        <v>3861</v>
      </c>
      <c r="N622" s="17" t="s">
        <v>3862</v>
      </c>
      <c r="O622" s="17" t="s">
        <v>44</v>
      </c>
      <c r="P622" s="17" t="s">
        <v>3863</v>
      </c>
    </row>
    <row r="623" spans="1:17" x14ac:dyDescent="0.35">
      <c r="A623" s="17">
        <v>333</v>
      </c>
      <c r="B623" s="17">
        <v>1</v>
      </c>
      <c r="C623" s="17" t="s">
        <v>1344</v>
      </c>
      <c r="E623" s="41" t="s">
        <v>45</v>
      </c>
      <c r="F623" s="41" t="s">
        <v>620</v>
      </c>
      <c r="G623" s="17">
        <v>36.968330000000002</v>
      </c>
      <c r="H623" s="17">
        <v>-3.4802780000000002</v>
      </c>
      <c r="I623" s="17">
        <v>2053</v>
      </c>
      <c r="J623" s="17">
        <v>3400</v>
      </c>
      <c r="K623" s="17" t="s">
        <v>33</v>
      </c>
      <c r="L623" s="17" t="s">
        <v>34</v>
      </c>
      <c r="M623" s="17" t="s">
        <v>3861</v>
      </c>
      <c r="N623" s="17" t="s">
        <v>3864</v>
      </c>
      <c r="O623" s="17" t="s">
        <v>44</v>
      </c>
      <c r="P623" s="17" t="s">
        <v>3863</v>
      </c>
    </row>
    <row r="624" spans="1:17" hidden="1" x14ac:dyDescent="0.35">
      <c r="A624" s="17">
        <v>335</v>
      </c>
      <c r="B624" s="17">
        <v>1</v>
      </c>
      <c r="C624" s="17">
        <v>2009</v>
      </c>
      <c r="D624" s="17" t="s">
        <v>406</v>
      </c>
      <c r="E624" s="41" t="s">
        <v>45</v>
      </c>
      <c r="F624" s="41" t="s">
        <v>620</v>
      </c>
      <c r="G624" s="17">
        <v>38.414318000000002</v>
      </c>
      <c r="H624" s="17">
        <v>-0.16806299999999999</v>
      </c>
      <c r="I624" s="17">
        <v>670</v>
      </c>
      <c r="J624" s="17">
        <v>960</v>
      </c>
      <c r="K624" s="17" t="s">
        <v>1330</v>
      </c>
      <c r="L624" s="17" t="s">
        <v>34</v>
      </c>
      <c r="M624" s="17" t="s">
        <v>437</v>
      </c>
      <c r="N624" s="17" t="s">
        <v>3865</v>
      </c>
      <c r="O624" s="17" t="s">
        <v>44</v>
      </c>
    </row>
    <row r="625" spans="1:16" hidden="1" x14ac:dyDescent="0.35">
      <c r="A625" s="17">
        <v>335</v>
      </c>
      <c r="B625" s="17">
        <v>2</v>
      </c>
      <c r="C625" s="17">
        <v>2009</v>
      </c>
      <c r="D625" s="17" t="s">
        <v>404</v>
      </c>
      <c r="E625" s="41" t="s">
        <v>45</v>
      </c>
      <c r="F625" s="41" t="s">
        <v>620</v>
      </c>
      <c r="G625" s="17">
        <v>39.833920999999997</v>
      </c>
      <c r="H625" s="17">
        <v>-0.29763200000000001</v>
      </c>
      <c r="I625" s="17">
        <v>143</v>
      </c>
      <c r="J625" s="17">
        <v>316</v>
      </c>
      <c r="K625" s="17" t="s">
        <v>1330</v>
      </c>
      <c r="L625" s="17" t="s">
        <v>34</v>
      </c>
      <c r="M625" s="17" t="s">
        <v>437</v>
      </c>
      <c r="N625" s="17" t="s">
        <v>3865</v>
      </c>
      <c r="O625" s="17" t="s">
        <v>44</v>
      </c>
    </row>
    <row r="626" spans="1:16" hidden="1" x14ac:dyDescent="0.35">
      <c r="A626" s="17">
        <v>335</v>
      </c>
      <c r="B626" s="17">
        <v>3</v>
      </c>
      <c r="C626" s="17">
        <v>2010</v>
      </c>
      <c r="D626" s="17" t="s">
        <v>404</v>
      </c>
      <c r="E626" s="41" t="s">
        <v>45</v>
      </c>
      <c r="F626" s="41" t="s">
        <v>620</v>
      </c>
      <c r="G626" s="17">
        <v>38.799959999999999</v>
      </c>
      <c r="H626" s="17">
        <v>-0.76039199999999996</v>
      </c>
      <c r="I626" s="17">
        <v>611</v>
      </c>
      <c r="J626" s="17">
        <v>1957</v>
      </c>
      <c r="K626" s="17" t="s">
        <v>1330</v>
      </c>
      <c r="L626" s="17" t="s">
        <v>34</v>
      </c>
      <c r="M626" s="17" t="s">
        <v>437</v>
      </c>
      <c r="N626" s="17" t="s">
        <v>3865</v>
      </c>
      <c r="O626" s="17" t="s">
        <v>44</v>
      </c>
    </row>
    <row r="627" spans="1:16" hidden="1" x14ac:dyDescent="0.35">
      <c r="A627" s="17">
        <v>335</v>
      </c>
      <c r="B627" s="17">
        <v>4</v>
      </c>
      <c r="C627" s="17">
        <v>2011</v>
      </c>
      <c r="D627" s="17" t="s">
        <v>403</v>
      </c>
      <c r="E627" s="41" t="s">
        <v>45</v>
      </c>
      <c r="F627" s="41" t="s">
        <v>620</v>
      </c>
      <c r="G627" s="17">
        <v>38.748834000000002</v>
      </c>
      <c r="H627" s="17">
        <v>-0.43102099999999999</v>
      </c>
      <c r="I627" s="17">
        <v>353</v>
      </c>
      <c r="J627" s="17">
        <v>1449</v>
      </c>
      <c r="K627" s="17" t="s">
        <v>1330</v>
      </c>
      <c r="L627" s="17" t="s">
        <v>34</v>
      </c>
      <c r="M627" s="17" t="s">
        <v>437</v>
      </c>
      <c r="N627" s="17" t="s">
        <v>3865</v>
      </c>
      <c r="O627" s="17" t="s">
        <v>44</v>
      </c>
    </row>
    <row r="628" spans="1:16" hidden="1" x14ac:dyDescent="0.35">
      <c r="A628" s="17">
        <v>335</v>
      </c>
      <c r="B628" s="17">
        <v>5</v>
      </c>
      <c r="C628" s="17">
        <v>2011</v>
      </c>
      <c r="D628" s="17" t="s">
        <v>404</v>
      </c>
      <c r="E628" s="41" t="s">
        <v>45</v>
      </c>
      <c r="F628" s="41" t="s">
        <v>620</v>
      </c>
      <c r="G628" s="17">
        <v>39.12294</v>
      </c>
      <c r="H628" s="17">
        <v>-0.75702000000000003</v>
      </c>
      <c r="I628" s="17">
        <v>192</v>
      </c>
      <c r="J628" s="17">
        <v>104</v>
      </c>
      <c r="K628" s="17" t="s">
        <v>1330</v>
      </c>
      <c r="L628" s="17" t="s">
        <v>34</v>
      </c>
      <c r="M628" s="17" t="s">
        <v>437</v>
      </c>
      <c r="N628" s="17" t="s">
        <v>3865</v>
      </c>
      <c r="O628" s="17" t="s">
        <v>44</v>
      </c>
    </row>
    <row r="629" spans="1:16" hidden="1" x14ac:dyDescent="0.35">
      <c r="A629" s="17">
        <v>335</v>
      </c>
      <c r="B629" s="17">
        <v>6</v>
      </c>
      <c r="C629" s="17">
        <v>2012</v>
      </c>
      <c r="D629" s="17" t="s">
        <v>403</v>
      </c>
      <c r="E629" s="41" t="s">
        <v>45</v>
      </c>
      <c r="F629" s="41" t="s">
        <v>620</v>
      </c>
      <c r="G629" s="17">
        <v>39.548681999999999</v>
      </c>
      <c r="H629" s="17">
        <v>-1.2551159999999999</v>
      </c>
      <c r="I629" s="17">
        <v>674</v>
      </c>
      <c r="J629" s="17">
        <v>702</v>
      </c>
      <c r="K629" s="17" t="s">
        <v>1330</v>
      </c>
      <c r="L629" s="17" t="s">
        <v>34</v>
      </c>
      <c r="M629" s="17" t="s">
        <v>437</v>
      </c>
      <c r="N629" s="17" t="s">
        <v>3865</v>
      </c>
      <c r="O629" s="17" t="s">
        <v>44</v>
      </c>
    </row>
    <row r="630" spans="1:16" hidden="1" x14ac:dyDescent="0.35">
      <c r="A630" s="17">
        <v>335</v>
      </c>
      <c r="B630" s="17">
        <v>7</v>
      </c>
      <c r="C630" s="17">
        <v>2012</v>
      </c>
      <c r="D630" s="17" t="s">
        <v>404</v>
      </c>
      <c r="E630" s="41" t="s">
        <v>45</v>
      </c>
      <c r="F630" s="41" t="s">
        <v>620</v>
      </c>
      <c r="G630" s="17">
        <v>39.099708999999997</v>
      </c>
      <c r="H630" s="17">
        <v>-0.93284699999999998</v>
      </c>
      <c r="I630" s="17">
        <v>460</v>
      </c>
      <c r="J630" s="17">
        <v>28879</v>
      </c>
      <c r="K630" s="17" t="s">
        <v>1330</v>
      </c>
      <c r="L630" s="17" t="s">
        <v>34</v>
      </c>
      <c r="M630" s="17" t="s">
        <v>437</v>
      </c>
      <c r="N630" s="17" t="s">
        <v>3865</v>
      </c>
      <c r="O630" s="17" t="s">
        <v>44</v>
      </c>
    </row>
    <row r="631" spans="1:16" hidden="1" x14ac:dyDescent="0.35">
      <c r="A631" s="17">
        <v>335</v>
      </c>
      <c r="B631" s="17">
        <v>8</v>
      </c>
      <c r="C631" s="17">
        <v>2012</v>
      </c>
      <c r="D631" s="17" t="s">
        <v>404</v>
      </c>
      <c r="E631" s="41" t="s">
        <v>45</v>
      </c>
      <c r="F631" s="41" t="s">
        <v>620</v>
      </c>
      <c r="G631" s="17">
        <v>39.625827999999998</v>
      </c>
      <c r="H631" s="17">
        <v>-0.97001099999999996</v>
      </c>
      <c r="I631" s="17">
        <v>823</v>
      </c>
      <c r="J631" s="17">
        <v>19985</v>
      </c>
      <c r="K631" s="17" t="s">
        <v>1330</v>
      </c>
      <c r="L631" s="17" t="s">
        <v>34</v>
      </c>
      <c r="M631" s="17" t="s">
        <v>437</v>
      </c>
      <c r="N631" s="17" t="s">
        <v>3865</v>
      </c>
      <c r="O631" s="17" t="s">
        <v>44</v>
      </c>
    </row>
    <row r="632" spans="1:16" hidden="1" x14ac:dyDescent="0.35">
      <c r="A632" s="17">
        <v>335</v>
      </c>
      <c r="B632" s="17">
        <v>9</v>
      </c>
      <c r="C632" s="17">
        <v>2016</v>
      </c>
      <c r="D632" s="17" t="s">
        <v>403</v>
      </c>
      <c r="E632" s="41" t="s">
        <v>45</v>
      </c>
      <c r="F632" s="41" t="s">
        <v>620</v>
      </c>
      <c r="G632" s="17">
        <v>38.859771000000002</v>
      </c>
      <c r="H632" s="17">
        <v>-0.787215</v>
      </c>
      <c r="I632" s="17">
        <v>221</v>
      </c>
      <c r="J632" s="17">
        <v>1536</v>
      </c>
      <c r="K632" s="17" t="s">
        <v>1330</v>
      </c>
      <c r="L632" s="17" t="s">
        <v>34</v>
      </c>
      <c r="M632" s="17" t="s">
        <v>437</v>
      </c>
      <c r="N632" s="17" t="s">
        <v>3865</v>
      </c>
      <c r="O632" s="17" t="s">
        <v>44</v>
      </c>
    </row>
    <row r="633" spans="1:16" hidden="1" x14ac:dyDescent="0.35">
      <c r="A633" s="17">
        <v>335</v>
      </c>
      <c r="B633" s="17">
        <v>10</v>
      </c>
      <c r="C633" s="17">
        <v>2016</v>
      </c>
      <c r="D633" s="17" t="s">
        <v>403</v>
      </c>
      <c r="E633" s="41" t="s">
        <v>45</v>
      </c>
      <c r="F633" s="41" t="s">
        <v>620</v>
      </c>
      <c r="G633" s="17">
        <v>38.889628999999999</v>
      </c>
      <c r="H633" s="17">
        <v>-0.53109799999999996</v>
      </c>
      <c r="I633" s="17">
        <v>235</v>
      </c>
      <c r="J633" s="17">
        <v>2211</v>
      </c>
      <c r="K633" s="17" t="s">
        <v>1330</v>
      </c>
      <c r="L633" s="17" t="s">
        <v>34</v>
      </c>
      <c r="M633" s="17" t="s">
        <v>437</v>
      </c>
      <c r="N633" s="17" t="s">
        <v>3865</v>
      </c>
      <c r="O633" s="17" t="s">
        <v>44</v>
      </c>
    </row>
    <row r="634" spans="1:16" hidden="1" x14ac:dyDescent="0.35">
      <c r="A634" s="17">
        <v>335</v>
      </c>
      <c r="B634" s="17">
        <v>11</v>
      </c>
      <c r="C634" s="17">
        <v>2016</v>
      </c>
      <c r="D634" s="17" t="s">
        <v>404</v>
      </c>
      <c r="E634" s="41" t="s">
        <v>45</v>
      </c>
      <c r="F634" s="41" t="s">
        <v>620</v>
      </c>
      <c r="G634" s="17">
        <v>39.725821000000003</v>
      </c>
      <c r="H634" s="17">
        <v>-0.42248200000000002</v>
      </c>
      <c r="I634" s="17">
        <v>371</v>
      </c>
      <c r="J634" s="17">
        <v>1584</v>
      </c>
      <c r="K634" s="17" t="s">
        <v>1330</v>
      </c>
      <c r="L634" s="17" t="s">
        <v>34</v>
      </c>
      <c r="M634" s="17" t="s">
        <v>437</v>
      </c>
      <c r="N634" s="17" t="s">
        <v>3865</v>
      </c>
      <c r="O634" s="17" t="s">
        <v>44</v>
      </c>
    </row>
    <row r="635" spans="1:16" hidden="1" x14ac:dyDescent="0.35">
      <c r="A635" s="17">
        <v>335</v>
      </c>
      <c r="B635" s="17">
        <v>12</v>
      </c>
      <c r="C635" s="17">
        <v>2016</v>
      </c>
      <c r="D635" s="17" t="s">
        <v>404</v>
      </c>
      <c r="E635" s="41" t="s">
        <v>45</v>
      </c>
      <c r="F635" s="41" t="s">
        <v>620</v>
      </c>
      <c r="G635" s="17">
        <v>38.563040999999998</v>
      </c>
      <c r="H635" s="17">
        <v>0.119145</v>
      </c>
      <c r="I635" s="17">
        <v>110</v>
      </c>
      <c r="J635" s="17">
        <v>698</v>
      </c>
      <c r="K635" s="17" t="s">
        <v>1330</v>
      </c>
      <c r="L635" s="17" t="s">
        <v>34</v>
      </c>
      <c r="M635" s="17" t="s">
        <v>437</v>
      </c>
      <c r="N635" s="17" t="s">
        <v>3865</v>
      </c>
      <c r="O635" s="17" t="s">
        <v>44</v>
      </c>
    </row>
    <row r="636" spans="1:16" hidden="1" x14ac:dyDescent="0.35">
      <c r="A636" s="17">
        <v>335</v>
      </c>
      <c r="B636" s="17">
        <v>13</v>
      </c>
      <c r="C636" s="17">
        <v>2016</v>
      </c>
      <c r="D636" s="17" t="s">
        <v>404</v>
      </c>
      <c r="E636" s="41" t="s">
        <v>45</v>
      </c>
      <c r="F636" s="41" t="s">
        <v>620</v>
      </c>
      <c r="G636" s="17">
        <v>38.493706000000003</v>
      </c>
      <c r="H636" s="17">
        <v>-0.111857</v>
      </c>
      <c r="I636" s="17">
        <v>339</v>
      </c>
      <c r="J636" s="17">
        <v>447</v>
      </c>
      <c r="K636" s="17" t="s">
        <v>1330</v>
      </c>
      <c r="L636" s="17" t="s">
        <v>34</v>
      </c>
      <c r="M636" s="17" t="s">
        <v>437</v>
      </c>
      <c r="N636" s="17" t="s">
        <v>3865</v>
      </c>
      <c r="O636" s="17" t="s">
        <v>44</v>
      </c>
    </row>
    <row r="637" spans="1:16" hidden="1" x14ac:dyDescent="0.35">
      <c r="A637" s="17">
        <v>335</v>
      </c>
      <c r="B637" s="17">
        <v>14</v>
      </c>
      <c r="C637" s="17">
        <v>2017</v>
      </c>
      <c r="D637" s="17" t="s">
        <v>404</v>
      </c>
      <c r="E637" s="41" t="s">
        <v>45</v>
      </c>
      <c r="F637" s="41" t="s">
        <v>620</v>
      </c>
      <c r="G637" s="17">
        <v>39.614581999999999</v>
      </c>
      <c r="H637" s="17">
        <v>-0.67390499999999998</v>
      </c>
      <c r="I637" s="17">
        <v>531</v>
      </c>
      <c r="J637" s="17">
        <v>1181</v>
      </c>
      <c r="K637" s="17" t="s">
        <v>1330</v>
      </c>
      <c r="L637" s="17" t="s">
        <v>34</v>
      </c>
      <c r="M637" s="17" t="s">
        <v>437</v>
      </c>
      <c r="N637" s="17" t="s">
        <v>3865</v>
      </c>
      <c r="O637" s="17" t="s">
        <v>44</v>
      </c>
    </row>
    <row r="638" spans="1:16" hidden="1" x14ac:dyDescent="0.35">
      <c r="A638" s="17">
        <v>335</v>
      </c>
      <c r="B638" s="17">
        <v>15</v>
      </c>
      <c r="C638" s="17">
        <v>2018</v>
      </c>
      <c r="D638" s="17" t="s">
        <v>404</v>
      </c>
      <c r="E638" s="41" t="s">
        <v>45</v>
      </c>
      <c r="F638" s="41" t="s">
        <v>620</v>
      </c>
      <c r="G638" s="17">
        <v>38.791325999999998</v>
      </c>
      <c r="H638" s="17">
        <v>-0.44124600000000003</v>
      </c>
      <c r="I638" s="17">
        <v>450</v>
      </c>
      <c r="J638" s="17">
        <v>3147</v>
      </c>
      <c r="K638" s="17" t="s">
        <v>1330</v>
      </c>
      <c r="L638" s="17" t="s">
        <v>34</v>
      </c>
      <c r="M638" s="17" t="s">
        <v>437</v>
      </c>
      <c r="N638" s="17" t="s">
        <v>3865</v>
      </c>
      <c r="O638" s="17" t="s">
        <v>44</v>
      </c>
    </row>
    <row r="639" spans="1:16" x14ac:dyDescent="0.35">
      <c r="A639" s="17">
        <v>339</v>
      </c>
      <c r="B639" s="17">
        <v>1</v>
      </c>
      <c r="C639" s="17" t="s">
        <v>1378</v>
      </c>
      <c r="D639" s="17" t="s">
        <v>404</v>
      </c>
      <c r="E639" s="41" t="s">
        <v>82</v>
      </c>
      <c r="F639" s="41" t="s">
        <v>622</v>
      </c>
      <c r="G639" s="17">
        <v>40.409375805697699</v>
      </c>
      <c r="H639" s="17">
        <v>16.8727823791803</v>
      </c>
      <c r="I639" s="17" t="s">
        <v>1330</v>
      </c>
      <c r="J639" s="17">
        <v>13.8</v>
      </c>
      <c r="K639" s="17" t="s">
        <v>102</v>
      </c>
      <c r="L639" s="17" t="s">
        <v>34</v>
      </c>
      <c r="M639" s="17" t="s">
        <v>437</v>
      </c>
      <c r="N639" s="17" t="s">
        <v>3866</v>
      </c>
      <c r="O639" s="17" t="s">
        <v>433</v>
      </c>
      <c r="P639" s="17" t="s">
        <v>3867</v>
      </c>
    </row>
    <row r="640" spans="1:16" x14ac:dyDescent="0.35">
      <c r="A640" s="17">
        <v>344</v>
      </c>
      <c r="B640" s="17">
        <v>1</v>
      </c>
      <c r="C640" s="17">
        <v>1996</v>
      </c>
      <c r="E640" s="41" t="s">
        <v>45</v>
      </c>
      <c r="F640" s="41" t="s">
        <v>622</v>
      </c>
      <c r="G640" s="17">
        <v>40.989058644024702</v>
      </c>
      <c r="H640" s="17">
        <v>0.511723127002361</v>
      </c>
      <c r="I640" s="17">
        <v>380</v>
      </c>
      <c r="J640" s="17" t="s">
        <v>1330</v>
      </c>
      <c r="K640" s="17" t="s">
        <v>33</v>
      </c>
      <c r="L640" s="17" t="s">
        <v>51</v>
      </c>
      <c r="M640" s="17" t="s">
        <v>437</v>
      </c>
      <c r="O640" s="17" t="s">
        <v>1330</v>
      </c>
      <c r="P640" s="17" t="s">
        <v>3868</v>
      </c>
    </row>
    <row r="641" spans="1:16" x14ac:dyDescent="0.35">
      <c r="A641" s="17">
        <v>344</v>
      </c>
      <c r="B641" s="17">
        <v>2</v>
      </c>
      <c r="C641" s="17">
        <v>1999</v>
      </c>
      <c r="E641" s="41" t="s">
        <v>45</v>
      </c>
      <c r="F641" s="41" t="s">
        <v>622</v>
      </c>
      <c r="G641" s="17">
        <v>41.943306500850198</v>
      </c>
      <c r="H641" s="17">
        <v>1.6661486077182699</v>
      </c>
      <c r="I641" s="17">
        <v>495</v>
      </c>
      <c r="J641" s="17" t="s">
        <v>1330</v>
      </c>
      <c r="K641" s="17" t="s">
        <v>33</v>
      </c>
      <c r="L641" s="17" t="s">
        <v>51</v>
      </c>
      <c r="M641" s="17" t="s">
        <v>437</v>
      </c>
      <c r="O641" s="17" t="s">
        <v>1330</v>
      </c>
      <c r="P641" s="17" t="s">
        <v>3868</v>
      </c>
    </row>
    <row r="642" spans="1:16" x14ac:dyDescent="0.35">
      <c r="A642" s="17">
        <v>344</v>
      </c>
      <c r="B642" s="17">
        <v>3</v>
      </c>
      <c r="C642" s="17">
        <v>1995</v>
      </c>
      <c r="E642" s="41" t="s">
        <v>45</v>
      </c>
      <c r="F642" s="41" t="s">
        <v>622</v>
      </c>
      <c r="G642" s="17">
        <v>41.563997711361601</v>
      </c>
      <c r="H642" s="17">
        <v>1.8132774504957201</v>
      </c>
      <c r="I642" s="17">
        <v>478</v>
      </c>
      <c r="J642" s="17" t="s">
        <v>1330</v>
      </c>
      <c r="K642" s="17" t="s">
        <v>33</v>
      </c>
      <c r="L642" s="17" t="s">
        <v>51</v>
      </c>
      <c r="M642" s="17" t="s">
        <v>437</v>
      </c>
      <c r="O642" s="17" t="s">
        <v>1330</v>
      </c>
      <c r="P642" s="17" t="s">
        <v>3868</v>
      </c>
    </row>
    <row r="643" spans="1:16" x14ac:dyDescent="0.35">
      <c r="A643" s="17">
        <v>344</v>
      </c>
      <c r="B643" s="17">
        <v>4</v>
      </c>
      <c r="C643" s="17">
        <v>2001</v>
      </c>
      <c r="E643" s="41" t="s">
        <v>45</v>
      </c>
      <c r="F643" s="41" t="s">
        <v>622</v>
      </c>
      <c r="G643" s="17">
        <v>42.096607296060398</v>
      </c>
      <c r="H643" s="17">
        <v>3.1417462903193898</v>
      </c>
      <c r="I643" s="17">
        <v>496</v>
      </c>
      <c r="J643" s="17" t="s">
        <v>1330</v>
      </c>
      <c r="K643" s="17" t="s">
        <v>33</v>
      </c>
      <c r="L643" s="17" t="s">
        <v>51</v>
      </c>
      <c r="M643" s="17" t="s">
        <v>437</v>
      </c>
      <c r="O643" s="17" t="s">
        <v>1330</v>
      </c>
      <c r="P643" s="17" t="s">
        <v>3868</v>
      </c>
    </row>
    <row r="644" spans="1:16" x14ac:dyDescent="0.35">
      <c r="A644" s="17">
        <v>344</v>
      </c>
      <c r="B644" s="17">
        <v>5</v>
      </c>
      <c r="C644" s="17">
        <v>2007</v>
      </c>
      <c r="E644" s="41" t="s">
        <v>45</v>
      </c>
      <c r="F644" s="41" t="s">
        <v>622</v>
      </c>
      <c r="G644" s="17">
        <v>42.109846235591903</v>
      </c>
      <c r="H644" s="17">
        <v>3.04250007901849</v>
      </c>
      <c r="I644" s="17">
        <v>537</v>
      </c>
      <c r="J644" s="17" t="s">
        <v>1330</v>
      </c>
      <c r="K644" s="17" t="s">
        <v>33</v>
      </c>
      <c r="L644" s="17" t="s">
        <v>51</v>
      </c>
      <c r="M644" s="17" t="s">
        <v>437</v>
      </c>
      <c r="O644" s="17" t="s">
        <v>1330</v>
      </c>
      <c r="P644" s="17" t="s">
        <v>3868</v>
      </c>
    </row>
    <row r="645" spans="1:16" x14ac:dyDescent="0.35">
      <c r="A645" s="17">
        <v>344</v>
      </c>
      <c r="B645" s="17">
        <v>6</v>
      </c>
      <c r="C645" s="17">
        <v>2013</v>
      </c>
      <c r="E645" s="41" t="s">
        <v>45</v>
      </c>
      <c r="F645" s="41" t="s">
        <v>622</v>
      </c>
      <c r="G645" s="17">
        <v>42.437524691935103</v>
      </c>
      <c r="H645" s="17">
        <v>2.8887763067896901</v>
      </c>
      <c r="I645" s="17">
        <v>541</v>
      </c>
      <c r="J645" s="17" t="s">
        <v>1330</v>
      </c>
      <c r="K645" s="17" t="s">
        <v>33</v>
      </c>
      <c r="L645" s="17" t="s">
        <v>51</v>
      </c>
      <c r="M645" s="17" t="s">
        <v>437</v>
      </c>
      <c r="O645" s="17" t="s">
        <v>1330</v>
      </c>
      <c r="P645" s="17" t="s">
        <v>3868</v>
      </c>
    </row>
    <row r="646" spans="1:16" x14ac:dyDescent="0.35">
      <c r="A646" s="17">
        <v>344</v>
      </c>
      <c r="B646" s="17">
        <v>7</v>
      </c>
      <c r="C646" s="17">
        <v>1987</v>
      </c>
      <c r="E646" s="41" t="s">
        <v>45</v>
      </c>
      <c r="F646" s="41" t="s">
        <v>622</v>
      </c>
      <c r="G646" s="17">
        <v>41.601482537684703</v>
      </c>
      <c r="H646" s="17">
        <v>1.54705420848977</v>
      </c>
      <c r="I646" s="17">
        <v>434</v>
      </c>
      <c r="J646" s="17" t="s">
        <v>1330</v>
      </c>
      <c r="K646" s="17" t="s">
        <v>33</v>
      </c>
      <c r="L646" s="17" t="s">
        <v>51</v>
      </c>
      <c r="M646" s="17" t="s">
        <v>437</v>
      </c>
      <c r="O646" s="17" t="s">
        <v>1330</v>
      </c>
      <c r="P646" s="17" t="s">
        <v>3868</v>
      </c>
    </row>
    <row r="647" spans="1:16" x14ac:dyDescent="0.35">
      <c r="A647" s="17">
        <v>344</v>
      </c>
      <c r="B647" s="17">
        <v>8</v>
      </c>
      <c r="C647" s="17">
        <v>2012</v>
      </c>
      <c r="E647" s="41" t="s">
        <v>45</v>
      </c>
      <c r="F647" s="41" t="s">
        <v>622</v>
      </c>
      <c r="G647" s="17">
        <v>41.286116884783901</v>
      </c>
      <c r="H647" s="17">
        <v>1.17213810979288</v>
      </c>
      <c r="I647" s="17">
        <v>390</v>
      </c>
      <c r="J647" s="17" t="s">
        <v>1330</v>
      </c>
      <c r="K647" s="17" t="s">
        <v>33</v>
      </c>
      <c r="L647" s="17" t="s">
        <v>51</v>
      </c>
      <c r="M647" s="17" t="s">
        <v>437</v>
      </c>
      <c r="O647" s="17" t="s">
        <v>1330</v>
      </c>
      <c r="P647" s="17" t="s">
        <v>3868</v>
      </c>
    </row>
    <row r="648" spans="1:16" x14ac:dyDescent="0.35">
      <c r="A648" s="17">
        <v>344</v>
      </c>
      <c r="B648" s="17">
        <v>9</v>
      </c>
      <c r="C648" s="17">
        <v>1987</v>
      </c>
      <c r="E648" s="41" t="s">
        <v>45</v>
      </c>
      <c r="F648" s="41" t="s">
        <v>622</v>
      </c>
      <c r="G648" s="17">
        <v>41.608252227797898</v>
      </c>
      <c r="H648" s="17">
        <v>1.6400834256272501</v>
      </c>
      <c r="I648" s="17">
        <v>501</v>
      </c>
      <c r="J648" s="17" t="s">
        <v>1330</v>
      </c>
      <c r="K648" s="17" t="s">
        <v>33</v>
      </c>
      <c r="L648" s="17" t="s">
        <v>51</v>
      </c>
      <c r="M648" s="17" t="s">
        <v>437</v>
      </c>
      <c r="O648" s="17" t="s">
        <v>1330</v>
      </c>
      <c r="P648" s="17" t="s">
        <v>3868</v>
      </c>
    </row>
    <row r="649" spans="1:16" x14ac:dyDescent="0.35">
      <c r="A649" s="17">
        <v>344</v>
      </c>
      <c r="B649" s="17">
        <v>10</v>
      </c>
      <c r="C649" s="17">
        <v>1995</v>
      </c>
      <c r="E649" s="41" t="s">
        <v>45</v>
      </c>
      <c r="F649" s="41" t="s">
        <v>622</v>
      </c>
      <c r="G649" s="17">
        <v>41.2515671956182</v>
      </c>
      <c r="H649" s="17">
        <v>0.487070136131941</v>
      </c>
      <c r="I649" s="17">
        <v>307</v>
      </c>
      <c r="J649" s="17" t="s">
        <v>1330</v>
      </c>
      <c r="K649" s="17" t="s">
        <v>33</v>
      </c>
      <c r="L649" s="17" t="s">
        <v>51</v>
      </c>
      <c r="M649" s="17" t="s">
        <v>437</v>
      </c>
      <c r="O649" s="17" t="s">
        <v>1330</v>
      </c>
      <c r="P649" s="17" t="s">
        <v>3868</v>
      </c>
    </row>
    <row r="650" spans="1:16" x14ac:dyDescent="0.35">
      <c r="A650" s="17">
        <v>344</v>
      </c>
      <c r="B650" s="17">
        <v>11</v>
      </c>
      <c r="C650" s="17">
        <v>2007</v>
      </c>
      <c r="E650" s="41" t="s">
        <v>45</v>
      </c>
      <c r="F650" s="41" t="s">
        <v>622</v>
      </c>
      <c r="G650" s="17">
        <v>41.372861402591802</v>
      </c>
      <c r="H650" s="17">
        <v>1.0402014238428701</v>
      </c>
      <c r="I650" s="17">
        <v>464</v>
      </c>
      <c r="J650" s="17" t="s">
        <v>1330</v>
      </c>
      <c r="K650" s="17" t="s">
        <v>33</v>
      </c>
      <c r="L650" s="17" t="s">
        <v>51</v>
      </c>
      <c r="M650" s="17" t="s">
        <v>437</v>
      </c>
      <c r="O650" s="17" t="s">
        <v>1330</v>
      </c>
      <c r="P650" s="17" t="s">
        <v>3868</v>
      </c>
    </row>
    <row r="651" spans="1:16" x14ac:dyDescent="0.35">
      <c r="A651" s="17">
        <v>344</v>
      </c>
      <c r="B651" s="17">
        <v>12</v>
      </c>
      <c r="C651" s="17">
        <v>2004</v>
      </c>
      <c r="E651" s="41" t="s">
        <v>45</v>
      </c>
      <c r="F651" s="41" t="s">
        <v>622</v>
      </c>
      <c r="G651" s="17">
        <v>41.462569819205001</v>
      </c>
      <c r="H651" s="17">
        <v>0.40822004929565597</v>
      </c>
      <c r="I651" s="17">
        <v>292</v>
      </c>
      <c r="J651" s="17" t="s">
        <v>1330</v>
      </c>
      <c r="K651" s="17" t="s">
        <v>33</v>
      </c>
      <c r="L651" s="17" t="s">
        <v>51</v>
      </c>
      <c r="M651" s="17" t="s">
        <v>437</v>
      </c>
      <c r="O651" s="17" t="s">
        <v>1330</v>
      </c>
      <c r="P651" s="17" t="s">
        <v>3868</v>
      </c>
    </row>
    <row r="652" spans="1:16" x14ac:dyDescent="0.35">
      <c r="A652" s="17">
        <v>344</v>
      </c>
      <c r="B652" s="17">
        <v>13</v>
      </c>
      <c r="C652" s="17">
        <v>1996</v>
      </c>
      <c r="E652" s="41" t="s">
        <v>45</v>
      </c>
      <c r="F652" s="41" t="s">
        <v>622</v>
      </c>
      <c r="G652" s="17">
        <v>41.311137233456598</v>
      </c>
      <c r="H652" s="17">
        <v>1.55242127168816</v>
      </c>
      <c r="I652" s="17">
        <v>431</v>
      </c>
      <c r="J652" s="17" t="s">
        <v>1330</v>
      </c>
      <c r="K652" s="17" t="s">
        <v>33</v>
      </c>
      <c r="L652" s="17" t="s">
        <v>51</v>
      </c>
      <c r="M652" s="17" t="s">
        <v>437</v>
      </c>
      <c r="O652" s="17" t="s">
        <v>1330</v>
      </c>
      <c r="P652" s="17" t="s">
        <v>3868</v>
      </c>
    </row>
    <row r="653" spans="1:16" x14ac:dyDescent="0.35">
      <c r="A653" s="17">
        <v>344</v>
      </c>
      <c r="B653" s="17">
        <v>14</v>
      </c>
      <c r="C653" s="17">
        <v>2006</v>
      </c>
      <c r="E653" s="41" t="s">
        <v>45</v>
      </c>
      <c r="F653" s="41" t="s">
        <v>622</v>
      </c>
      <c r="G653" s="17">
        <v>41.800610023241298</v>
      </c>
      <c r="H653" s="17">
        <v>1.7294301992574801</v>
      </c>
      <c r="I653" s="17">
        <v>507</v>
      </c>
      <c r="J653" s="17" t="s">
        <v>1330</v>
      </c>
      <c r="K653" s="17" t="s">
        <v>33</v>
      </c>
      <c r="L653" s="17" t="s">
        <v>51</v>
      </c>
      <c r="M653" s="17" t="s">
        <v>437</v>
      </c>
      <c r="O653" s="17" t="s">
        <v>1330</v>
      </c>
      <c r="P653" s="17" t="s">
        <v>3868</v>
      </c>
    </row>
    <row r="654" spans="1:16" x14ac:dyDescent="0.35">
      <c r="A654" s="17">
        <v>344</v>
      </c>
      <c r="B654" s="17">
        <v>15</v>
      </c>
      <c r="C654" s="17">
        <v>2007</v>
      </c>
      <c r="E654" s="41" t="s">
        <v>45</v>
      </c>
      <c r="F654" s="41" t="s">
        <v>622</v>
      </c>
      <c r="G654" s="17">
        <v>42.312247256164397</v>
      </c>
      <c r="H654" s="17">
        <v>2.8366630206070398</v>
      </c>
      <c r="I654" s="17">
        <v>556</v>
      </c>
      <c r="J654" s="17" t="s">
        <v>1330</v>
      </c>
      <c r="K654" s="17" t="s">
        <v>33</v>
      </c>
      <c r="L654" s="17" t="s">
        <v>51</v>
      </c>
      <c r="M654" s="17" t="s">
        <v>437</v>
      </c>
      <c r="O654" s="17" t="s">
        <v>1330</v>
      </c>
      <c r="P654" s="17" t="s">
        <v>3868</v>
      </c>
    </row>
    <row r="655" spans="1:16" x14ac:dyDescent="0.35">
      <c r="A655" s="17">
        <v>350</v>
      </c>
      <c r="B655" s="17">
        <v>1</v>
      </c>
      <c r="C655" s="17" t="s">
        <v>1831</v>
      </c>
      <c r="D655" s="17" t="s">
        <v>404</v>
      </c>
      <c r="E655" s="41" t="s">
        <v>45</v>
      </c>
      <c r="F655" s="41" t="s">
        <v>620</v>
      </c>
      <c r="G655" s="17">
        <v>42.259444000000002</v>
      </c>
      <c r="H655" s="17">
        <v>-6.2036110000000004</v>
      </c>
      <c r="I655" s="17">
        <v>1057.5</v>
      </c>
      <c r="J655" s="17">
        <v>11891</v>
      </c>
      <c r="K655" s="17" t="s">
        <v>33</v>
      </c>
      <c r="L655" s="17" t="s">
        <v>34</v>
      </c>
      <c r="M655" s="17" t="s">
        <v>3562</v>
      </c>
      <c r="N655" s="17" t="s">
        <v>3869</v>
      </c>
      <c r="O655" s="17" t="s">
        <v>44</v>
      </c>
    </row>
    <row r="656" spans="1:16" hidden="1" x14ac:dyDescent="0.35">
      <c r="A656" s="17">
        <v>351</v>
      </c>
      <c r="B656" s="17">
        <v>1</v>
      </c>
      <c r="C656" s="17">
        <v>2006</v>
      </c>
      <c r="E656" s="41" t="s">
        <v>45</v>
      </c>
      <c r="F656" s="41" t="s">
        <v>620</v>
      </c>
      <c r="G656" s="17">
        <v>41.000799999999998</v>
      </c>
      <c r="H656" s="17">
        <v>0.88949999999999996</v>
      </c>
      <c r="I656" s="17" t="s">
        <v>1330</v>
      </c>
      <c r="J656" s="17" t="s">
        <v>1330</v>
      </c>
      <c r="K656" s="17" t="s">
        <v>1330</v>
      </c>
      <c r="L656" s="17" t="s">
        <v>51</v>
      </c>
      <c r="M656" s="17" t="s">
        <v>437</v>
      </c>
      <c r="O656" s="17" t="s">
        <v>1330</v>
      </c>
      <c r="P656" s="17" t="s">
        <v>3870</v>
      </c>
    </row>
    <row r="657" spans="1:16" hidden="1" x14ac:dyDescent="0.35">
      <c r="A657" s="17">
        <v>351</v>
      </c>
      <c r="B657" s="17">
        <v>2</v>
      </c>
      <c r="C657" s="17">
        <v>2013</v>
      </c>
      <c r="E657" s="41" t="s">
        <v>45</v>
      </c>
      <c r="F657" s="41" t="s">
        <v>620</v>
      </c>
      <c r="G657" s="17">
        <v>41.3842</v>
      </c>
      <c r="H657" s="17">
        <v>1.9073</v>
      </c>
      <c r="I657" s="17" t="s">
        <v>1330</v>
      </c>
      <c r="J657" s="17" t="s">
        <v>1330</v>
      </c>
      <c r="K657" s="17" t="s">
        <v>1330</v>
      </c>
      <c r="L657" s="17" t="s">
        <v>51</v>
      </c>
      <c r="M657" s="17" t="s">
        <v>437</v>
      </c>
      <c r="O657" s="17" t="s">
        <v>1330</v>
      </c>
      <c r="P657" s="17" t="s">
        <v>3870</v>
      </c>
    </row>
    <row r="658" spans="1:16" hidden="1" x14ac:dyDescent="0.35">
      <c r="A658" s="17">
        <v>351</v>
      </c>
      <c r="B658" s="17">
        <v>3</v>
      </c>
      <c r="C658" s="17">
        <v>2005</v>
      </c>
      <c r="E658" s="41" t="s">
        <v>45</v>
      </c>
      <c r="F658" s="41" t="s">
        <v>620</v>
      </c>
      <c r="G658" s="17">
        <v>41.857700000000001</v>
      </c>
      <c r="H658" s="17">
        <v>1.8320000000000001</v>
      </c>
      <c r="I658" s="17" t="s">
        <v>1330</v>
      </c>
      <c r="J658" s="17" t="s">
        <v>1330</v>
      </c>
      <c r="K658" s="17" t="s">
        <v>1330</v>
      </c>
      <c r="L658" s="17" t="s">
        <v>51</v>
      </c>
      <c r="M658" s="17" t="s">
        <v>437</v>
      </c>
      <c r="O658" s="17" t="s">
        <v>1330</v>
      </c>
      <c r="P658" s="17" t="s">
        <v>3870</v>
      </c>
    </row>
    <row r="659" spans="1:16" hidden="1" x14ac:dyDescent="0.35">
      <c r="A659" s="17">
        <v>351</v>
      </c>
      <c r="B659" s="17">
        <v>4</v>
      </c>
      <c r="C659" s="17">
        <v>2012</v>
      </c>
      <c r="E659" s="41" t="s">
        <v>45</v>
      </c>
      <c r="F659" s="41" t="s">
        <v>620</v>
      </c>
      <c r="G659" s="17">
        <v>41.970500000000001</v>
      </c>
      <c r="H659" s="17">
        <v>1.9784999999999999</v>
      </c>
      <c r="I659" s="17" t="s">
        <v>1330</v>
      </c>
      <c r="J659" s="17" t="s">
        <v>1330</v>
      </c>
      <c r="K659" s="17" t="s">
        <v>1330</v>
      </c>
      <c r="L659" s="17" t="s">
        <v>51</v>
      </c>
      <c r="M659" s="17" t="s">
        <v>437</v>
      </c>
      <c r="O659" s="17" t="s">
        <v>1330</v>
      </c>
      <c r="P659" s="17" t="s">
        <v>3870</v>
      </c>
    </row>
    <row r="660" spans="1:16" hidden="1" x14ac:dyDescent="0.35">
      <c r="A660" s="17">
        <v>351</v>
      </c>
      <c r="B660" s="17">
        <v>5</v>
      </c>
      <c r="C660" s="17">
        <v>2012</v>
      </c>
      <c r="E660" s="41" t="s">
        <v>45</v>
      </c>
      <c r="F660" s="41" t="s">
        <v>620</v>
      </c>
      <c r="G660" s="17">
        <v>41.273699999999998</v>
      </c>
      <c r="H660" s="17">
        <v>1.6133999999999999</v>
      </c>
      <c r="I660" s="17" t="s">
        <v>1330</v>
      </c>
      <c r="J660" s="17" t="s">
        <v>1330</v>
      </c>
      <c r="K660" s="17" t="s">
        <v>1330</v>
      </c>
      <c r="L660" s="17" t="s">
        <v>51</v>
      </c>
      <c r="M660" s="17" t="s">
        <v>437</v>
      </c>
      <c r="O660" s="17" t="s">
        <v>1330</v>
      </c>
      <c r="P660" s="17" t="s">
        <v>3870</v>
      </c>
    </row>
    <row r="661" spans="1:16" hidden="1" x14ac:dyDescent="0.35">
      <c r="A661" s="17">
        <v>351</v>
      </c>
      <c r="B661" s="17">
        <v>6</v>
      </c>
      <c r="C661" s="17">
        <v>2003</v>
      </c>
      <c r="E661" s="41" t="s">
        <v>45</v>
      </c>
      <c r="F661" s="41" t="s">
        <v>620</v>
      </c>
      <c r="G661" s="17">
        <v>41.77</v>
      </c>
      <c r="H661" s="17">
        <v>1.9501999999999999</v>
      </c>
      <c r="I661" s="17" t="s">
        <v>1330</v>
      </c>
      <c r="J661" s="17" t="s">
        <v>1330</v>
      </c>
      <c r="K661" s="17" t="s">
        <v>1330</v>
      </c>
      <c r="L661" s="17" t="s">
        <v>51</v>
      </c>
      <c r="M661" s="17" t="s">
        <v>437</v>
      </c>
      <c r="O661" s="17" t="s">
        <v>1330</v>
      </c>
      <c r="P661" s="17" t="s">
        <v>3870</v>
      </c>
    </row>
    <row r="662" spans="1:16" hidden="1" x14ac:dyDescent="0.35">
      <c r="A662" s="17">
        <v>351</v>
      </c>
      <c r="B662" s="17">
        <v>7</v>
      </c>
      <c r="C662" s="17">
        <v>2005</v>
      </c>
      <c r="E662" s="41" t="s">
        <v>45</v>
      </c>
      <c r="F662" s="41" t="s">
        <v>620</v>
      </c>
      <c r="G662" s="17">
        <v>42.310699999999997</v>
      </c>
      <c r="H662" s="17">
        <v>2.8348</v>
      </c>
      <c r="I662" s="17" t="s">
        <v>1330</v>
      </c>
      <c r="J662" s="17" t="s">
        <v>1330</v>
      </c>
      <c r="K662" s="17" t="s">
        <v>1330</v>
      </c>
      <c r="L662" s="17" t="s">
        <v>51</v>
      </c>
      <c r="M662" s="17" t="s">
        <v>437</v>
      </c>
      <c r="O662" s="17" t="s">
        <v>1330</v>
      </c>
      <c r="P662" s="17" t="s">
        <v>3870</v>
      </c>
    </row>
    <row r="663" spans="1:16" hidden="1" x14ac:dyDescent="0.35">
      <c r="A663" s="17">
        <v>351</v>
      </c>
      <c r="B663" s="17">
        <v>8</v>
      </c>
      <c r="C663" s="17">
        <v>2006</v>
      </c>
      <c r="E663" s="41" t="s">
        <v>45</v>
      </c>
      <c r="F663" s="41" t="s">
        <v>620</v>
      </c>
      <c r="G663" s="17">
        <v>42.124299999999998</v>
      </c>
      <c r="H663" s="17">
        <v>3.0369000000000002</v>
      </c>
      <c r="I663" s="17" t="s">
        <v>1330</v>
      </c>
      <c r="J663" s="17" t="s">
        <v>1330</v>
      </c>
      <c r="K663" s="17" t="s">
        <v>1330</v>
      </c>
      <c r="L663" s="17" t="s">
        <v>51</v>
      </c>
      <c r="M663" s="17" t="s">
        <v>437</v>
      </c>
      <c r="O663" s="17" t="s">
        <v>1330</v>
      </c>
      <c r="P663" s="17" t="s">
        <v>3870</v>
      </c>
    </row>
    <row r="664" spans="1:16" hidden="1" x14ac:dyDescent="0.35">
      <c r="A664" s="17">
        <v>351</v>
      </c>
      <c r="B664" s="17">
        <v>9</v>
      </c>
      <c r="C664" s="17">
        <v>2003</v>
      </c>
      <c r="E664" s="41" t="s">
        <v>45</v>
      </c>
      <c r="F664" s="41" t="s">
        <v>620</v>
      </c>
      <c r="G664" s="17">
        <v>41.512</v>
      </c>
      <c r="H664" s="17">
        <v>1.0663</v>
      </c>
      <c r="I664" s="17" t="s">
        <v>1330</v>
      </c>
      <c r="J664" s="17" t="s">
        <v>1330</v>
      </c>
      <c r="K664" s="17" t="s">
        <v>1330</v>
      </c>
      <c r="L664" s="17" t="s">
        <v>51</v>
      </c>
      <c r="M664" s="17" t="s">
        <v>437</v>
      </c>
      <c r="O664" s="17" t="s">
        <v>1330</v>
      </c>
      <c r="P664" s="17" t="s">
        <v>3870</v>
      </c>
    </row>
    <row r="665" spans="1:16" hidden="1" x14ac:dyDescent="0.35">
      <c r="A665" s="17">
        <v>351</v>
      </c>
      <c r="B665" s="17">
        <v>10</v>
      </c>
      <c r="C665" s="17">
        <v>2003</v>
      </c>
      <c r="E665" s="41" t="s">
        <v>45</v>
      </c>
      <c r="F665" s="41" t="s">
        <v>620</v>
      </c>
      <c r="G665" s="17">
        <v>41.435200000000002</v>
      </c>
      <c r="H665" s="17">
        <v>0.4032</v>
      </c>
      <c r="I665" s="17" t="s">
        <v>1330</v>
      </c>
      <c r="J665" s="17" t="s">
        <v>1330</v>
      </c>
      <c r="K665" s="17" t="s">
        <v>1330</v>
      </c>
      <c r="L665" s="17" t="s">
        <v>51</v>
      </c>
      <c r="M665" s="17" t="s">
        <v>437</v>
      </c>
      <c r="O665" s="17" t="s">
        <v>1330</v>
      </c>
      <c r="P665" s="17" t="s">
        <v>3870</v>
      </c>
    </row>
    <row r="666" spans="1:16" hidden="1" x14ac:dyDescent="0.35">
      <c r="A666" s="17">
        <v>351</v>
      </c>
      <c r="B666" s="17">
        <v>11</v>
      </c>
      <c r="C666" s="17">
        <v>2005</v>
      </c>
      <c r="E666" s="41" t="s">
        <v>45</v>
      </c>
      <c r="F666" s="41" t="s">
        <v>620</v>
      </c>
      <c r="G666" s="17">
        <v>41.327199999999998</v>
      </c>
      <c r="H666" s="17">
        <v>0.76180000000000003</v>
      </c>
      <c r="I666" s="17" t="s">
        <v>1330</v>
      </c>
      <c r="J666" s="17" t="s">
        <v>1330</v>
      </c>
      <c r="K666" s="17" t="s">
        <v>1330</v>
      </c>
      <c r="L666" s="17" t="s">
        <v>51</v>
      </c>
      <c r="M666" s="17" t="s">
        <v>437</v>
      </c>
      <c r="O666" s="17" t="s">
        <v>1330</v>
      </c>
      <c r="P666" s="17" t="s">
        <v>3870</v>
      </c>
    </row>
    <row r="667" spans="1:16" hidden="1" x14ac:dyDescent="0.35">
      <c r="A667" s="17">
        <v>351</v>
      </c>
      <c r="B667" s="17">
        <v>12</v>
      </c>
      <c r="C667" s="17">
        <v>2009</v>
      </c>
      <c r="E667" s="41" t="s">
        <v>45</v>
      </c>
      <c r="F667" s="41" t="s">
        <v>620</v>
      </c>
      <c r="G667" s="17">
        <v>41.321199999999997</v>
      </c>
      <c r="H667" s="17">
        <v>1.4913000000000001</v>
      </c>
      <c r="I667" s="17" t="s">
        <v>1330</v>
      </c>
      <c r="J667" s="17" t="s">
        <v>1330</v>
      </c>
      <c r="K667" s="17" t="s">
        <v>1330</v>
      </c>
      <c r="L667" s="17" t="s">
        <v>51</v>
      </c>
      <c r="M667" s="17" t="s">
        <v>437</v>
      </c>
      <c r="O667" s="17" t="s">
        <v>1330</v>
      </c>
      <c r="P667" s="17" t="s">
        <v>3870</v>
      </c>
    </row>
    <row r="668" spans="1:16" hidden="1" x14ac:dyDescent="0.35">
      <c r="A668" s="17">
        <v>351</v>
      </c>
      <c r="B668" s="17">
        <v>13</v>
      </c>
      <c r="C668" s="17">
        <v>2002</v>
      </c>
      <c r="E668" s="41" t="s">
        <v>45</v>
      </c>
      <c r="F668" s="41" t="s">
        <v>620</v>
      </c>
      <c r="G668" s="17">
        <v>41.227400000000003</v>
      </c>
      <c r="H668" s="17">
        <v>1.4016</v>
      </c>
      <c r="I668" s="17" t="s">
        <v>1330</v>
      </c>
      <c r="J668" s="17" t="s">
        <v>1330</v>
      </c>
      <c r="K668" s="17" t="s">
        <v>1330</v>
      </c>
      <c r="L668" s="17" t="s">
        <v>51</v>
      </c>
      <c r="M668" s="17" t="s">
        <v>437</v>
      </c>
      <c r="O668" s="17" t="s">
        <v>1330</v>
      </c>
      <c r="P668" s="17" t="s">
        <v>3870</v>
      </c>
    </row>
    <row r="669" spans="1:16" hidden="1" x14ac:dyDescent="0.35">
      <c r="A669" s="17">
        <v>351</v>
      </c>
      <c r="B669" s="17">
        <v>14</v>
      </c>
      <c r="C669" s="17">
        <v>2002</v>
      </c>
      <c r="E669" s="41" t="s">
        <v>45</v>
      </c>
      <c r="F669" s="41" t="s">
        <v>620</v>
      </c>
      <c r="G669" s="17">
        <v>41.0503</v>
      </c>
      <c r="H669" s="17">
        <v>0.78720000000000001</v>
      </c>
      <c r="I669" s="17" t="s">
        <v>1330</v>
      </c>
      <c r="J669" s="17" t="s">
        <v>1330</v>
      </c>
      <c r="K669" s="17" t="s">
        <v>1330</v>
      </c>
      <c r="L669" s="17" t="s">
        <v>51</v>
      </c>
      <c r="M669" s="17" t="s">
        <v>437</v>
      </c>
      <c r="O669" s="17" t="s">
        <v>1330</v>
      </c>
      <c r="P669" s="17" t="s">
        <v>3870</v>
      </c>
    </row>
    <row r="670" spans="1:16" hidden="1" x14ac:dyDescent="0.35">
      <c r="A670" s="17">
        <v>351</v>
      </c>
      <c r="B670" s="17">
        <v>15</v>
      </c>
      <c r="C670" s="17">
        <v>2014</v>
      </c>
      <c r="E670" s="41" t="s">
        <v>45</v>
      </c>
      <c r="F670" s="41" t="s">
        <v>620</v>
      </c>
      <c r="G670" s="17">
        <v>41.019199999999998</v>
      </c>
      <c r="H670" s="17">
        <v>0.69899999999999995</v>
      </c>
      <c r="I670" s="17" t="s">
        <v>1330</v>
      </c>
      <c r="J670" s="17" t="s">
        <v>1330</v>
      </c>
      <c r="K670" s="17" t="s">
        <v>1330</v>
      </c>
      <c r="L670" s="17" t="s">
        <v>51</v>
      </c>
      <c r="M670" s="17" t="s">
        <v>437</v>
      </c>
      <c r="O670" s="17" t="s">
        <v>1330</v>
      </c>
      <c r="P670" s="17" t="s">
        <v>3870</v>
      </c>
    </row>
    <row r="671" spans="1:16" hidden="1" x14ac:dyDescent="0.35">
      <c r="A671" s="17">
        <v>351</v>
      </c>
      <c r="B671" s="17">
        <v>16</v>
      </c>
      <c r="C671" s="17">
        <v>2007</v>
      </c>
      <c r="E671" s="41" t="s">
        <v>45</v>
      </c>
      <c r="F671" s="41" t="s">
        <v>620</v>
      </c>
      <c r="G671" s="17">
        <v>41.142600000000002</v>
      </c>
      <c r="H671" s="17">
        <v>0.90100000000000002</v>
      </c>
      <c r="I671" s="17" t="s">
        <v>1330</v>
      </c>
      <c r="J671" s="17" t="s">
        <v>1330</v>
      </c>
      <c r="K671" s="17" t="s">
        <v>1330</v>
      </c>
      <c r="L671" s="17" t="s">
        <v>51</v>
      </c>
      <c r="M671" s="17" t="s">
        <v>437</v>
      </c>
      <c r="O671" s="17" t="s">
        <v>1330</v>
      </c>
      <c r="P671" s="17" t="s">
        <v>3870</v>
      </c>
    </row>
    <row r="672" spans="1:16" hidden="1" x14ac:dyDescent="0.35">
      <c r="A672" s="17">
        <v>351</v>
      </c>
      <c r="B672" s="17">
        <v>17</v>
      </c>
      <c r="C672" s="17">
        <v>2005</v>
      </c>
      <c r="E672" s="41" t="s">
        <v>45</v>
      </c>
      <c r="F672" s="41" t="s">
        <v>620</v>
      </c>
      <c r="G672" s="17">
        <v>41.266399999999997</v>
      </c>
      <c r="H672" s="17">
        <v>0.45679999999999998</v>
      </c>
      <c r="I672" s="17" t="s">
        <v>1330</v>
      </c>
      <c r="J672" s="17" t="s">
        <v>1330</v>
      </c>
      <c r="K672" s="17" t="s">
        <v>1330</v>
      </c>
      <c r="L672" s="17" t="s">
        <v>51</v>
      </c>
      <c r="M672" s="17" t="s">
        <v>437</v>
      </c>
      <c r="O672" s="17" t="s">
        <v>1330</v>
      </c>
      <c r="P672" s="17" t="s">
        <v>3870</v>
      </c>
    </row>
    <row r="673" spans="1:16" hidden="1" x14ac:dyDescent="0.35">
      <c r="A673" s="17">
        <v>351</v>
      </c>
      <c r="B673" s="17">
        <v>18</v>
      </c>
      <c r="C673" s="17">
        <v>2006</v>
      </c>
      <c r="E673" s="41" t="s">
        <v>45</v>
      </c>
      <c r="F673" s="41" t="s">
        <v>620</v>
      </c>
      <c r="G673" s="17">
        <v>41.399500000000003</v>
      </c>
      <c r="H673" s="17">
        <v>1.0477000000000001</v>
      </c>
      <c r="I673" s="17" t="s">
        <v>1330</v>
      </c>
      <c r="J673" s="17" t="s">
        <v>1330</v>
      </c>
      <c r="K673" s="17" t="s">
        <v>1330</v>
      </c>
      <c r="L673" s="17" t="s">
        <v>51</v>
      </c>
      <c r="M673" s="17" t="s">
        <v>437</v>
      </c>
      <c r="O673" s="17" t="s">
        <v>1330</v>
      </c>
      <c r="P673" s="17" t="s">
        <v>3870</v>
      </c>
    </row>
    <row r="674" spans="1:16" hidden="1" x14ac:dyDescent="0.35">
      <c r="A674" s="17">
        <v>351</v>
      </c>
      <c r="B674" s="17">
        <v>19</v>
      </c>
      <c r="C674" s="17">
        <v>2012</v>
      </c>
      <c r="E674" s="41" t="s">
        <v>45</v>
      </c>
      <c r="F674" s="41" t="s">
        <v>620</v>
      </c>
      <c r="G674" s="17">
        <v>41.269300000000001</v>
      </c>
      <c r="H674" s="17">
        <v>0.78979999999999995</v>
      </c>
      <c r="I674" s="17" t="s">
        <v>1330</v>
      </c>
      <c r="J674" s="17" t="s">
        <v>1330</v>
      </c>
      <c r="K674" s="17" t="s">
        <v>1330</v>
      </c>
      <c r="L674" s="17" t="s">
        <v>51</v>
      </c>
      <c r="M674" s="17" t="s">
        <v>437</v>
      </c>
      <c r="O674" s="17" t="s">
        <v>1330</v>
      </c>
      <c r="P674" s="17" t="s">
        <v>3870</v>
      </c>
    </row>
    <row r="675" spans="1:16" x14ac:dyDescent="0.35">
      <c r="A675" s="17">
        <v>357</v>
      </c>
      <c r="B675" s="17">
        <v>1</v>
      </c>
      <c r="C675" s="17">
        <v>2012</v>
      </c>
      <c r="D675" s="17" t="s">
        <v>404</v>
      </c>
      <c r="E675" s="41" t="s">
        <v>45</v>
      </c>
      <c r="F675" s="41" t="s">
        <v>620</v>
      </c>
      <c r="G675" s="17">
        <v>42.309722000000001</v>
      </c>
      <c r="H675" s="17">
        <v>2.8722219999999998</v>
      </c>
      <c r="I675" s="17" t="s">
        <v>1330</v>
      </c>
      <c r="J675" s="17">
        <v>13963</v>
      </c>
      <c r="K675" s="17" t="s">
        <v>33</v>
      </c>
      <c r="L675" s="17" t="s">
        <v>34</v>
      </c>
      <c r="M675" s="17" t="s">
        <v>3871</v>
      </c>
      <c r="O675" s="17" t="s">
        <v>1330</v>
      </c>
    </row>
    <row r="676" spans="1:16" x14ac:dyDescent="0.35">
      <c r="A676" s="17">
        <v>357</v>
      </c>
      <c r="B676" s="17">
        <v>2</v>
      </c>
      <c r="C676" s="17">
        <v>2013</v>
      </c>
      <c r="D676" s="17" t="s">
        <v>405</v>
      </c>
      <c r="E676" s="41" t="s">
        <v>45</v>
      </c>
      <c r="F676" s="41" t="s">
        <v>620</v>
      </c>
      <c r="G676" s="17">
        <v>42.090555999999999</v>
      </c>
      <c r="H676" s="17">
        <v>2.9970829999999999</v>
      </c>
      <c r="I676" s="17" t="s">
        <v>1330</v>
      </c>
      <c r="J676" s="17">
        <v>734</v>
      </c>
      <c r="K676" s="17" t="s">
        <v>33</v>
      </c>
      <c r="L676" s="17" t="s">
        <v>34</v>
      </c>
      <c r="M676" s="17" t="s">
        <v>3872</v>
      </c>
      <c r="O676" s="17" t="s">
        <v>1330</v>
      </c>
    </row>
    <row r="677" spans="1:16" hidden="1" x14ac:dyDescent="0.35">
      <c r="A677" s="17">
        <v>361</v>
      </c>
      <c r="B677" s="17" t="s">
        <v>102</v>
      </c>
      <c r="C677" s="17" t="s">
        <v>3873</v>
      </c>
      <c r="E677" s="41" t="s">
        <v>86</v>
      </c>
      <c r="F677" s="41" t="s">
        <v>622</v>
      </c>
      <c r="G677" s="17">
        <v>43.2806860848425</v>
      </c>
      <c r="H677" s="17">
        <v>6.3846639535991603</v>
      </c>
      <c r="I677" s="17">
        <v>275</v>
      </c>
      <c r="J677" s="17" t="s">
        <v>1330</v>
      </c>
      <c r="K677" s="17" t="s">
        <v>1330</v>
      </c>
      <c r="L677" s="17" t="s">
        <v>51</v>
      </c>
      <c r="M677" s="17" t="s">
        <v>3874</v>
      </c>
      <c r="O677" s="17" t="s">
        <v>1330</v>
      </c>
    </row>
    <row r="678" spans="1:16" x14ac:dyDescent="0.35">
      <c r="A678" s="17">
        <v>383</v>
      </c>
      <c r="B678" s="17">
        <v>1</v>
      </c>
      <c r="C678" s="17" t="s">
        <v>1410</v>
      </c>
      <c r="D678" s="17" t="s">
        <v>404</v>
      </c>
      <c r="E678" s="41" t="s">
        <v>45</v>
      </c>
      <c r="F678" s="41" t="s">
        <v>620</v>
      </c>
      <c r="G678" s="17">
        <v>38.404600000000002</v>
      </c>
      <c r="H678" s="17">
        <v>-1.9576</v>
      </c>
      <c r="I678" s="17">
        <v>600</v>
      </c>
      <c r="J678" s="17">
        <v>6500</v>
      </c>
      <c r="K678" s="17" t="s">
        <v>102</v>
      </c>
      <c r="L678" s="17" t="s">
        <v>34</v>
      </c>
      <c r="M678" s="17" t="s">
        <v>437</v>
      </c>
      <c r="N678" s="17" t="s">
        <v>3875</v>
      </c>
      <c r="O678" s="17" t="s">
        <v>433</v>
      </c>
    </row>
    <row r="679" spans="1:16" x14ac:dyDescent="0.35">
      <c r="A679" s="17">
        <v>387</v>
      </c>
      <c r="B679" s="17">
        <v>1</v>
      </c>
      <c r="C679" s="17" t="s">
        <v>3876</v>
      </c>
      <c r="D679" s="17" t="s">
        <v>404</v>
      </c>
      <c r="E679" s="41" t="s">
        <v>45</v>
      </c>
      <c r="F679" s="41" t="s">
        <v>620</v>
      </c>
      <c r="G679" s="17">
        <v>38.269931</v>
      </c>
      <c r="H679" s="17">
        <v>-2.6530420000000001</v>
      </c>
      <c r="I679" s="17">
        <v>1809</v>
      </c>
      <c r="J679" s="17">
        <v>686.7</v>
      </c>
      <c r="K679" s="17" t="s">
        <v>432</v>
      </c>
      <c r="L679" s="17" t="s">
        <v>34</v>
      </c>
      <c r="M679" s="17" t="s">
        <v>3877</v>
      </c>
      <c r="O679" s="17" t="s">
        <v>730</v>
      </c>
    </row>
    <row r="680" spans="1:16" hidden="1" x14ac:dyDescent="0.35">
      <c r="A680" s="17">
        <v>396</v>
      </c>
      <c r="B680" s="17">
        <v>1</v>
      </c>
      <c r="C680" s="17" t="s">
        <v>1785</v>
      </c>
      <c r="D680" s="17" t="s">
        <v>404</v>
      </c>
      <c r="E680" s="41" t="s">
        <v>45</v>
      </c>
      <c r="F680" s="41" t="s">
        <v>622</v>
      </c>
      <c r="G680" s="17">
        <v>42.298613780661299</v>
      </c>
      <c r="H680" s="17">
        <v>-6.4892375454834497</v>
      </c>
      <c r="I680" s="17">
        <v>1387</v>
      </c>
      <c r="J680" s="17">
        <v>9940</v>
      </c>
      <c r="K680" s="17" t="s">
        <v>1330</v>
      </c>
      <c r="L680" s="17" t="s">
        <v>34</v>
      </c>
      <c r="M680" s="17" t="s">
        <v>3878</v>
      </c>
      <c r="N680" s="17" t="s">
        <v>3879</v>
      </c>
      <c r="O680" s="17" t="s">
        <v>376</v>
      </c>
    </row>
    <row r="681" spans="1:16" hidden="1" x14ac:dyDescent="0.35">
      <c r="A681" s="17">
        <v>418</v>
      </c>
      <c r="B681" s="17">
        <v>1</v>
      </c>
      <c r="C681" s="17" t="s">
        <v>3880</v>
      </c>
      <c r="D681" s="17" t="s">
        <v>404</v>
      </c>
      <c r="E681" s="41" t="s">
        <v>49</v>
      </c>
      <c r="F681" s="41" t="s">
        <v>622</v>
      </c>
      <c r="G681" s="17">
        <v>38.1666069091699</v>
      </c>
      <c r="H681" s="17">
        <v>23.981272437368101</v>
      </c>
      <c r="I681" s="17">
        <v>490</v>
      </c>
      <c r="J681" s="17">
        <v>14700</v>
      </c>
      <c r="K681" s="17" t="s">
        <v>102</v>
      </c>
      <c r="L681" s="17" t="s">
        <v>34</v>
      </c>
      <c r="M681" s="17" t="s">
        <v>3881</v>
      </c>
      <c r="O681" s="17" t="s">
        <v>1330</v>
      </c>
    </row>
    <row r="682" spans="1:16" x14ac:dyDescent="0.35">
      <c r="A682" s="17">
        <v>422</v>
      </c>
      <c r="B682" s="17">
        <v>1</v>
      </c>
      <c r="C682" s="17" t="s">
        <v>3882</v>
      </c>
      <c r="D682" s="17" t="s">
        <v>404</v>
      </c>
      <c r="E682" s="41" t="s">
        <v>45</v>
      </c>
      <c r="F682" s="41" t="s">
        <v>622</v>
      </c>
      <c r="G682" s="17">
        <v>42.314900661898001</v>
      </c>
      <c r="H682" s="17">
        <v>-6.2058796430384904</v>
      </c>
      <c r="I682" s="17">
        <v>1100</v>
      </c>
      <c r="J682" s="17">
        <v>3000</v>
      </c>
      <c r="K682" s="17" t="s">
        <v>102</v>
      </c>
      <c r="L682" s="17" t="s">
        <v>34</v>
      </c>
      <c r="M682" s="17" t="s">
        <v>3562</v>
      </c>
      <c r="N682" s="17" t="s">
        <v>3883</v>
      </c>
      <c r="O682" s="17" t="s">
        <v>1330</v>
      </c>
    </row>
    <row r="683" spans="1:16" hidden="1" x14ac:dyDescent="0.35">
      <c r="A683" s="17">
        <v>423</v>
      </c>
      <c r="B683" s="17">
        <v>1</v>
      </c>
      <c r="C683" s="17" t="s">
        <v>1404</v>
      </c>
      <c r="D683" s="17" t="s">
        <v>404</v>
      </c>
      <c r="E683" s="41" t="s">
        <v>45</v>
      </c>
      <c r="F683" s="41" t="s">
        <v>622</v>
      </c>
      <c r="G683" s="17">
        <v>38.364708981526903</v>
      </c>
      <c r="H683" s="17">
        <v>-2.3198161411028599</v>
      </c>
      <c r="I683" s="17">
        <v>900</v>
      </c>
      <c r="J683" s="17">
        <v>11685</v>
      </c>
      <c r="K683" s="17" t="s">
        <v>1330</v>
      </c>
      <c r="L683" s="17" t="s">
        <v>34</v>
      </c>
      <c r="M683" s="17" t="s">
        <v>3884</v>
      </c>
      <c r="N683" s="17" t="s">
        <v>3885</v>
      </c>
      <c r="O683" s="17" t="s">
        <v>1330</v>
      </c>
    </row>
    <row r="684" spans="1:16" hidden="1" x14ac:dyDescent="0.35">
      <c r="A684" s="17">
        <v>423</v>
      </c>
      <c r="B684" s="17">
        <v>2</v>
      </c>
      <c r="C684" s="17" t="s">
        <v>1396</v>
      </c>
      <c r="D684" s="17" t="s">
        <v>404</v>
      </c>
      <c r="E684" s="41" t="s">
        <v>45</v>
      </c>
      <c r="F684" s="41" t="s">
        <v>622</v>
      </c>
      <c r="G684" s="17">
        <v>39.488336568882801</v>
      </c>
      <c r="H684" s="17">
        <v>-1.08623860126787</v>
      </c>
      <c r="I684" s="17">
        <v>900</v>
      </c>
      <c r="J684" s="17">
        <v>16373</v>
      </c>
      <c r="K684" s="17" t="s">
        <v>1330</v>
      </c>
      <c r="L684" s="17" t="s">
        <v>34</v>
      </c>
      <c r="M684" s="17" t="s">
        <v>3884</v>
      </c>
      <c r="N684" s="17" t="s">
        <v>3886</v>
      </c>
      <c r="O684" s="17" t="s">
        <v>1330</v>
      </c>
    </row>
    <row r="685" spans="1:16" x14ac:dyDescent="0.35">
      <c r="A685" s="17">
        <v>425</v>
      </c>
      <c r="B685" s="17">
        <v>1</v>
      </c>
      <c r="C685" s="17" t="s">
        <v>3127</v>
      </c>
      <c r="D685" s="17" t="s">
        <v>404</v>
      </c>
      <c r="E685" s="41" t="s">
        <v>45</v>
      </c>
      <c r="F685" s="41" t="s">
        <v>622</v>
      </c>
      <c r="G685" s="17">
        <v>42.320490901461497</v>
      </c>
      <c r="H685" s="17">
        <v>3.3155771872917099</v>
      </c>
      <c r="I685" s="17">
        <v>140</v>
      </c>
      <c r="J685" s="17">
        <v>6760</v>
      </c>
      <c r="K685" s="17" t="s">
        <v>375</v>
      </c>
      <c r="L685" s="17" t="s">
        <v>34</v>
      </c>
      <c r="M685" s="17" t="s">
        <v>3887</v>
      </c>
      <c r="N685" s="17" t="s">
        <v>3888</v>
      </c>
      <c r="O685" s="17" t="s">
        <v>1330</v>
      </c>
    </row>
    <row r="686" spans="1:16" x14ac:dyDescent="0.35">
      <c r="A686" s="17">
        <v>428</v>
      </c>
      <c r="B686" s="17">
        <v>1</v>
      </c>
      <c r="C686" s="17" t="s">
        <v>3889</v>
      </c>
      <c r="D686" s="17" t="s">
        <v>404</v>
      </c>
      <c r="E686" s="41" t="s">
        <v>45</v>
      </c>
      <c r="F686" s="41" t="s">
        <v>620</v>
      </c>
      <c r="G686" s="17">
        <v>37.0011362281735</v>
      </c>
      <c r="H686" s="17">
        <v>-5.5476857442130099</v>
      </c>
      <c r="I686" s="17">
        <v>510</v>
      </c>
      <c r="J686" s="17">
        <v>90</v>
      </c>
      <c r="K686" s="17" t="s">
        <v>375</v>
      </c>
      <c r="L686" s="17" t="s">
        <v>34</v>
      </c>
      <c r="M686" s="17" t="s">
        <v>3890</v>
      </c>
      <c r="O686" s="17" t="s">
        <v>44</v>
      </c>
    </row>
    <row r="687" spans="1:16" x14ac:dyDescent="0.35">
      <c r="A687" s="17">
        <v>432</v>
      </c>
      <c r="B687" s="17">
        <v>1</v>
      </c>
      <c r="C687" s="17" t="s">
        <v>1345</v>
      </c>
      <c r="D687" s="17" t="s">
        <v>404</v>
      </c>
      <c r="E687" s="41" t="s">
        <v>45</v>
      </c>
      <c r="F687" s="41" t="s">
        <v>620</v>
      </c>
      <c r="G687" s="17">
        <v>38.733055999999998</v>
      </c>
      <c r="H687" s="17">
        <v>-0.48777799999999999</v>
      </c>
      <c r="I687" s="17" t="s">
        <v>1330</v>
      </c>
      <c r="J687" s="17">
        <v>546</v>
      </c>
      <c r="K687" s="17" t="s">
        <v>375</v>
      </c>
      <c r="L687" s="17" t="s">
        <v>34</v>
      </c>
      <c r="M687" s="17" t="s">
        <v>437</v>
      </c>
      <c r="N687" s="17" t="s">
        <v>3891</v>
      </c>
      <c r="O687" s="17" t="s">
        <v>44</v>
      </c>
    </row>
    <row r="688" spans="1:16" x14ac:dyDescent="0.35">
      <c r="A688" s="17">
        <v>435</v>
      </c>
      <c r="B688" s="17">
        <v>1</v>
      </c>
      <c r="C688" s="17" t="s">
        <v>3892</v>
      </c>
      <c r="D688" s="17" t="s">
        <v>404</v>
      </c>
      <c r="E688" s="41" t="s">
        <v>45</v>
      </c>
      <c r="F688" s="41" t="s">
        <v>620</v>
      </c>
      <c r="G688" s="17">
        <v>38.152889000000002</v>
      </c>
      <c r="H688" s="17">
        <v>-2.7885559999999998</v>
      </c>
      <c r="I688" s="17">
        <v>1000</v>
      </c>
      <c r="J688" s="17">
        <v>5000</v>
      </c>
      <c r="K688" s="17" t="s">
        <v>33</v>
      </c>
      <c r="L688" s="17" t="s">
        <v>34</v>
      </c>
      <c r="M688" s="17" t="s">
        <v>3893</v>
      </c>
      <c r="N688" s="17" t="s">
        <v>3894</v>
      </c>
      <c r="O688" s="17" t="s">
        <v>1330</v>
      </c>
      <c r="P688" s="17" t="s">
        <v>3895</v>
      </c>
    </row>
    <row r="689" spans="1:16" x14ac:dyDescent="0.35">
      <c r="A689" s="17">
        <v>435</v>
      </c>
      <c r="B689" s="17">
        <v>1</v>
      </c>
      <c r="C689" s="17" t="s">
        <v>3892</v>
      </c>
      <c r="D689" s="17" t="s">
        <v>404</v>
      </c>
      <c r="E689" s="41" t="s">
        <v>45</v>
      </c>
      <c r="F689" s="41" t="s">
        <v>620</v>
      </c>
      <c r="G689" s="17">
        <v>38.162582999999998</v>
      </c>
      <c r="H689" s="17">
        <v>-2.7848609999999998</v>
      </c>
      <c r="I689" s="17">
        <v>1000</v>
      </c>
      <c r="J689" s="17">
        <v>5000</v>
      </c>
      <c r="K689" s="17" t="s">
        <v>33</v>
      </c>
      <c r="L689" s="17" t="s">
        <v>34</v>
      </c>
      <c r="M689" s="17" t="s">
        <v>3893</v>
      </c>
      <c r="N689" s="17" t="s">
        <v>3894</v>
      </c>
      <c r="O689" s="17" t="s">
        <v>1330</v>
      </c>
      <c r="P689" s="17" t="s">
        <v>3895</v>
      </c>
    </row>
    <row r="690" spans="1:16" hidden="1" x14ac:dyDescent="0.35">
      <c r="A690" s="17">
        <v>448</v>
      </c>
      <c r="B690" s="17" t="s">
        <v>102</v>
      </c>
      <c r="C690" s="17" t="s">
        <v>3896</v>
      </c>
      <c r="E690" s="41" t="s">
        <v>45</v>
      </c>
      <c r="F690" s="41" t="s">
        <v>622</v>
      </c>
      <c r="G690" s="17">
        <v>40.285229973351598</v>
      </c>
      <c r="H690" s="17">
        <v>-5.0741591228868304</v>
      </c>
      <c r="I690" s="17">
        <v>1000</v>
      </c>
      <c r="J690" s="17" t="s">
        <v>1330</v>
      </c>
      <c r="K690" s="17" t="s">
        <v>1330</v>
      </c>
      <c r="M690" s="17" t="s">
        <v>3562</v>
      </c>
      <c r="N690" s="17" t="s">
        <v>3897</v>
      </c>
      <c r="O690" s="17" t="s">
        <v>44</v>
      </c>
      <c r="P690" s="17" t="s">
        <v>3898</v>
      </c>
    </row>
    <row r="691" spans="1:16" hidden="1" x14ac:dyDescent="0.35">
      <c r="A691" s="17">
        <v>450</v>
      </c>
      <c r="B691" s="17" t="s">
        <v>102</v>
      </c>
      <c r="C691" s="17" t="s">
        <v>3899</v>
      </c>
      <c r="E691" s="41" t="s">
        <v>45</v>
      </c>
      <c r="F691" s="41" t="s">
        <v>622</v>
      </c>
      <c r="G691" s="17">
        <v>38.097791226491701</v>
      </c>
      <c r="H691" s="17">
        <v>-2.9828646045749299</v>
      </c>
      <c r="I691" s="17" t="s">
        <v>1330</v>
      </c>
      <c r="J691" s="17" t="s">
        <v>1330</v>
      </c>
      <c r="K691" s="17" t="s">
        <v>1330</v>
      </c>
      <c r="L691" s="17" t="s">
        <v>51</v>
      </c>
      <c r="M691" s="17" t="s">
        <v>1823</v>
      </c>
      <c r="N691" s="17" t="s">
        <v>3900</v>
      </c>
      <c r="O691" s="17" t="s">
        <v>1330</v>
      </c>
    </row>
    <row r="692" spans="1:16" hidden="1" x14ac:dyDescent="0.35">
      <c r="A692" s="17">
        <v>455</v>
      </c>
      <c r="B692" s="17">
        <v>1</v>
      </c>
      <c r="C692" s="17" t="s">
        <v>3901</v>
      </c>
      <c r="E692" s="41" t="s">
        <v>37</v>
      </c>
      <c r="F692" s="41" t="s">
        <v>622</v>
      </c>
      <c r="G692" s="17">
        <v>41.185743229758998</v>
      </c>
      <c r="H692" s="17">
        <v>-6.9965860360518404</v>
      </c>
      <c r="I692" s="17">
        <v>635</v>
      </c>
      <c r="J692" s="17" t="s">
        <v>1330</v>
      </c>
      <c r="K692" s="17" t="s">
        <v>1330</v>
      </c>
      <c r="L692" s="17" t="s">
        <v>51</v>
      </c>
      <c r="N692" s="17" t="s">
        <v>3902</v>
      </c>
      <c r="O692" s="17" t="s">
        <v>1330</v>
      </c>
      <c r="P692" s="17" t="s">
        <v>3903</v>
      </c>
    </row>
    <row r="693" spans="1:16" x14ac:dyDescent="0.35">
      <c r="A693" s="17">
        <v>460</v>
      </c>
      <c r="B693" s="17">
        <v>1</v>
      </c>
      <c r="C693" s="17" t="s">
        <v>1489</v>
      </c>
      <c r="E693" s="41" t="s">
        <v>45</v>
      </c>
      <c r="F693" s="41" t="s">
        <v>620</v>
      </c>
      <c r="G693" s="17">
        <v>41.899539694964602</v>
      </c>
      <c r="H693" s="17">
        <v>-6.3343848739241899</v>
      </c>
      <c r="I693" s="17">
        <v>1045.5</v>
      </c>
      <c r="J693" s="17">
        <v>31473</v>
      </c>
      <c r="K693" s="17" t="s">
        <v>33</v>
      </c>
      <c r="L693" s="17" t="s">
        <v>34</v>
      </c>
      <c r="M693" s="17" t="s">
        <v>3904</v>
      </c>
      <c r="N693" s="17" t="s">
        <v>3905</v>
      </c>
      <c r="O693" s="17" t="s">
        <v>44</v>
      </c>
    </row>
    <row r="694" spans="1:16" hidden="1" x14ac:dyDescent="0.35">
      <c r="A694" s="17">
        <v>462</v>
      </c>
      <c r="B694" s="17" t="s">
        <v>102</v>
      </c>
      <c r="C694" s="17" t="s">
        <v>3906</v>
      </c>
      <c r="E694" s="41" t="s">
        <v>37</v>
      </c>
      <c r="F694" s="41" t="s">
        <v>621</v>
      </c>
      <c r="G694" s="17">
        <v>39.825000000000003</v>
      </c>
      <c r="H694" s="17">
        <v>-7.8333300000000001</v>
      </c>
      <c r="I694" s="17">
        <v>675</v>
      </c>
      <c r="J694" s="17" t="s">
        <v>1330</v>
      </c>
      <c r="K694" s="17" t="s">
        <v>1330</v>
      </c>
      <c r="L694" s="17" t="s">
        <v>51</v>
      </c>
      <c r="M694" s="17" t="s">
        <v>3562</v>
      </c>
      <c r="O694" s="17" t="s">
        <v>433</v>
      </c>
    </row>
    <row r="695" spans="1:16" x14ac:dyDescent="0.35">
      <c r="A695" s="17">
        <v>467</v>
      </c>
      <c r="B695" s="17">
        <v>1</v>
      </c>
      <c r="C695" s="17">
        <v>2012</v>
      </c>
      <c r="E695" s="41" t="s">
        <v>45</v>
      </c>
      <c r="F695" s="41" t="s">
        <v>620</v>
      </c>
      <c r="G695" s="17">
        <v>42.259444000000002</v>
      </c>
      <c r="H695" s="17">
        <v>-6.2036110000000004</v>
      </c>
      <c r="I695" s="17">
        <v>1057.5</v>
      </c>
      <c r="J695" s="17">
        <v>11891</v>
      </c>
      <c r="K695" s="17" t="s">
        <v>33</v>
      </c>
      <c r="L695" s="17" t="s">
        <v>34</v>
      </c>
      <c r="M695" s="17" t="s">
        <v>3562</v>
      </c>
      <c r="N695" s="17" t="s">
        <v>3907</v>
      </c>
      <c r="O695" s="17" t="s">
        <v>433</v>
      </c>
    </row>
    <row r="696" spans="1:16" x14ac:dyDescent="0.35">
      <c r="A696" s="17">
        <v>467</v>
      </c>
      <c r="B696" s="17">
        <v>2</v>
      </c>
      <c r="C696" s="17">
        <v>2005</v>
      </c>
      <c r="E696" s="41" t="s">
        <v>45</v>
      </c>
      <c r="F696" s="41" t="s">
        <v>620</v>
      </c>
      <c r="G696" s="17">
        <v>42.259444000000002</v>
      </c>
      <c r="H696" s="17">
        <v>-6.2036110000000004</v>
      </c>
      <c r="I696" s="17">
        <v>1057.5</v>
      </c>
      <c r="J696" s="17">
        <v>1172</v>
      </c>
      <c r="K696" s="17" t="s">
        <v>33</v>
      </c>
      <c r="L696" s="17" t="s">
        <v>34</v>
      </c>
      <c r="M696" s="17" t="s">
        <v>3562</v>
      </c>
      <c r="N696" s="17" t="s">
        <v>3907</v>
      </c>
      <c r="O696" s="17" t="s">
        <v>433</v>
      </c>
    </row>
    <row r="697" spans="1:16" x14ac:dyDescent="0.35">
      <c r="A697" s="17">
        <v>467</v>
      </c>
      <c r="B697" s="17">
        <v>3</v>
      </c>
      <c r="C697" s="17" t="s">
        <v>3908</v>
      </c>
      <c r="E697" s="41" t="s">
        <v>45</v>
      </c>
      <c r="F697" s="41" t="s">
        <v>620</v>
      </c>
      <c r="G697" s="17">
        <v>42.259444000000002</v>
      </c>
      <c r="H697" s="17">
        <v>-6.2036110000000004</v>
      </c>
      <c r="I697" s="17">
        <v>1057.5</v>
      </c>
      <c r="J697" s="17">
        <v>4071</v>
      </c>
      <c r="K697" s="17" t="s">
        <v>33</v>
      </c>
      <c r="L697" s="17" t="s">
        <v>34</v>
      </c>
      <c r="M697" s="17" t="s">
        <v>3562</v>
      </c>
      <c r="N697" s="17" t="s">
        <v>3907</v>
      </c>
      <c r="O697" s="17" t="s">
        <v>433</v>
      </c>
    </row>
    <row r="698" spans="1:16" hidden="1" x14ac:dyDescent="0.35">
      <c r="A698" s="17">
        <v>479</v>
      </c>
      <c r="B698" s="17">
        <v>1</v>
      </c>
      <c r="C698" s="17" t="s">
        <v>3909</v>
      </c>
      <c r="D698" s="17" t="s">
        <v>404</v>
      </c>
      <c r="E698" s="41" t="s">
        <v>82</v>
      </c>
      <c r="F698" s="41" t="s">
        <v>621</v>
      </c>
      <c r="G698" s="17">
        <v>40.491669999999999</v>
      </c>
      <c r="H698" s="17">
        <v>16.975000000000001</v>
      </c>
      <c r="I698" s="17" t="s">
        <v>1330</v>
      </c>
      <c r="J698" s="17" t="s">
        <v>1330</v>
      </c>
      <c r="K698" s="17" t="s">
        <v>1330</v>
      </c>
      <c r="L698" s="17" t="s">
        <v>34</v>
      </c>
      <c r="M698" s="17" t="s">
        <v>437</v>
      </c>
      <c r="N698" s="17" t="s">
        <v>3910</v>
      </c>
      <c r="O698" s="17" t="s">
        <v>44</v>
      </c>
    </row>
    <row r="699" spans="1:16" hidden="1" x14ac:dyDescent="0.35">
      <c r="A699" s="17">
        <v>482</v>
      </c>
      <c r="B699" s="17">
        <v>1</v>
      </c>
      <c r="C699" s="17" t="s">
        <v>3911</v>
      </c>
      <c r="D699" s="17" t="s">
        <v>404</v>
      </c>
      <c r="E699" s="41" t="s">
        <v>74</v>
      </c>
      <c r="F699" s="41" t="s">
        <v>620</v>
      </c>
      <c r="G699" s="17">
        <v>31.75</v>
      </c>
      <c r="H699" s="17">
        <v>35.1</v>
      </c>
      <c r="I699" s="17">
        <v>590</v>
      </c>
      <c r="J699" s="17" t="s">
        <v>1330</v>
      </c>
      <c r="K699" s="17" t="s">
        <v>1330</v>
      </c>
      <c r="L699" s="17" t="s">
        <v>34</v>
      </c>
      <c r="M699" s="17" t="s">
        <v>437</v>
      </c>
      <c r="N699" s="17" t="s">
        <v>3912</v>
      </c>
      <c r="O699" s="17" t="s">
        <v>1330</v>
      </c>
    </row>
    <row r="700" spans="1:16" x14ac:dyDescent="0.35">
      <c r="A700" s="17">
        <v>484</v>
      </c>
      <c r="B700" s="17">
        <v>1</v>
      </c>
      <c r="C700" s="17" t="s">
        <v>1350</v>
      </c>
      <c r="D700" s="17" t="s">
        <v>404</v>
      </c>
      <c r="E700" s="41" t="s">
        <v>45</v>
      </c>
      <c r="F700" s="41" t="s">
        <v>620</v>
      </c>
      <c r="G700" s="17">
        <v>38.366667</v>
      </c>
      <c r="H700" s="17">
        <v>-2.4</v>
      </c>
      <c r="I700" s="17">
        <v>900</v>
      </c>
      <c r="J700" s="17">
        <v>14000</v>
      </c>
      <c r="K700" s="17" t="s">
        <v>33</v>
      </c>
      <c r="L700" s="17" t="s">
        <v>34</v>
      </c>
      <c r="M700" s="17" t="s">
        <v>437</v>
      </c>
      <c r="N700" s="17" t="s">
        <v>3913</v>
      </c>
      <c r="O700" s="17" t="s">
        <v>433</v>
      </c>
    </row>
    <row r="701" spans="1:16" x14ac:dyDescent="0.35">
      <c r="A701" s="17">
        <v>501</v>
      </c>
      <c r="B701" s="17">
        <v>1</v>
      </c>
      <c r="C701" s="17">
        <v>1982</v>
      </c>
      <c r="E701" s="41" t="s">
        <v>45</v>
      </c>
      <c r="F701" s="41" t="s">
        <v>622</v>
      </c>
      <c r="G701" s="17">
        <v>41.273245473337902</v>
      </c>
      <c r="H701" s="17">
        <v>1.9123925647326601</v>
      </c>
      <c r="I701" s="17">
        <v>300</v>
      </c>
      <c r="J701" s="17">
        <v>10000</v>
      </c>
      <c r="K701" s="17" t="s">
        <v>33</v>
      </c>
      <c r="M701" s="17" t="s">
        <v>437</v>
      </c>
      <c r="O701" s="17" t="s">
        <v>1330</v>
      </c>
    </row>
    <row r="702" spans="1:16" x14ac:dyDescent="0.35">
      <c r="A702" s="17">
        <v>501</v>
      </c>
      <c r="B702" s="17">
        <v>2</v>
      </c>
      <c r="C702" s="17">
        <v>1994</v>
      </c>
      <c r="E702" s="41" t="s">
        <v>45</v>
      </c>
      <c r="F702" s="41" t="s">
        <v>622</v>
      </c>
      <c r="G702" s="17">
        <v>41.273245473337902</v>
      </c>
      <c r="H702" s="17">
        <v>1.9123925647326601</v>
      </c>
      <c r="I702" s="17">
        <v>300</v>
      </c>
      <c r="J702" s="17">
        <v>5000</v>
      </c>
      <c r="K702" s="17" t="s">
        <v>33</v>
      </c>
      <c r="M702" s="17" t="s">
        <v>437</v>
      </c>
      <c r="O702" s="17" t="s">
        <v>1330</v>
      </c>
    </row>
    <row r="703" spans="1:16" hidden="1" x14ac:dyDescent="0.35">
      <c r="A703" s="17">
        <v>506</v>
      </c>
      <c r="B703" s="17" t="s">
        <v>102</v>
      </c>
      <c r="C703" s="17" t="s">
        <v>3914</v>
      </c>
      <c r="D703" s="17" t="s">
        <v>3915</v>
      </c>
      <c r="E703" s="41" t="s">
        <v>45</v>
      </c>
      <c r="F703" s="41" t="s">
        <v>622</v>
      </c>
      <c r="G703" s="17">
        <v>41.856784463122402</v>
      </c>
      <c r="H703" s="17">
        <v>1.6791725793474701</v>
      </c>
      <c r="I703" s="17" t="s">
        <v>1330</v>
      </c>
      <c r="J703" s="17" t="s">
        <v>3916</v>
      </c>
      <c r="K703" s="17" t="s">
        <v>1330</v>
      </c>
      <c r="L703" s="17" t="s">
        <v>51</v>
      </c>
      <c r="M703" s="17" t="s">
        <v>3917</v>
      </c>
      <c r="O703" s="17" t="s">
        <v>1330</v>
      </c>
    </row>
    <row r="704" spans="1:16" x14ac:dyDescent="0.35">
      <c r="A704" s="17">
        <v>506</v>
      </c>
      <c r="B704" s="17" t="s">
        <v>102</v>
      </c>
      <c r="C704" s="17" t="s">
        <v>3918</v>
      </c>
      <c r="D704" s="17" t="s">
        <v>404</v>
      </c>
      <c r="E704" s="41" t="s">
        <v>45</v>
      </c>
      <c r="F704" s="41" t="s">
        <v>621</v>
      </c>
      <c r="G704" s="17">
        <v>41.856784463122402</v>
      </c>
      <c r="H704" s="17">
        <v>1.6791725793474701</v>
      </c>
      <c r="I704" s="17" t="s">
        <v>1330</v>
      </c>
      <c r="J704" s="17" t="s">
        <v>3919</v>
      </c>
      <c r="K704" s="17" t="s">
        <v>33</v>
      </c>
      <c r="L704" s="17" t="s">
        <v>51</v>
      </c>
      <c r="M704" s="17" t="s">
        <v>3917</v>
      </c>
      <c r="O704" s="17" t="s">
        <v>1330</v>
      </c>
    </row>
    <row r="705" spans="1:16" hidden="1" x14ac:dyDescent="0.35">
      <c r="A705" s="17">
        <v>510</v>
      </c>
      <c r="B705" s="17">
        <v>1</v>
      </c>
      <c r="C705" s="17" t="s">
        <v>3920</v>
      </c>
      <c r="D705" s="17" t="s">
        <v>404</v>
      </c>
      <c r="E705" s="41" t="s">
        <v>49</v>
      </c>
      <c r="F705" s="41" t="s">
        <v>620</v>
      </c>
      <c r="G705" s="17">
        <v>40.65</v>
      </c>
      <c r="H705" s="17">
        <v>23</v>
      </c>
      <c r="I705" s="17">
        <v>350</v>
      </c>
      <c r="J705" s="17" t="s">
        <v>3921</v>
      </c>
      <c r="K705" s="17" t="s">
        <v>33</v>
      </c>
      <c r="L705" s="17" t="s">
        <v>34</v>
      </c>
      <c r="M705" s="17" t="s">
        <v>2734</v>
      </c>
      <c r="N705" s="17" t="s">
        <v>3922</v>
      </c>
      <c r="O705" s="17" t="s">
        <v>376</v>
      </c>
    </row>
    <row r="706" spans="1:16" x14ac:dyDescent="0.35">
      <c r="A706" s="17">
        <v>514</v>
      </c>
      <c r="B706" s="17">
        <v>1</v>
      </c>
      <c r="C706" s="17" t="s">
        <v>3923</v>
      </c>
      <c r="D706" s="17" t="s">
        <v>404</v>
      </c>
      <c r="E706" s="41" t="s">
        <v>45</v>
      </c>
      <c r="F706" s="41" t="s">
        <v>620</v>
      </c>
      <c r="G706" s="17">
        <v>37.260817000000003</v>
      </c>
      <c r="H706" s="17">
        <v>-3.395975</v>
      </c>
      <c r="J706" s="17">
        <v>7000</v>
      </c>
      <c r="K706" s="17" t="s">
        <v>102</v>
      </c>
      <c r="L706" s="17" t="s">
        <v>34</v>
      </c>
      <c r="M706" s="17" t="s">
        <v>3924</v>
      </c>
      <c r="O706" s="17" t="s">
        <v>48</v>
      </c>
      <c r="P706" s="17" t="s">
        <v>3925</v>
      </c>
    </row>
    <row r="707" spans="1:16" hidden="1" x14ac:dyDescent="0.35">
      <c r="A707" s="17">
        <v>515</v>
      </c>
      <c r="B707" s="17" t="s">
        <v>102</v>
      </c>
      <c r="C707" s="17" t="s">
        <v>3926</v>
      </c>
      <c r="E707" s="41" t="s">
        <v>45</v>
      </c>
      <c r="F707" s="41" t="s">
        <v>622</v>
      </c>
      <c r="G707" s="17">
        <v>41.946731720374302</v>
      </c>
      <c r="H707" s="17">
        <v>1.37155542568995</v>
      </c>
      <c r="I707" s="17">
        <v>475</v>
      </c>
      <c r="J707" s="17" t="s">
        <v>1330</v>
      </c>
      <c r="K707" s="17" t="s">
        <v>1330</v>
      </c>
      <c r="L707" s="17" t="s">
        <v>51</v>
      </c>
      <c r="M707" s="17" t="s">
        <v>3927</v>
      </c>
      <c r="O707" s="17" t="s">
        <v>433</v>
      </c>
      <c r="P707" s="17" t="s">
        <v>3928</v>
      </c>
    </row>
    <row r="708" spans="1:16" hidden="1" x14ac:dyDescent="0.35">
      <c r="A708" s="17">
        <v>522</v>
      </c>
      <c r="B708" s="17" t="s">
        <v>102</v>
      </c>
      <c r="C708" s="17" t="s">
        <v>3929</v>
      </c>
      <c r="E708" s="41" t="s">
        <v>82</v>
      </c>
      <c r="F708" s="41" t="s">
        <v>620</v>
      </c>
      <c r="G708" s="17">
        <v>37.833333000000003</v>
      </c>
      <c r="H708" s="17">
        <v>14.083333</v>
      </c>
      <c r="I708" s="17">
        <v>440</v>
      </c>
      <c r="J708" s="17" t="s">
        <v>1330</v>
      </c>
      <c r="K708" s="17" t="s">
        <v>1330</v>
      </c>
      <c r="L708" s="17" t="s">
        <v>51</v>
      </c>
      <c r="M708" s="17" t="s">
        <v>3930</v>
      </c>
      <c r="N708" s="17" t="s">
        <v>3931</v>
      </c>
      <c r="O708" s="17" t="s">
        <v>433</v>
      </c>
    </row>
    <row r="709" spans="1:16" hidden="1" x14ac:dyDescent="0.35">
      <c r="A709" s="17">
        <v>538</v>
      </c>
      <c r="B709" s="17">
        <v>1</v>
      </c>
      <c r="C709" s="17" t="s">
        <v>1397</v>
      </c>
      <c r="E709" s="41" t="s">
        <v>74</v>
      </c>
      <c r="F709" s="41" t="s">
        <v>620</v>
      </c>
      <c r="G709" s="17">
        <v>32.733330000000002</v>
      </c>
      <c r="H709" s="17">
        <v>35.016669999999998</v>
      </c>
      <c r="I709" s="17">
        <v>340</v>
      </c>
      <c r="J709" s="17" t="s">
        <v>1330</v>
      </c>
      <c r="K709" s="17" t="s">
        <v>33</v>
      </c>
      <c r="L709" s="17" t="s">
        <v>34</v>
      </c>
      <c r="M709" s="17" t="s">
        <v>1089</v>
      </c>
      <c r="N709" s="17" t="s">
        <v>4288</v>
      </c>
      <c r="O709" s="17" t="s">
        <v>1330</v>
      </c>
    </row>
    <row r="710" spans="1:16" x14ac:dyDescent="0.35">
      <c r="A710" s="17">
        <v>551</v>
      </c>
      <c r="B710" s="17" t="s">
        <v>102</v>
      </c>
      <c r="C710" s="17" t="s">
        <v>394</v>
      </c>
      <c r="D710" s="17" t="s">
        <v>4289</v>
      </c>
      <c r="E710" s="41" t="s">
        <v>37</v>
      </c>
      <c r="F710" s="41" t="s">
        <v>622</v>
      </c>
      <c r="G710" s="17">
        <v>40.6</v>
      </c>
      <c r="H710" s="17">
        <v>-8.4</v>
      </c>
      <c r="I710" s="17" t="s">
        <v>1330</v>
      </c>
      <c r="J710" s="17">
        <v>118</v>
      </c>
      <c r="K710" s="17" t="s">
        <v>102</v>
      </c>
      <c r="L710" s="17" t="s">
        <v>51</v>
      </c>
      <c r="M710" s="17" t="s">
        <v>4290</v>
      </c>
      <c r="N710" s="17" t="s">
        <v>4291</v>
      </c>
      <c r="O710" s="17" t="s">
        <v>1330</v>
      </c>
      <c r="P710" s="17" t="s">
        <v>4292</v>
      </c>
    </row>
    <row r="711" spans="1:16" x14ac:dyDescent="0.35">
      <c r="A711" s="17">
        <v>551</v>
      </c>
      <c r="B711" s="17" t="s">
        <v>102</v>
      </c>
      <c r="C711" s="17" t="s">
        <v>61</v>
      </c>
      <c r="E711" s="41" t="s">
        <v>37</v>
      </c>
      <c r="F711" s="41" t="s">
        <v>622</v>
      </c>
      <c r="G711" s="17">
        <v>40.6</v>
      </c>
      <c r="H711" s="17">
        <v>-8.4</v>
      </c>
      <c r="I711" s="17" t="s">
        <v>1330</v>
      </c>
      <c r="J711" s="17">
        <v>1113</v>
      </c>
      <c r="K711" s="17" t="s">
        <v>102</v>
      </c>
      <c r="L711" s="17" t="s">
        <v>51</v>
      </c>
      <c r="M711" s="17" t="s">
        <v>4290</v>
      </c>
      <c r="N711" s="17" t="s">
        <v>4291</v>
      </c>
      <c r="O711" s="17" t="s">
        <v>1330</v>
      </c>
      <c r="P711" s="17" t="s">
        <v>4292</v>
      </c>
    </row>
    <row r="712" spans="1:16" x14ac:dyDescent="0.35">
      <c r="A712" s="17">
        <v>551</v>
      </c>
      <c r="B712" s="17" t="s">
        <v>102</v>
      </c>
      <c r="C712" s="17" t="s">
        <v>4293</v>
      </c>
      <c r="D712" s="17" t="s">
        <v>404</v>
      </c>
      <c r="E712" s="41" t="s">
        <v>37</v>
      </c>
      <c r="F712" s="41" t="s">
        <v>622</v>
      </c>
      <c r="G712" s="17">
        <v>40.6</v>
      </c>
      <c r="H712" s="17">
        <v>-8.4</v>
      </c>
      <c r="I712" s="17" t="s">
        <v>1330</v>
      </c>
      <c r="J712" s="17">
        <v>7343</v>
      </c>
      <c r="K712" s="17" t="s">
        <v>102</v>
      </c>
      <c r="L712" s="17" t="s">
        <v>51</v>
      </c>
      <c r="M712" s="17" t="s">
        <v>4290</v>
      </c>
      <c r="N712" s="17" t="s">
        <v>4291</v>
      </c>
      <c r="O712" s="17" t="s">
        <v>1330</v>
      </c>
      <c r="P712" s="17" t="s">
        <v>4292</v>
      </c>
    </row>
    <row r="713" spans="1:16" x14ac:dyDescent="0.35">
      <c r="A713" s="17">
        <v>542</v>
      </c>
      <c r="B713" s="17" t="s">
        <v>102</v>
      </c>
      <c r="C713" s="17" t="s">
        <v>2161</v>
      </c>
      <c r="D713" s="17" t="s">
        <v>404</v>
      </c>
      <c r="E713" s="41" t="s">
        <v>45</v>
      </c>
      <c r="F713" s="41" t="s">
        <v>620</v>
      </c>
      <c r="G713" s="17">
        <v>42.416670000000003</v>
      </c>
      <c r="H713" s="17">
        <v>2.9</v>
      </c>
      <c r="I713" s="17">
        <v>240</v>
      </c>
      <c r="J713" s="17">
        <v>30000</v>
      </c>
      <c r="K713" s="17" t="s">
        <v>33</v>
      </c>
      <c r="L713" s="17" t="s">
        <v>34</v>
      </c>
      <c r="M713" s="17" t="s">
        <v>400</v>
      </c>
      <c r="O713" s="17" t="s">
        <v>1330</v>
      </c>
    </row>
    <row r="714" spans="1:16" hidden="1" x14ac:dyDescent="0.35">
      <c r="A714" s="17">
        <v>542</v>
      </c>
      <c r="B714" s="17" t="s">
        <v>102</v>
      </c>
      <c r="C714" s="17" t="s">
        <v>4294</v>
      </c>
      <c r="D714" s="17" t="s">
        <v>404</v>
      </c>
      <c r="E714" s="41" t="s">
        <v>86</v>
      </c>
      <c r="F714" s="41" t="s">
        <v>620</v>
      </c>
      <c r="G714" s="17">
        <v>42.566670000000002</v>
      </c>
      <c r="H714" s="17">
        <v>2.75</v>
      </c>
      <c r="I714" s="17">
        <v>290</v>
      </c>
      <c r="J714" s="17" t="s">
        <v>1330</v>
      </c>
      <c r="K714" s="17" t="s">
        <v>33</v>
      </c>
      <c r="L714" s="17" t="s">
        <v>34</v>
      </c>
      <c r="M714" s="17" t="s">
        <v>4295</v>
      </c>
      <c r="O714" s="17" t="s">
        <v>1330</v>
      </c>
      <c r="P714" s="17" t="s">
        <v>4296</v>
      </c>
    </row>
    <row r="715" spans="1:16" hidden="1" x14ac:dyDescent="0.35">
      <c r="A715" s="17">
        <v>554</v>
      </c>
      <c r="B715" s="17" t="s">
        <v>102</v>
      </c>
      <c r="C715" s="17" t="s">
        <v>1330</v>
      </c>
      <c r="E715" s="41" t="s">
        <v>64</v>
      </c>
      <c r="F715" s="41" t="s">
        <v>622</v>
      </c>
      <c r="G715" s="17">
        <v>36.863700000000001</v>
      </c>
      <c r="H715" s="17">
        <v>28.3491</v>
      </c>
      <c r="J715" s="17" t="s">
        <v>1330</v>
      </c>
      <c r="K715" s="17" t="s">
        <v>1330</v>
      </c>
      <c r="L715" s="17" t="s">
        <v>1330</v>
      </c>
      <c r="M715" s="17" t="s">
        <v>2734</v>
      </c>
      <c r="O715" s="17" t="s">
        <v>1330</v>
      </c>
      <c r="P715" s="17" t="s">
        <v>4297</v>
      </c>
    </row>
    <row r="716" spans="1:16" x14ac:dyDescent="0.35">
      <c r="A716" s="17">
        <v>558</v>
      </c>
      <c r="B716" s="17">
        <v>1</v>
      </c>
      <c r="C716" s="17" t="s">
        <v>4298</v>
      </c>
      <c r="E716" s="41" t="s">
        <v>82</v>
      </c>
      <c r="F716" s="41" t="s">
        <v>622</v>
      </c>
      <c r="G716" s="17">
        <v>41.723100000000002</v>
      </c>
      <c r="H716" s="17">
        <v>12.3375</v>
      </c>
      <c r="I716" s="17" t="s">
        <v>1330</v>
      </c>
      <c r="J716" s="17">
        <v>260</v>
      </c>
      <c r="K716" s="17" t="s">
        <v>1101</v>
      </c>
      <c r="L716" s="17" t="s">
        <v>1330</v>
      </c>
      <c r="M716" s="17" t="s">
        <v>4299</v>
      </c>
      <c r="O716" s="17" t="s">
        <v>1330</v>
      </c>
    </row>
    <row r="717" spans="1:16" x14ac:dyDescent="0.35">
      <c r="A717" s="17">
        <v>641</v>
      </c>
      <c r="B717" s="17" t="s">
        <v>102</v>
      </c>
      <c r="C717" s="17" t="s">
        <v>1330</v>
      </c>
      <c r="E717" s="41" t="s">
        <v>45</v>
      </c>
      <c r="F717" s="41" t="s">
        <v>622</v>
      </c>
      <c r="G717" s="17">
        <v>39.913330000000002</v>
      </c>
      <c r="H717" s="17">
        <v>-1.03</v>
      </c>
      <c r="I717" s="17" t="s">
        <v>1330</v>
      </c>
      <c r="J717" s="17" t="s">
        <v>1330</v>
      </c>
      <c r="K717" s="17" t="s">
        <v>73</v>
      </c>
      <c r="L717" s="17" t="s">
        <v>51</v>
      </c>
      <c r="M717" s="17" t="s">
        <v>437</v>
      </c>
      <c r="N717" s="17" t="s">
        <v>4300</v>
      </c>
      <c r="O717" s="17" t="s">
        <v>1330</v>
      </c>
      <c r="P717" s="17" t="s">
        <v>4301</v>
      </c>
    </row>
    <row r="718" spans="1:16" x14ac:dyDescent="0.35">
      <c r="A718" s="17">
        <v>641</v>
      </c>
      <c r="B718" s="17" t="s">
        <v>102</v>
      </c>
      <c r="C718" s="17" t="s">
        <v>1330</v>
      </c>
      <c r="E718" s="41" t="s">
        <v>45</v>
      </c>
      <c r="F718" s="41" t="s">
        <v>622</v>
      </c>
      <c r="G718" s="17">
        <v>39.835999999999999</v>
      </c>
      <c r="H718" s="17">
        <v>-0.16</v>
      </c>
      <c r="I718" s="17" t="s">
        <v>1330</v>
      </c>
      <c r="J718" s="17" t="s">
        <v>1330</v>
      </c>
      <c r="K718" s="17" t="s">
        <v>33</v>
      </c>
      <c r="L718" s="17" t="s">
        <v>51</v>
      </c>
      <c r="M718" s="17" t="s">
        <v>437</v>
      </c>
      <c r="N718" s="17" t="s">
        <v>4300</v>
      </c>
      <c r="O718" s="17" t="s">
        <v>1330</v>
      </c>
    </row>
    <row r="719" spans="1:16" x14ac:dyDescent="0.35">
      <c r="A719" s="17">
        <v>641</v>
      </c>
      <c r="B719" s="17" t="s">
        <v>102</v>
      </c>
      <c r="C719" s="17" t="s">
        <v>1330</v>
      </c>
      <c r="E719" s="41" t="s">
        <v>45</v>
      </c>
      <c r="F719" s="41" t="s">
        <v>622</v>
      </c>
      <c r="G719" s="17">
        <v>40.07</v>
      </c>
      <c r="H719" s="17">
        <v>-0.72333000000000003</v>
      </c>
      <c r="I719" s="17" t="s">
        <v>1330</v>
      </c>
      <c r="J719" s="17" t="s">
        <v>1330</v>
      </c>
      <c r="K719" s="17" t="s">
        <v>73</v>
      </c>
      <c r="L719" s="17" t="s">
        <v>51</v>
      </c>
      <c r="M719" s="17" t="s">
        <v>3562</v>
      </c>
      <c r="N719" s="17" t="s">
        <v>4300</v>
      </c>
      <c r="O719" s="17" t="s">
        <v>1330</v>
      </c>
    </row>
    <row r="720" spans="1:16" x14ac:dyDescent="0.35">
      <c r="A720" s="17">
        <v>641</v>
      </c>
      <c r="B720" s="17" t="s">
        <v>102</v>
      </c>
      <c r="C720" s="17" t="s">
        <v>1330</v>
      </c>
      <c r="E720" s="41" t="s">
        <v>45</v>
      </c>
      <c r="F720" s="41" t="s">
        <v>622</v>
      </c>
      <c r="G720" s="17">
        <v>39.67</v>
      </c>
      <c r="H720" s="17">
        <v>-0.28749999999999998</v>
      </c>
      <c r="I720" s="17" t="s">
        <v>1330</v>
      </c>
      <c r="J720" s="17" t="s">
        <v>1330</v>
      </c>
      <c r="K720" s="17" t="s">
        <v>33</v>
      </c>
      <c r="L720" s="17" t="s">
        <v>51</v>
      </c>
      <c r="M720" s="17" t="s">
        <v>3562</v>
      </c>
      <c r="N720" s="17" t="s">
        <v>4300</v>
      </c>
      <c r="O720" s="17" t="s">
        <v>1330</v>
      </c>
    </row>
    <row r="721" spans="1:16" x14ac:dyDescent="0.35">
      <c r="A721" s="17">
        <v>727</v>
      </c>
      <c r="B721" s="17">
        <v>1</v>
      </c>
      <c r="C721" s="17" t="s">
        <v>107</v>
      </c>
      <c r="E721" s="41" t="s">
        <v>37</v>
      </c>
      <c r="F721" s="41" t="s">
        <v>622</v>
      </c>
      <c r="G721" s="17">
        <v>37.606340000000003</v>
      </c>
      <c r="H721" s="17">
        <v>-8.4361999999999995</v>
      </c>
      <c r="I721" s="17" t="s">
        <v>1330</v>
      </c>
      <c r="J721" s="17">
        <v>13600</v>
      </c>
      <c r="K721" s="17" t="s">
        <v>33</v>
      </c>
      <c r="L721" s="17" t="s">
        <v>51</v>
      </c>
      <c r="M721" s="17" t="s">
        <v>4302</v>
      </c>
      <c r="O721" s="17" t="s">
        <v>1330</v>
      </c>
    </row>
    <row r="722" spans="1:16" x14ac:dyDescent="0.35">
      <c r="A722" s="17">
        <v>751</v>
      </c>
      <c r="B722" s="17">
        <v>1</v>
      </c>
      <c r="C722" s="17" t="s">
        <v>1362</v>
      </c>
      <c r="E722" s="41" t="s">
        <v>45</v>
      </c>
      <c r="F722" s="41" t="s">
        <v>620</v>
      </c>
      <c r="G722" s="17">
        <v>41.766669999999998</v>
      </c>
      <c r="H722" s="17">
        <v>2.3833299999999999</v>
      </c>
      <c r="I722" s="17">
        <v>550</v>
      </c>
      <c r="J722" s="17">
        <v>9000</v>
      </c>
      <c r="K722" s="17" t="s">
        <v>33</v>
      </c>
      <c r="L722" s="17" t="s">
        <v>51</v>
      </c>
      <c r="M722" s="17" t="s">
        <v>4303</v>
      </c>
      <c r="O722" s="17" t="s">
        <v>44</v>
      </c>
      <c r="P722" s="17" t="s">
        <v>4304</v>
      </c>
    </row>
    <row r="723" spans="1:16" hidden="1" x14ac:dyDescent="0.35">
      <c r="A723" s="17">
        <v>757</v>
      </c>
      <c r="B723" s="17">
        <v>1</v>
      </c>
      <c r="C723" s="17" t="s">
        <v>4305</v>
      </c>
      <c r="E723" s="41" t="s">
        <v>45</v>
      </c>
      <c r="F723" s="41" t="s">
        <v>622</v>
      </c>
      <c r="G723" s="17">
        <v>41.8245</v>
      </c>
      <c r="H723" s="17">
        <v>1.6842999999999999</v>
      </c>
      <c r="I723" s="17" t="s">
        <v>1330</v>
      </c>
      <c r="J723" s="17" t="s">
        <v>1330</v>
      </c>
      <c r="K723" s="17" t="s">
        <v>1330</v>
      </c>
      <c r="L723" s="17" t="s">
        <v>51</v>
      </c>
      <c r="M723" s="17" t="s">
        <v>4306</v>
      </c>
      <c r="N723" s="17" t="s">
        <v>4307</v>
      </c>
      <c r="O723" s="17" t="s">
        <v>1330</v>
      </c>
      <c r="P723" s="17" t="s">
        <v>4308</v>
      </c>
    </row>
    <row r="724" spans="1:16" hidden="1" x14ac:dyDescent="0.35">
      <c r="A724" s="17">
        <v>757</v>
      </c>
      <c r="B724" s="17">
        <v>2</v>
      </c>
      <c r="C724" s="17" t="s">
        <v>1133</v>
      </c>
      <c r="E724" s="41" t="s">
        <v>45</v>
      </c>
      <c r="F724" s="41" t="s">
        <v>622</v>
      </c>
      <c r="G724" s="17">
        <v>41.8245</v>
      </c>
      <c r="H724" s="17">
        <v>1.6842999999999999</v>
      </c>
      <c r="I724" s="17" t="s">
        <v>1330</v>
      </c>
      <c r="J724" s="17" t="s">
        <v>1330</v>
      </c>
      <c r="K724" s="17" t="s">
        <v>1330</v>
      </c>
      <c r="L724" s="17" t="s">
        <v>51</v>
      </c>
      <c r="M724" s="17" t="s">
        <v>4306</v>
      </c>
      <c r="N724" s="17" t="s">
        <v>4307</v>
      </c>
      <c r="O724" s="17" t="s">
        <v>1330</v>
      </c>
      <c r="P724" s="17" t="s">
        <v>4308</v>
      </c>
    </row>
    <row r="725" spans="1:16" hidden="1" x14ac:dyDescent="0.35">
      <c r="A725" s="17">
        <v>757</v>
      </c>
      <c r="B725" s="17">
        <v>3</v>
      </c>
      <c r="C725" s="17" t="s">
        <v>57</v>
      </c>
      <c r="E725" s="41" t="s">
        <v>45</v>
      </c>
      <c r="F725" s="41" t="s">
        <v>622</v>
      </c>
      <c r="G725" s="17">
        <v>41.8245</v>
      </c>
      <c r="H725" s="17">
        <v>1.6842999999999999</v>
      </c>
      <c r="I725" s="17" t="s">
        <v>1330</v>
      </c>
      <c r="J725" s="17" t="s">
        <v>1330</v>
      </c>
      <c r="K725" s="17" t="s">
        <v>1330</v>
      </c>
      <c r="L725" s="17" t="s">
        <v>51</v>
      </c>
      <c r="M725" s="17" t="s">
        <v>4306</v>
      </c>
      <c r="N725" s="17" t="s">
        <v>4307</v>
      </c>
      <c r="O725" s="17" t="s">
        <v>1330</v>
      </c>
      <c r="P725" s="17" t="s">
        <v>4308</v>
      </c>
    </row>
    <row r="726" spans="1:16" hidden="1" x14ac:dyDescent="0.35">
      <c r="A726" s="17">
        <v>757</v>
      </c>
      <c r="B726" s="17">
        <v>4</v>
      </c>
      <c r="C726" s="17" t="s">
        <v>3548</v>
      </c>
      <c r="E726" s="41" t="s">
        <v>45</v>
      </c>
      <c r="F726" s="41" t="s">
        <v>622</v>
      </c>
      <c r="G726" s="17">
        <v>41.8245</v>
      </c>
      <c r="H726" s="17">
        <v>1.6842999999999999</v>
      </c>
      <c r="I726" s="17" t="s">
        <v>1330</v>
      </c>
      <c r="J726" s="17" t="s">
        <v>1330</v>
      </c>
      <c r="K726" s="17" t="s">
        <v>1330</v>
      </c>
      <c r="L726" s="17" t="s">
        <v>51</v>
      </c>
      <c r="M726" s="17" t="s">
        <v>4306</v>
      </c>
      <c r="N726" s="17" t="s">
        <v>4307</v>
      </c>
      <c r="O726" s="17" t="s">
        <v>1330</v>
      </c>
      <c r="P726" s="17" t="s">
        <v>4308</v>
      </c>
    </row>
    <row r="727" spans="1:16" hidden="1" x14ac:dyDescent="0.35">
      <c r="A727" s="17">
        <v>773</v>
      </c>
      <c r="B727" s="17">
        <v>1</v>
      </c>
      <c r="C727" s="17" t="s">
        <v>3532</v>
      </c>
      <c r="E727" s="41" t="s">
        <v>64</v>
      </c>
      <c r="F727" s="41" t="s">
        <v>622</v>
      </c>
      <c r="G727" s="17">
        <v>36.947400000000002</v>
      </c>
      <c r="H727" s="17">
        <v>31.367339999999999</v>
      </c>
      <c r="I727" s="17" t="s">
        <v>1330</v>
      </c>
      <c r="J727" s="17">
        <v>40000</v>
      </c>
      <c r="K727" s="17" t="s">
        <v>1330</v>
      </c>
      <c r="L727" s="17" t="s">
        <v>34</v>
      </c>
      <c r="M727" s="17" t="s">
        <v>2734</v>
      </c>
      <c r="O727" s="17" t="s">
        <v>114</v>
      </c>
      <c r="P727" s="17" t="s">
        <v>4309</v>
      </c>
    </row>
    <row r="728" spans="1:16" x14ac:dyDescent="0.35">
      <c r="A728" s="17">
        <v>787</v>
      </c>
      <c r="B728" s="17">
        <v>1</v>
      </c>
      <c r="C728" s="17">
        <v>1992</v>
      </c>
      <c r="D728" s="17" t="s">
        <v>4289</v>
      </c>
      <c r="E728" s="41" t="s">
        <v>45</v>
      </c>
      <c r="F728" s="41" t="s">
        <v>622</v>
      </c>
      <c r="G728" s="17">
        <v>39.716670000000001</v>
      </c>
      <c r="H728" s="17">
        <v>-0.48332999999999998</v>
      </c>
      <c r="I728" s="17" t="s">
        <v>1330</v>
      </c>
      <c r="J728" s="17">
        <v>9500</v>
      </c>
      <c r="K728" s="17" t="s">
        <v>33</v>
      </c>
      <c r="L728" s="17" t="s">
        <v>34</v>
      </c>
      <c r="M728" s="17" t="s">
        <v>4310</v>
      </c>
      <c r="O728" s="17" t="s">
        <v>1330</v>
      </c>
    </row>
    <row r="729" spans="1:16" x14ac:dyDescent="0.35">
      <c r="A729" s="17">
        <v>790</v>
      </c>
      <c r="B729" s="17">
        <v>1</v>
      </c>
      <c r="C729" s="17" t="s">
        <v>4311</v>
      </c>
      <c r="E729" s="41" t="s">
        <v>82</v>
      </c>
      <c r="F729" s="41" t="s">
        <v>620</v>
      </c>
      <c r="G729" s="17">
        <v>41.864609999999999</v>
      </c>
      <c r="H729" s="17">
        <v>12.41489</v>
      </c>
      <c r="I729" s="17" t="s">
        <v>1330</v>
      </c>
      <c r="J729" s="17">
        <v>38</v>
      </c>
      <c r="K729" s="17" t="s">
        <v>33</v>
      </c>
      <c r="L729" s="17" t="s">
        <v>34</v>
      </c>
      <c r="M729" s="17" t="s">
        <v>400</v>
      </c>
      <c r="O729" s="17" t="s">
        <v>1330</v>
      </c>
    </row>
    <row r="730" spans="1:16" x14ac:dyDescent="0.35">
      <c r="A730" s="17">
        <v>807</v>
      </c>
      <c r="B730" s="17">
        <v>1</v>
      </c>
      <c r="C730" s="17" t="s">
        <v>4312</v>
      </c>
      <c r="E730" s="41" t="s">
        <v>45</v>
      </c>
      <c r="F730" s="41" t="s">
        <v>622</v>
      </c>
      <c r="G730" s="17">
        <v>40.26</v>
      </c>
      <c r="H730" s="17">
        <v>-6.7610000000000001</v>
      </c>
      <c r="I730" s="17" t="s">
        <v>1330</v>
      </c>
      <c r="J730" s="17">
        <v>7833</v>
      </c>
      <c r="K730" s="17" t="s">
        <v>33</v>
      </c>
      <c r="L730" s="17" t="s">
        <v>34</v>
      </c>
      <c r="M730" s="17" t="s">
        <v>4313</v>
      </c>
      <c r="O730" s="17" t="s">
        <v>730</v>
      </c>
    </row>
    <row r="731" spans="1:16" x14ac:dyDescent="0.35">
      <c r="A731" s="17">
        <v>815</v>
      </c>
      <c r="B731" s="17">
        <v>1</v>
      </c>
      <c r="C731" s="17" t="s">
        <v>2223</v>
      </c>
      <c r="E731" s="41" t="s">
        <v>45</v>
      </c>
      <c r="F731" s="41" t="s">
        <v>622</v>
      </c>
      <c r="G731" s="17">
        <v>40.013390000000001</v>
      </c>
      <c r="H731" s="17">
        <v>-1.8477699999999999</v>
      </c>
      <c r="I731" s="17">
        <v>1040</v>
      </c>
      <c r="J731" s="17" t="s">
        <v>1330</v>
      </c>
      <c r="K731" s="17" t="s">
        <v>33</v>
      </c>
      <c r="L731" s="17" t="s">
        <v>34</v>
      </c>
      <c r="M731" s="17" t="s">
        <v>4314</v>
      </c>
      <c r="N731" s="17" t="s">
        <v>4315</v>
      </c>
      <c r="O731" s="17" t="s">
        <v>376</v>
      </c>
    </row>
    <row r="732" spans="1:16" x14ac:dyDescent="0.35">
      <c r="A732" s="17">
        <v>834</v>
      </c>
      <c r="B732" s="17">
        <v>1</v>
      </c>
      <c r="C732" s="17" t="s">
        <v>4316</v>
      </c>
      <c r="E732" s="41" t="s">
        <v>37</v>
      </c>
      <c r="F732" s="41" t="s">
        <v>622</v>
      </c>
      <c r="G732" s="17">
        <v>39.038600000000002</v>
      </c>
      <c r="H732" s="17">
        <v>-8.4328000000000003</v>
      </c>
      <c r="I732" s="17" t="s">
        <v>1330</v>
      </c>
      <c r="J732" s="17">
        <v>166</v>
      </c>
      <c r="K732" s="17" t="s">
        <v>102</v>
      </c>
      <c r="L732" s="17" t="s">
        <v>34</v>
      </c>
      <c r="M732" s="17" t="s">
        <v>4317</v>
      </c>
      <c r="O732" s="17" t="s">
        <v>4318</v>
      </c>
      <c r="P732" s="17" t="s">
        <v>4319</v>
      </c>
    </row>
    <row r="733" spans="1:16" hidden="1" x14ac:dyDescent="0.35">
      <c r="A733" s="17">
        <v>851</v>
      </c>
      <c r="B733" s="17">
        <v>1</v>
      </c>
      <c r="C733" s="17" t="s">
        <v>4320</v>
      </c>
      <c r="E733" s="41" t="s">
        <v>49</v>
      </c>
      <c r="F733" s="41" t="s">
        <v>620</v>
      </c>
      <c r="G733" s="17">
        <v>38.18056</v>
      </c>
      <c r="H733" s="17">
        <v>23.79917</v>
      </c>
      <c r="I733" s="17">
        <v>621</v>
      </c>
      <c r="J733" s="17">
        <v>8000</v>
      </c>
      <c r="K733" s="17" t="s">
        <v>33</v>
      </c>
      <c r="L733" s="17" t="s">
        <v>34</v>
      </c>
      <c r="M733" s="17" t="s">
        <v>4321</v>
      </c>
      <c r="O733" s="17" t="s">
        <v>376</v>
      </c>
    </row>
    <row r="734" spans="1:16" hidden="1" x14ac:dyDescent="0.35">
      <c r="A734" s="17">
        <v>851</v>
      </c>
      <c r="B734" s="17">
        <v>2</v>
      </c>
      <c r="C734" s="17" t="s">
        <v>4322</v>
      </c>
      <c r="E734" s="41" t="s">
        <v>49</v>
      </c>
      <c r="F734" s="41" t="s">
        <v>620</v>
      </c>
      <c r="G734" s="17">
        <v>38.056669999999997</v>
      </c>
      <c r="H734" s="17">
        <v>23.1</v>
      </c>
      <c r="I734" s="17">
        <v>200</v>
      </c>
      <c r="J734" s="17">
        <v>6407</v>
      </c>
      <c r="K734" s="17" t="s">
        <v>33</v>
      </c>
      <c r="L734" s="17" t="s">
        <v>34</v>
      </c>
      <c r="M734" s="17" t="s">
        <v>4321</v>
      </c>
      <c r="O734" s="17" t="s">
        <v>376</v>
      </c>
    </row>
    <row r="735" spans="1:16" hidden="1" x14ac:dyDescent="0.35">
      <c r="A735" s="17">
        <v>851</v>
      </c>
      <c r="B735" s="17">
        <v>3</v>
      </c>
      <c r="C735" s="17" t="s">
        <v>3545</v>
      </c>
      <c r="E735" s="41" t="s">
        <v>49</v>
      </c>
      <c r="F735" s="41" t="s">
        <v>620</v>
      </c>
      <c r="G735" s="17">
        <v>37.708060000000003</v>
      </c>
      <c r="H735" s="17">
        <v>21.696670000000001</v>
      </c>
      <c r="I735" s="17">
        <v>712</v>
      </c>
      <c r="J735" s="17">
        <v>18135</v>
      </c>
      <c r="K735" s="17" t="s">
        <v>33</v>
      </c>
      <c r="L735" s="17" t="s">
        <v>34</v>
      </c>
      <c r="M735" s="17" t="s">
        <v>4321</v>
      </c>
      <c r="O735" s="17" t="s">
        <v>376</v>
      </c>
    </row>
    <row r="736" spans="1:16" x14ac:dyDescent="0.35">
      <c r="A736" s="17">
        <v>936</v>
      </c>
      <c r="B736" s="17">
        <v>1</v>
      </c>
      <c r="C736" s="17" t="s">
        <v>1785</v>
      </c>
      <c r="D736" s="17" t="s">
        <v>404</v>
      </c>
      <c r="E736" s="41" t="s">
        <v>4323</v>
      </c>
      <c r="F736" s="41" t="s">
        <v>620</v>
      </c>
      <c r="G736" s="17">
        <v>39.616669999999999</v>
      </c>
      <c r="H736" s="17">
        <v>-8.1</v>
      </c>
      <c r="I736" s="17" t="s">
        <v>1330</v>
      </c>
      <c r="J736" s="17" t="s">
        <v>1330</v>
      </c>
      <c r="K736" s="17" t="s">
        <v>432</v>
      </c>
      <c r="L736" s="17" t="s">
        <v>34</v>
      </c>
      <c r="M736" s="17" t="s">
        <v>2047</v>
      </c>
      <c r="N736" s="17" t="s">
        <v>4324</v>
      </c>
      <c r="O736" s="17" t="s">
        <v>1330</v>
      </c>
      <c r="P736" s="17" t="s">
        <v>4325</v>
      </c>
    </row>
    <row r="737" spans="1:16" hidden="1" x14ac:dyDescent="0.35">
      <c r="A737" s="17">
        <v>980</v>
      </c>
      <c r="B737" s="17" t="s">
        <v>1330</v>
      </c>
      <c r="E737" s="41" t="s">
        <v>64</v>
      </c>
      <c r="F737" s="41" t="s">
        <v>622</v>
      </c>
      <c r="G737" s="17">
        <v>36.651350000000001</v>
      </c>
      <c r="H737" s="17">
        <v>29.196110000000001</v>
      </c>
      <c r="I737" s="17" t="s">
        <v>1330</v>
      </c>
      <c r="J737" s="17" t="s">
        <v>1330</v>
      </c>
      <c r="K737" s="17" t="s">
        <v>73</v>
      </c>
      <c r="L737" s="17" t="s">
        <v>51</v>
      </c>
      <c r="M737" s="17" t="s">
        <v>4326</v>
      </c>
      <c r="O737" s="17" t="s">
        <v>1330</v>
      </c>
    </row>
    <row r="738" spans="1:16" x14ac:dyDescent="0.35">
      <c r="A738" s="17">
        <v>384</v>
      </c>
      <c r="B738" s="17">
        <v>1</v>
      </c>
      <c r="C738" s="17" t="s">
        <v>1345</v>
      </c>
      <c r="E738" s="41" t="s">
        <v>45</v>
      </c>
      <c r="F738" s="41" t="s">
        <v>622</v>
      </c>
      <c r="G738" s="17">
        <v>38.397985870966899</v>
      </c>
      <c r="H738" s="17">
        <v>-1.6924483899556599</v>
      </c>
      <c r="I738" s="17">
        <v>500</v>
      </c>
      <c r="J738" s="17">
        <v>6500</v>
      </c>
      <c r="K738" s="17" t="s">
        <v>33</v>
      </c>
      <c r="L738" s="17" t="s">
        <v>34</v>
      </c>
      <c r="M738" s="17" t="s">
        <v>437</v>
      </c>
      <c r="N738" s="17" t="s">
        <v>4492</v>
      </c>
      <c r="O738" s="17" t="s">
        <v>376</v>
      </c>
      <c r="P738" s="17" t="s">
        <v>4493</v>
      </c>
    </row>
    <row r="739" spans="1:16" x14ac:dyDescent="0.35">
      <c r="A739" s="17">
        <v>369</v>
      </c>
      <c r="B739" s="17">
        <v>1</v>
      </c>
      <c r="C739" s="17" t="s">
        <v>1396</v>
      </c>
      <c r="E739" s="41" t="s">
        <v>45</v>
      </c>
      <c r="F739" s="41" t="s">
        <v>622</v>
      </c>
      <c r="G739" s="17">
        <v>41.781192940821199</v>
      </c>
      <c r="H739" s="17">
        <v>2.8605074647725099</v>
      </c>
      <c r="I739" s="17">
        <v>220</v>
      </c>
      <c r="J739" s="17">
        <v>55</v>
      </c>
      <c r="K739" s="17" t="s">
        <v>102</v>
      </c>
      <c r="L739" s="17" t="s">
        <v>34</v>
      </c>
      <c r="M739" s="17" t="s">
        <v>4494</v>
      </c>
      <c r="N739" s="17" t="s">
        <v>4495</v>
      </c>
      <c r="O739" s="17" t="s">
        <v>376</v>
      </c>
    </row>
    <row r="740" spans="1:16" x14ac:dyDescent="0.35">
      <c r="A740" s="17">
        <v>368</v>
      </c>
      <c r="B740" s="17">
        <v>1</v>
      </c>
      <c r="C740" s="17" t="s">
        <v>4496</v>
      </c>
      <c r="E740" s="41" t="s">
        <v>37</v>
      </c>
      <c r="F740" s="41" t="s">
        <v>620</v>
      </c>
      <c r="G740" s="17">
        <v>40.146110999999998</v>
      </c>
      <c r="H740" s="17">
        <v>-7.9972219999999998</v>
      </c>
      <c r="I740" s="17">
        <v>475</v>
      </c>
      <c r="J740" s="17">
        <v>11</v>
      </c>
      <c r="K740" s="17" t="s">
        <v>430</v>
      </c>
      <c r="L740" s="17" t="s">
        <v>34</v>
      </c>
      <c r="M740" s="17" t="s">
        <v>4497</v>
      </c>
      <c r="O740" s="17" t="s">
        <v>44</v>
      </c>
      <c r="P740" s="17" t="s">
        <v>4498</v>
      </c>
    </row>
    <row r="741" spans="1:16" x14ac:dyDescent="0.35">
      <c r="A741" s="17">
        <v>364</v>
      </c>
      <c r="B741" s="17">
        <v>1</v>
      </c>
      <c r="C741" s="17" t="s">
        <v>1345</v>
      </c>
      <c r="E741" s="41" t="s">
        <v>45</v>
      </c>
      <c r="F741" s="41" t="s">
        <v>622</v>
      </c>
      <c r="G741" s="17">
        <v>38.397985870966899</v>
      </c>
      <c r="H741" s="17">
        <v>-1.6924483899556599</v>
      </c>
      <c r="I741" s="17">
        <v>500</v>
      </c>
      <c r="J741" s="17">
        <v>6500</v>
      </c>
      <c r="K741" s="17" t="s">
        <v>33</v>
      </c>
      <c r="L741" s="17" t="s">
        <v>34</v>
      </c>
      <c r="M741" s="17" t="s">
        <v>437</v>
      </c>
      <c r="N741" s="17" t="s">
        <v>4492</v>
      </c>
      <c r="O741" s="17" t="s">
        <v>376</v>
      </c>
      <c r="P741" s="17" t="s">
        <v>4499</v>
      </c>
    </row>
    <row r="742" spans="1:16" x14ac:dyDescent="0.35">
      <c r="A742" s="17">
        <v>347</v>
      </c>
      <c r="B742" s="17">
        <v>1</v>
      </c>
      <c r="C742" s="17" t="s">
        <v>2821</v>
      </c>
      <c r="E742" s="41" t="s">
        <v>45</v>
      </c>
      <c r="F742" s="41" t="s">
        <v>622</v>
      </c>
      <c r="G742" s="17">
        <v>38.790729659711303</v>
      </c>
      <c r="H742" s="17">
        <v>-0.210113110265508</v>
      </c>
      <c r="I742" s="17">
        <v>500</v>
      </c>
      <c r="J742" s="17">
        <v>11604</v>
      </c>
      <c r="K742" s="17" t="s">
        <v>33</v>
      </c>
      <c r="L742" s="17" t="s">
        <v>34</v>
      </c>
      <c r="M742" s="17" t="s">
        <v>4500</v>
      </c>
      <c r="N742" s="17" t="s">
        <v>4501</v>
      </c>
      <c r="O742" s="17" t="s">
        <v>433</v>
      </c>
    </row>
    <row r="743" spans="1:16" x14ac:dyDescent="0.35">
      <c r="A743" s="17">
        <v>329</v>
      </c>
      <c r="B743" s="17">
        <v>1</v>
      </c>
      <c r="C743" s="17" t="s">
        <v>4502</v>
      </c>
      <c r="E743" s="41" t="s">
        <v>45</v>
      </c>
      <c r="F743" s="41" t="s">
        <v>620</v>
      </c>
      <c r="G743" s="17">
        <v>38.511331300000002</v>
      </c>
      <c r="H743" s="17" t="s">
        <v>4503</v>
      </c>
      <c r="I743" s="17">
        <v>645</v>
      </c>
      <c r="J743" s="17">
        <v>830</v>
      </c>
      <c r="K743" s="17" t="s">
        <v>432</v>
      </c>
      <c r="L743" s="17" t="s">
        <v>34</v>
      </c>
      <c r="M743" s="17" t="s">
        <v>4504</v>
      </c>
      <c r="N743" s="17" t="s">
        <v>4505</v>
      </c>
      <c r="O743" s="17" t="s">
        <v>730</v>
      </c>
    </row>
    <row r="744" spans="1:16" x14ac:dyDescent="0.35">
      <c r="A744" s="17">
        <v>329</v>
      </c>
      <c r="B744" s="17">
        <v>2</v>
      </c>
      <c r="C744" s="17" t="s">
        <v>4506</v>
      </c>
      <c r="E744" s="41" t="s">
        <v>45</v>
      </c>
      <c r="F744" s="41" t="s">
        <v>620</v>
      </c>
      <c r="G744" s="17">
        <v>42.034651799999999</v>
      </c>
      <c r="H744" s="17" t="s">
        <v>4507</v>
      </c>
      <c r="I744" s="17" t="s">
        <v>1330</v>
      </c>
      <c r="J744" s="17">
        <v>1809</v>
      </c>
      <c r="K744" s="17" t="s">
        <v>432</v>
      </c>
      <c r="L744" s="17" t="s">
        <v>34</v>
      </c>
      <c r="M744" s="17" t="s">
        <v>3562</v>
      </c>
      <c r="N744" s="17" t="s">
        <v>4508</v>
      </c>
      <c r="O744" s="17" t="s">
        <v>730</v>
      </c>
    </row>
    <row r="745" spans="1:16" x14ac:dyDescent="0.35">
      <c r="A745" s="17">
        <v>323</v>
      </c>
      <c r="B745" s="17">
        <v>1</v>
      </c>
      <c r="C745" s="17">
        <v>2012</v>
      </c>
      <c r="D745" s="17" t="s">
        <v>404</v>
      </c>
      <c r="E745" s="41" t="s">
        <v>45</v>
      </c>
      <c r="F745" s="41" t="s">
        <v>620</v>
      </c>
      <c r="G745" s="17">
        <v>42.25</v>
      </c>
      <c r="H745" s="17">
        <v>-6.1833330000000002</v>
      </c>
      <c r="I745" s="17">
        <v>1164.5</v>
      </c>
      <c r="J745" s="17">
        <v>11891</v>
      </c>
      <c r="K745" s="17" t="s">
        <v>1101</v>
      </c>
      <c r="M745" s="17" t="s">
        <v>3562</v>
      </c>
      <c r="N745" s="17" t="s">
        <v>4509</v>
      </c>
      <c r="O745" s="17" t="s">
        <v>44</v>
      </c>
      <c r="P745" s="17" t="s">
        <v>4510</v>
      </c>
    </row>
    <row r="746" spans="1:16" x14ac:dyDescent="0.35">
      <c r="A746" s="17">
        <v>323</v>
      </c>
      <c r="B746" s="17">
        <v>2</v>
      </c>
      <c r="C746" s="17">
        <v>2012</v>
      </c>
      <c r="D746" s="17" t="s">
        <v>404</v>
      </c>
      <c r="E746" s="41" t="s">
        <v>45</v>
      </c>
      <c r="F746" s="41" t="s">
        <v>620</v>
      </c>
      <c r="G746" s="17">
        <v>39.299999999999997</v>
      </c>
      <c r="H746" s="17">
        <v>-0.9</v>
      </c>
      <c r="I746" s="17">
        <v>531</v>
      </c>
      <c r="J746" s="17">
        <v>29752</v>
      </c>
      <c r="K746" s="17" t="s">
        <v>1101</v>
      </c>
      <c r="M746" s="17" t="s">
        <v>437</v>
      </c>
      <c r="N746" s="17" t="s">
        <v>4511</v>
      </c>
      <c r="O746" s="17" t="s">
        <v>44</v>
      </c>
      <c r="P746" s="17" t="s">
        <v>4512</v>
      </c>
    </row>
    <row r="747" spans="1:16" hidden="1" x14ac:dyDescent="0.35">
      <c r="A747" s="17">
        <v>305</v>
      </c>
      <c r="B747" s="17" t="s">
        <v>102</v>
      </c>
      <c r="C747" s="17" t="s">
        <v>4513</v>
      </c>
      <c r="E747" s="41" t="s">
        <v>37</v>
      </c>
      <c r="F747" s="41" t="s">
        <v>622</v>
      </c>
      <c r="G747" s="17">
        <v>40.290818749874497</v>
      </c>
      <c r="H747" s="17">
        <v>-7.8190634381725701</v>
      </c>
      <c r="I747" s="17">
        <v>332.27499999999998</v>
      </c>
      <c r="J747" s="17" t="s">
        <v>1330</v>
      </c>
      <c r="K747" s="17" t="s">
        <v>1330</v>
      </c>
      <c r="L747" s="17" t="s">
        <v>51</v>
      </c>
      <c r="M747" s="17" t="s">
        <v>4514</v>
      </c>
      <c r="O747" s="17" t="s">
        <v>44</v>
      </c>
      <c r="P747" s="17" t="s">
        <v>4515</v>
      </c>
    </row>
    <row r="748" spans="1:16" x14ac:dyDescent="0.35">
      <c r="A748" s="17">
        <v>304</v>
      </c>
      <c r="B748" s="17">
        <v>1</v>
      </c>
      <c r="C748" s="17">
        <v>2002</v>
      </c>
      <c r="E748" s="41" t="s">
        <v>45</v>
      </c>
      <c r="F748" s="41" t="s">
        <v>622</v>
      </c>
      <c r="G748" s="17">
        <v>42.535733371121999</v>
      </c>
      <c r="H748" s="17">
        <v>-4.5009542291626703</v>
      </c>
      <c r="I748" s="17">
        <v>955</v>
      </c>
      <c r="J748" s="17">
        <v>118.03</v>
      </c>
      <c r="K748" s="17" t="s">
        <v>432</v>
      </c>
      <c r="L748" s="17" t="s">
        <v>34</v>
      </c>
      <c r="M748" s="17" t="s">
        <v>4516</v>
      </c>
      <c r="N748" s="17" t="s">
        <v>4517</v>
      </c>
      <c r="O748" s="17" t="s">
        <v>4749</v>
      </c>
      <c r="P748" s="17" t="s">
        <v>4518</v>
      </c>
    </row>
    <row r="749" spans="1:16" x14ac:dyDescent="0.35">
      <c r="A749" s="17">
        <v>304</v>
      </c>
      <c r="B749" s="17">
        <v>2</v>
      </c>
      <c r="C749" s="17">
        <v>2006</v>
      </c>
      <c r="D749" s="17" t="s">
        <v>404</v>
      </c>
      <c r="E749" s="41" t="s">
        <v>45</v>
      </c>
      <c r="F749" s="41" t="s">
        <v>622</v>
      </c>
      <c r="G749" s="17">
        <v>42.535733371121999</v>
      </c>
      <c r="H749" s="17">
        <v>-4.5009542291626703</v>
      </c>
      <c r="I749" s="17">
        <v>955</v>
      </c>
      <c r="J749" s="17">
        <v>135.27000000000001</v>
      </c>
      <c r="K749" s="17" t="s">
        <v>432</v>
      </c>
      <c r="L749" s="17" t="s">
        <v>34</v>
      </c>
      <c r="M749" s="17" t="s">
        <v>4516</v>
      </c>
      <c r="N749" s="17" t="s">
        <v>4519</v>
      </c>
      <c r="O749" s="17" t="s">
        <v>4749</v>
      </c>
      <c r="P749" s="17" t="s">
        <v>4518</v>
      </c>
    </row>
    <row r="750" spans="1:16" hidden="1" x14ac:dyDescent="0.35">
      <c r="A750" s="17">
        <v>302</v>
      </c>
      <c r="B750" s="17">
        <v>1</v>
      </c>
      <c r="C750" s="17">
        <v>2007</v>
      </c>
      <c r="E750" s="41" t="s">
        <v>49</v>
      </c>
      <c r="F750" s="41" t="s">
        <v>622</v>
      </c>
      <c r="G750" s="17">
        <v>36.931320985231899</v>
      </c>
      <c r="H750" s="17">
        <v>22.342830969341101</v>
      </c>
      <c r="I750" s="17">
        <v>1225</v>
      </c>
      <c r="J750" s="17" t="s">
        <v>1330</v>
      </c>
      <c r="K750" s="17" t="s">
        <v>33</v>
      </c>
      <c r="L750" s="17" t="s">
        <v>34</v>
      </c>
      <c r="M750" s="17" t="s">
        <v>4520</v>
      </c>
      <c r="N750" s="17" t="s">
        <v>4521</v>
      </c>
      <c r="O750" s="17" t="s">
        <v>1330</v>
      </c>
    </row>
    <row r="751" spans="1:16" hidden="1" x14ac:dyDescent="0.35">
      <c r="A751" s="17">
        <v>302</v>
      </c>
      <c r="B751" s="17">
        <v>2</v>
      </c>
      <c r="C751" s="17">
        <v>1998</v>
      </c>
      <c r="E751" s="41" t="s">
        <v>49</v>
      </c>
      <c r="F751" s="41" t="s">
        <v>622</v>
      </c>
      <c r="G751" s="17">
        <v>36.953736344972803</v>
      </c>
      <c r="H751" s="17">
        <v>22.370396283132699</v>
      </c>
      <c r="I751" s="17">
        <v>1225</v>
      </c>
      <c r="J751" s="17">
        <v>340</v>
      </c>
      <c r="K751" s="17" t="s">
        <v>1330</v>
      </c>
      <c r="L751" s="17" t="s">
        <v>34</v>
      </c>
      <c r="M751" s="17" t="s">
        <v>4520</v>
      </c>
      <c r="N751" s="17" t="s">
        <v>4521</v>
      </c>
      <c r="O751" s="17" t="s">
        <v>1330</v>
      </c>
    </row>
    <row r="752" spans="1:16" hidden="1" x14ac:dyDescent="0.35">
      <c r="A752" s="17">
        <v>826</v>
      </c>
      <c r="B752" s="17">
        <v>1</v>
      </c>
      <c r="C752" s="17">
        <v>1994</v>
      </c>
      <c r="E752" s="41" t="s">
        <v>45</v>
      </c>
      <c r="F752" s="41" t="s">
        <v>622</v>
      </c>
      <c r="G752" s="17">
        <v>39.580910000000003</v>
      </c>
      <c r="H752" s="17">
        <v>2.4341699999999999</v>
      </c>
      <c r="I752" s="17">
        <v>300</v>
      </c>
      <c r="J752" s="17" t="s">
        <v>1330</v>
      </c>
      <c r="K752" s="17" t="s">
        <v>1330</v>
      </c>
      <c r="L752" s="17" t="s">
        <v>51</v>
      </c>
      <c r="M752" s="17" t="s">
        <v>4665</v>
      </c>
      <c r="N752" s="17" t="s">
        <v>4666</v>
      </c>
      <c r="O752" s="17" t="s">
        <v>433</v>
      </c>
    </row>
    <row r="753" spans="1:15" hidden="1" x14ac:dyDescent="0.35">
      <c r="A753" s="17">
        <v>826</v>
      </c>
      <c r="B753" s="17">
        <v>2</v>
      </c>
      <c r="C753" s="17" t="s">
        <v>2218</v>
      </c>
      <c r="E753" s="41" t="s">
        <v>45</v>
      </c>
      <c r="F753" s="41" t="s">
        <v>622</v>
      </c>
      <c r="G753" s="17">
        <v>39.580910000000003</v>
      </c>
      <c r="H753" s="17">
        <v>2.4341699999999999</v>
      </c>
      <c r="I753" s="17">
        <v>300</v>
      </c>
      <c r="J753" s="17" t="s">
        <v>1330</v>
      </c>
      <c r="K753" s="17" t="s">
        <v>1330</v>
      </c>
      <c r="L753" s="17" t="s">
        <v>51</v>
      </c>
      <c r="M753" s="17" t="s">
        <v>4665</v>
      </c>
      <c r="N753" s="17" t="s">
        <v>4666</v>
      </c>
      <c r="O753" s="17" t="s">
        <v>433</v>
      </c>
    </row>
    <row r="754" spans="1:15" hidden="1" x14ac:dyDescent="0.35">
      <c r="A754" s="17">
        <v>837</v>
      </c>
      <c r="B754" s="17">
        <v>1</v>
      </c>
      <c r="C754" s="17" t="s">
        <v>1382</v>
      </c>
      <c r="E754" s="41" t="s">
        <v>45</v>
      </c>
      <c r="F754" s="41" t="s">
        <v>622</v>
      </c>
      <c r="G754" s="17">
        <v>41.706490000000002</v>
      </c>
      <c r="H754" s="17">
        <v>2.04488</v>
      </c>
      <c r="I754" s="17" t="s">
        <v>1330</v>
      </c>
      <c r="J754" s="17">
        <v>4543</v>
      </c>
      <c r="K754" s="17" t="s">
        <v>1330</v>
      </c>
      <c r="L754" s="17" t="s">
        <v>34</v>
      </c>
      <c r="M754" s="17" t="s">
        <v>38</v>
      </c>
      <c r="N754" s="17" t="s">
        <v>4667</v>
      </c>
      <c r="O754" s="17" t="s">
        <v>44</v>
      </c>
    </row>
    <row r="755" spans="1:15" hidden="1" x14ac:dyDescent="0.35">
      <c r="A755" s="17">
        <v>842</v>
      </c>
      <c r="B755" s="17">
        <v>1</v>
      </c>
      <c r="C755" s="17" t="s">
        <v>1831</v>
      </c>
      <c r="E755" s="41" t="s">
        <v>4743</v>
      </c>
      <c r="F755" s="41" t="s">
        <v>622</v>
      </c>
      <c r="G755" s="17">
        <v>42.587020000000003</v>
      </c>
      <c r="H755" s="17">
        <v>23.352509999999999</v>
      </c>
      <c r="I755" s="17">
        <v>1600</v>
      </c>
      <c r="J755" s="17">
        <v>70</v>
      </c>
      <c r="K755" s="17" t="s">
        <v>102</v>
      </c>
      <c r="L755" s="17" t="s">
        <v>34</v>
      </c>
      <c r="M755" s="17" t="s">
        <v>4668</v>
      </c>
      <c r="N755" s="17" t="s">
        <v>4669</v>
      </c>
      <c r="O755" s="17" t="s">
        <v>433</v>
      </c>
    </row>
    <row r="756" spans="1:15" hidden="1" x14ac:dyDescent="0.35">
      <c r="A756" s="17">
        <v>842</v>
      </c>
      <c r="B756" s="17">
        <v>2</v>
      </c>
      <c r="C756" s="17" t="s">
        <v>1379</v>
      </c>
      <c r="E756" s="41" t="s">
        <v>4743</v>
      </c>
      <c r="F756" s="41" t="s">
        <v>622</v>
      </c>
      <c r="G756" s="17">
        <v>41.582470000000001</v>
      </c>
      <c r="H756" s="17">
        <v>25.133479999999999</v>
      </c>
      <c r="I756" s="17">
        <v>800</v>
      </c>
      <c r="J756" s="17">
        <v>100</v>
      </c>
      <c r="K756" s="17" t="s">
        <v>102</v>
      </c>
      <c r="L756" s="17" t="s">
        <v>34</v>
      </c>
      <c r="M756" s="17" t="s">
        <v>1823</v>
      </c>
      <c r="N756" s="17" t="s">
        <v>4670</v>
      </c>
      <c r="O756" s="17" t="s">
        <v>44</v>
      </c>
    </row>
    <row r="757" spans="1:15" hidden="1" x14ac:dyDescent="0.35">
      <c r="A757" s="17">
        <v>842</v>
      </c>
      <c r="B757" s="17">
        <v>3</v>
      </c>
      <c r="C757" s="17" t="s">
        <v>4671</v>
      </c>
      <c r="E757" s="41" t="s">
        <v>4743</v>
      </c>
      <c r="F757" s="41" t="s">
        <v>622</v>
      </c>
      <c r="G757" s="17">
        <v>41.684939999999997</v>
      </c>
      <c r="H757" s="17">
        <v>25.54852</v>
      </c>
      <c r="I757" s="17">
        <v>400</v>
      </c>
      <c r="J757" s="17">
        <v>30</v>
      </c>
      <c r="K757" s="17" t="s">
        <v>102</v>
      </c>
      <c r="L757" s="17" t="s">
        <v>34</v>
      </c>
      <c r="M757" s="17" t="s">
        <v>4672</v>
      </c>
      <c r="N757" s="17" t="s">
        <v>4673</v>
      </c>
      <c r="O757" s="17" t="s">
        <v>44</v>
      </c>
    </row>
    <row r="758" spans="1:15" hidden="1" x14ac:dyDescent="0.35">
      <c r="A758" s="17">
        <v>776</v>
      </c>
      <c r="B758" s="17">
        <v>1</v>
      </c>
      <c r="C758" s="17" t="s">
        <v>4674</v>
      </c>
      <c r="E758" s="41" t="s">
        <v>4743</v>
      </c>
      <c r="F758" s="41" t="s">
        <v>620</v>
      </c>
      <c r="G758" s="17">
        <v>41.575000000000003</v>
      </c>
      <c r="H758" s="17">
        <v>25.101939999999999</v>
      </c>
      <c r="I758" s="17">
        <v>790</v>
      </c>
      <c r="J758" s="17">
        <v>100</v>
      </c>
      <c r="K758" s="17" t="s">
        <v>1330</v>
      </c>
      <c r="L758" s="17" t="s">
        <v>34</v>
      </c>
      <c r="M758" s="17" t="s">
        <v>38</v>
      </c>
      <c r="N758" s="17" t="s">
        <v>4675</v>
      </c>
      <c r="O758" s="17" t="s">
        <v>433</v>
      </c>
    </row>
    <row r="759" spans="1:15" hidden="1" x14ac:dyDescent="0.35">
      <c r="A759" s="17">
        <v>884</v>
      </c>
      <c r="B759" s="17">
        <v>1</v>
      </c>
      <c r="C759" s="17">
        <v>1983</v>
      </c>
      <c r="E759" s="41" t="s">
        <v>49</v>
      </c>
      <c r="F759" s="41" t="s">
        <v>620</v>
      </c>
      <c r="G759" s="17">
        <v>35.696109999999997</v>
      </c>
      <c r="H759" s="17">
        <v>27.171040000000001</v>
      </c>
      <c r="I759" s="17">
        <v>340</v>
      </c>
      <c r="J759" s="17">
        <v>4475</v>
      </c>
      <c r="K759" s="17" t="s">
        <v>1330</v>
      </c>
      <c r="L759" s="17" t="s">
        <v>34</v>
      </c>
      <c r="M759" s="17" t="s">
        <v>38</v>
      </c>
      <c r="N759" s="17" t="s">
        <v>4676</v>
      </c>
      <c r="O759" s="17" t="s">
        <v>433</v>
      </c>
    </row>
    <row r="760" spans="1:15" hidden="1" x14ac:dyDescent="0.35">
      <c r="A760" s="17">
        <v>996</v>
      </c>
      <c r="B760" s="17">
        <v>1</v>
      </c>
      <c r="C760" s="17" t="s">
        <v>1397</v>
      </c>
      <c r="E760" s="41" t="s">
        <v>49</v>
      </c>
      <c r="F760" s="41" t="s">
        <v>622</v>
      </c>
      <c r="G760" s="17">
        <v>38.297989999999999</v>
      </c>
      <c r="H760" s="17">
        <v>21.821750000000002</v>
      </c>
      <c r="I760" s="17">
        <v>500</v>
      </c>
      <c r="J760" s="17">
        <v>2020</v>
      </c>
      <c r="K760" s="17" t="s">
        <v>1330</v>
      </c>
      <c r="L760" s="17" t="s">
        <v>34</v>
      </c>
      <c r="M760" s="17" t="s">
        <v>38</v>
      </c>
      <c r="N760" s="17" t="s">
        <v>4677</v>
      </c>
      <c r="O760" s="17" t="s">
        <v>433</v>
      </c>
    </row>
    <row r="761" spans="1:15" hidden="1" x14ac:dyDescent="0.35">
      <c r="A761" s="17">
        <v>996</v>
      </c>
      <c r="B761" s="17">
        <v>2</v>
      </c>
      <c r="C761" s="17" t="s">
        <v>3911</v>
      </c>
      <c r="E761" s="41" t="s">
        <v>49</v>
      </c>
      <c r="F761" s="41" t="s">
        <v>622</v>
      </c>
      <c r="G761" s="17">
        <v>38.300519999999999</v>
      </c>
      <c r="H761" s="17">
        <v>21.980370000000001</v>
      </c>
      <c r="I761" s="17">
        <v>500</v>
      </c>
      <c r="J761" s="17">
        <v>1800</v>
      </c>
      <c r="K761" s="17" t="s">
        <v>1330</v>
      </c>
      <c r="L761" s="17" t="s">
        <v>34</v>
      </c>
      <c r="M761" s="17" t="s">
        <v>38</v>
      </c>
      <c r="N761" s="17" t="s">
        <v>4677</v>
      </c>
      <c r="O761" s="17" t="s">
        <v>433</v>
      </c>
    </row>
    <row r="762" spans="1:15" hidden="1" x14ac:dyDescent="0.35">
      <c r="A762" s="17">
        <v>1018</v>
      </c>
      <c r="B762" s="17">
        <v>1</v>
      </c>
      <c r="C762" s="17" t="s">
        <v>4678</v>
      </c>
      <c r="E762" s="41" t="s">
        <v>45</v>
      </c>
      <c r="F762" s="41" t="s">
        <v>622</v>
      </c>
      <c r="G762" s="17">
        <v>37.252980000000001</v>
      </c>
      <c r="H762" s="17">
        <v>-3.48848</v>
      </c>
      <c r="I762" s="17">
        <v>1350</v>
      </c>
      <c r="J762" s="17" t="s">
        <v>4679</v>
      </c>
      <c r="K762" s="17" t="s">
        <v>1330</v>
      </c>
      <c r="L762" s="17" t="s">
        <v>34</v>
      </c>
      <c r="M762" s="17" t="s">
        <v>76</v>
      </c>
      <c r="N762" s="17" t="s">
        <v>4680</v>
      </c>
      <c r="O762" s="17" t="s">
        <v>48</v>
      </c>
    </row>
    <row r="763" spans="1:15" x14ac:dyDescent="0.35">
      <c r="A763" s="17">
        <v>645</v>
      </c>
      <c r="B763" s="17">
        <v>1</v>
      </c>
      <c r="C763" s="17" t="s">
        <v>1525</v>
      </c>
      <c r="E763" s="41" t="s">
        <v>45</v>
      </c>
      <c r="F763" s="41" t="s">
        <v>620</v>
      </c>
      <c r="G763" s="17">
        <v>40.266109999999998</v>
      </c>
      <c r="H763" s="17">
        <v>-1.9355599999999999</v>
      </c>
      <c r="I763" s="17">
        <v>1416</v>
      </c>
      <c r="J763" s="17" t="s">
        <v>1330</v>
      </c>
      <c r="K763" s="17" t="s">
        <v>33</v>
      </c>
      <c r="L763" s="17" t="s">
        <v>34</v>
      </c>
      <c r="M763" s="17" t="s">
        <v>38</v>
      </c>
      <c r="N763" s="17" t="s">
        <v>4681</v>
      </c>
      <c r="O763" s="17" t="s">
        <v>730</v>
      </c>
    </row>
  </sheetData>
  <autoFilter ref="A1:P763" xr:uid="{23DF5624-C308-4A1B-8F93-4630CF3B3247}">
    <filterColumn colId="4">
      <filters>
        <filter val="Italy"/>
        <filter val="Portugal"/>
        <filter val="Spain"/>
      </filters>
    </filterColumn>
    <filterColumn colId="10">
      <filters>
        <filter val="all"/>
        <filter val="high"/>
        <filter val="low"/>
        <filter val="low;high"/>
        <filter val="low;medium"/>
        <filter val="low;medium;high"/>
        <filter val="low;moderate"/>
        <filter val="low;moderate;high"/>
        <filter val="medium;high"/>
        <filter val="medium;high;low"/>
        <filter val="moderate"/>
        <filter val="moderate;high"/>
      </filters>
    </filterColumn>
  </autoFilter>
  <sortState xmlns:xlrd2="http://schemas.microsoft.com/office/spreadsheetml/2017/richdata2" ref="A12:O26">
    <sortCondition ref="C12:C26"/>
  </sortState>
  <phoneticPr fontId="3"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FEADB11-4E5F-4410-9638-224F66FB6261}">
          <x14:formula1>
            <xm:f>Aux!$F$2:$F$3</xm:f>
          </x14:formula1>
          <xm:sqref>L301:L304 L2:L290 L320:L398 L295 L400:L416 L465:L475 L490:L1048576</xm:sqref>
        </x14:dataValidation>
        <x14:dataValidation type="list" allowBlank="1" showInputMessage="1" showErrorMessage="1" xr:uid="{3593CDC0-0A4C-43A6-8B11-0F5E649AAFB2}">
          <x14:formula1>
            <xm:f>Aux!$C$2:$C$4</xm:f>
          </x14:formula1>
          <xm:sqref>F2:F304 F320:F416 F465:F475 F490:F1048576</xm:sqref>
        </x14:dataValidation>
        <x14:dataValidation type="list" allowBlank="1" showInputMessage="1" showErrorMessage="1" xr:uid="{46FCFB19-6DB2-450D-994A-10F6E13AE567}">
          <x14:formula1>
            <xm:f>Aux!$D$2:$D$9</xm:f>
          </x14:formula1>
          <xm:sqref>K2:K398 K400:K416 K465:K475 K490:K1048576</xm:sqref>
        </x14:dataValidation>
        <x14:dataValidation type="list" allowBlank="1" showInputMessage="1" showErrorMessage="1" xr:uid="{26E131D4-2055-414D-AA80-E2F2B99CF500}">
          <x14:formula1>
            <xm:f>Aux!$E$2:$E$14</xm:f>
          </x14:formula1>
          <xm:sqref>O2:O1048576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F18C-6CC0-4761-A44B-64ABCF95BEE9}">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0D31-6863-4874-979D-DBCE9BF6DEBE}">
  <sheetPr filterMode="1">
    <tabColor theme="9" tint="0.39997558519241921"/>
  </sheetPr>
  <dimension ref="A1:M1996"/>
  <sheetViews>
    <sheetView topLeftCell="C1" zoomScale="85" zoomScaleNormal="85" workbookViewId="0">
      <pane ySplit="1" topLeftCell="A1527" activePane="bottomLeft" state="frozen"/>
      <selection pane="bottomLeft" activeCell="F2007" sqref="F2007"/>
    </sheetView>
  </sheetViews>
  <sheetFormatPr defaultColWidth="8.81640625" defaultRowHeight="14.5" x14ac:dyDescent="0.35"/>
  <cols>
    <col min="1" max="1" width="6.81640625" style="16" bestFit="1" customWidth="1"/>
    <col min="2" max="2" width="36.54296875" style="16" bestFit="1" customWidth="1"/>
    <col min="3" max="3" width="17.54296875" style="16" customWidth="1"/>
    <col min="4" max="5" width="28.453125" style="16" customWidth="1"/>
    <col min="6" max="6" width="18.54296875" style="16" customWidth="1"/>
    <col min="7" max="7" width="18.453125" style="16" bestFit="1" customWidth="1"/>
    <col min="8" max="8" width="18.453125" style="50" customWidth="1"/>
    <col min="9" max="9" width="30.54296875" style="16" bestFit="1" customWidth="1"/>
    <col min="10" max="10" width="23.54296875" style="16" customWidth="1"/>
    <col min="11" max="16384" width="8.81640625" style="16"/>
  </cols>
  <sheetData>
    <row r="1" spans="1:10" s="15" customFormat="1" x14ac:dyDescent="0.35">
      <c r="A1" s="12" t="s">
        <v>1</v>
      </c>
      <c r="B1" s="12" t="s">
        <v>25</v>
      </c>
      <c r="C1" s="12" t="s">
        <v>625</v>
      </c>
      <c r="D1" s="12" t="s">
        <v>121</v>
      </c>
      <c r="E1" s="12" t="s">
        <v>427</v>
      </c>
      <c r="F1" s="12" t="s">
        <v>23</v>
      </c>
      <c r="G1" s="12" t="s">
        <v>22</v>
      </c>
      <c r="H1" s="12" t="s">
        <v>719</v>
      </c>
      <c r="I1" s="12" t="s">
        <v>24</v>
      </c>
      <c r="J1" s="12" t="s">
        <v>435</v>
      </c>
    </row>
    <row r="2" spans="1:10" x14ac:dyDescent="0.35">
      <c r="A2" s="16">
        <v>4</v>
      </c>
      <c r="B2" s="16" t="s">
        <v>125</v>
      </c>
      <c r="C2" s="16" t="s">
        <v>626</v>
      </c>
      <c r="D2" s="16" t="s">
        <v>124</v>
      </c>
      <c r="E2" s="16" t="s">
        <v>559</v>
      </c>
      <c r="F2" s="16" t="s">
        <v>122</v>
      </c>
      <c r="G2" s="16" t="s">
        <v>1434</v>
      </c>
      <c r="I2" s="16" t="s">
        <v>123</v>
      </c>
    </row>
    <row r="3" spans="1:10" x14ac:dyDescent="0.35">
      <c r="A3" s="16">
        <v>4</v>
      </c>
      <c r="B3" s="16" t="s">
        <v>126</v>
      </c>
      <c r="C3" s="16" t="s">
        <v>627</v>
      </c>
      <c r="D3" s="16" t="s">
        <v>124</v>
      </c>
      <c r="E3" s="16" t="s">
        <v>536</v>
      </c>
      <c r="F3" s="16" t="s">
        <v>122</v>
      </c>
      <c r="G3" s="16" t="s">
        <v>1434</v>
      </c>
      <c r="I3" s="16" t="s">
        <v>123</v>
      </c>
    </row>
    <row r="4" spans="1:10" x14ac:dyDescent="0.35">
      <c r="A4" s="16">
        <v>4</v>
      </c>
      <c r="B4" s="16" t="s">
        <v>127</v>
      </c>
      <c r="C4" s="16" t="s">
        <v>628</v>
      </c>
      <c r="D4" s="16" t="s">
        <v>124</v>
      </c>
      <c r="E4" s="16" t="s">
        <v>559</v>
      </c>
      <c r="F4" s="16" t="s">
        <v>122</v>
      </c>
      <c r="G4" s="16" t="s">
        <v>1434</v>
      </c>
      <c r="I4" s="16" t="s">
        <v>123</v>
      </c>
    </row>
    <row r="5" spans="1:10" x14ac:dyDescent="0.35">
      <c r="A5" s="16">
        <v>4</v>
      </c>
      <c r="B5" s="16" t="s">
        <v>128</v>
      </c>
      <c r="C5" s="16" t="s">
        <v>629</v>
      </c>
      <c r="D5" s="16" t="s">
        <v>124</v>
      </c>
      <c r="E5" s="16" t="s">
        <v>536</v>
      </c>
      <c r="F5" s="16" t="s">
        <v>122</v>
      </c>
      <c r="G5" s="16" t="s">
        <v>1434</v>
      </c>
      <c r="I5" s="16" t="s">
        <v>123</v>
      </c>
    </row>
    <row r="6" spans="1:10" x14ac:dyDescent="0.35">
      <c r="A6" s="16">
        <v>4</v>
      </c>
      <c r="B6" s="16" t="s">
        <v>129</v>
      </c>
      <c r="C6" s="16" t="s">
        <v>629</v>
      </c>
      <c r="D6" s="16" t="s">
        <v>124</v>
      </c>
      <c r="E6" s="16" t="s">
        <v>536</v>
      </c>
      <c r="F6" s="16" t="s">
        <v>122</v>
      </c>
      <c r="G6" s="16" t="s">
        <v>1434</v>
      </c>
      <c r="I6" s="16" t="s">
        <v>123</v>
      </c>
    </row>
    <row r="7" spans="1:10" x14ac:dyDescent="0.35">
      <c r="A7" s="16">
        <v>4</v>
      </c>
      <c r="B7" s="16" t="s">
        <v>131</v>
      </c>
      <c r="C7" s="16" t="s">
        <v>630</v>
      </c>
      <c r="D7" s="16" t="s">
        <v>124</v>
      </c>
      <c r="E7" s="16" t="s">
        <v>559</v>
      </c>
      <c r="F7" s="16" t="s">
        <v>122</v>
      </c>
      <c r="G7" s="16" t="s">
        <v>1434</v>
      </c>
      <c r="I7" s="16" t="s">
        <v>123</v>
      </c>
    </row>
    <row r="8" spans="1:10" x14ac:dyDescent="0.35">
      <c r="A8" s="16">
        <v>4</v>
      </c>
      <c r="B8" s="16" t="s">
        <v>132</v>
      </c>
      <c r="C8" s="16" t="s">
        <v>626</v>
      </c>
      <c r="D8" s="16" t="s">
        <v>124</v>
      </c>
      <c r="E8" s="16" t="s">
        <v>559</v>
      </c>
      <c r="F8" s="16" t="s">
        <v>122</v>
      </c>
      <c r="G8" s="16" t="s">
        <v>1434</v>
      </c>
      <c r="I8" s="16" t="s">
        <v>123</v>
      </c>
    </row>
    <row r="9" spans="1:10" ht="43.5" x14ac:dyDescent="0.35">
      <c r="A9" s="16">
        <v>4</v>
      </c>
      <c r="B9" s="16" t="s">
        <v>133</v>
      </c>
      <c r="C9" s="16" t="s">
        <v>629</v>
      </c>
      <c r="D9" s="16" t="s">
        <v>124</v>
      </c>
      <c r="E9" s="16" t="s">
        <v>536</v>
      </c>
      <c r="F9" s="16" t="s">
        <v>122</v>
      </c>
      <c r="G9" s="16" t="s">
        <v>1434</v>
      </c>
      <c r="I9" s="51" t="s">
        <v>468</v>
      </c>
    </row>
    <row r="10" spans="1:10" ht="72.5" x14ac:dyDescent="0.35">
      <c r="A10" s="16">
        <v>16</v>
      </c>
      <c r="B10" s="16" t="s">
        <v>134</v>
      </c>
      <c r="C10" s="16" t="s">
        <v>631</v>
      </c>
      <c r="D10" s="16" t="s">
        <v>124</v>
      </c>
      <c r="E10" s="16" t="s">
        <v>1329</v>
      </c>
      <c r="F10" s="16" t="s">
        <v>28</v>
      </c>
      <c r="G10" s="16" t="s">
        <v>1435</v>
      </c>
      <c r="I10" s="51" t="s">
        <v>469</v>
      </c>
      <c r="J10" s="16" t="s">
        <v>1726</v>
      </c>
    </row>
    <row r="11" spans="1:10" ht="43.5" hidden="1" x14ac:dyDescent="0.35">
      <c r="A11" s="16">
        <v>17</v>
      </c>
      <c r="B11" s="16" t="s">
        <v>136</v>
      </c>
      <c r="C11" s="16" t="s">
        <v>632</v>
      </c>
      <c r="D11" s="16" t="s">
        <v>130</v>
      </c>
      <c r="E11" s="16" t="s">
        <v>1021</v>
      </c>
      <c r="F11" s="16" t="s">
        <v>135</v>
      </c>
      <c r="G11" s="16" t="s">
        <v>1436</v>
      </c>
      <c r="I11" s="51" t="s">
        <v>470</v>
      </c>
    </row>
    <row r="12" spans="1:10" ht="27.75" hidden="1" customHeight="1" x14ac:dyDescent="0.35">
      <c r="A12" s="16">
        <v>17</v>
      </c>
      <c r="B12" s="16" t="s">
        <v>1748</v>
      </c>
      <c r="C12" s="16" t="s">
        <v>633</v>
      </c>
      <c r="D12" s="16" t="s">
        <v>124</v>
      </c>
      <c r="E12" s="16" t="s">
        <v>559</v>
      </c>
      <c r="F12" s="16" t="s">
        <v>135</v>
      </c>
      <c r="G12" s="16" t="s">
        <v>1436</v>
      </c>
      <c r="I12" s="16" t="s">
        <v>471</v>
      </c>
      <c r="J12" s="16" t="s">
        <v>1747</v>
      </c>
    </row>
    <row r="13" spans="1:10" hidden="1" x14ac:dyDescent="0.35">
      <c r="A13" s="16">
        <v>17</v>
      </c>
      <c r="B13" s="16" t="s">
        <v>137</v>
      </c>
      <c r="C13" s="16" t="s">
        <v>633</v>
      </c>
      <c r="D13" s="16" t="s">
        <v>124</v>
      </c>
      <c r="E13" s="16" t="s">
        <v>559</v>
      </c>
      <c r="F13" s="16" t="s">
        <v>135</v>
      </c>
      <c r="G13" s="16" t="s">
        <v>1436</v>
      </c>
      <c r="I13" s="16" t="s">
        <v>471</v>
      </c>
    </row>
    <row r="14" spans="1:10" hidden="1" x14ac:dyDescent="0.35">
      <c r="A14" s="16">
        <v>17</v>
      </c>
      <c r="B14" s="16" t="s">
        <v>138</v>
      </c>
      <c r="C14" s="16" t="s">
        <v>634</v>
      </c>
      <c r="D14" s="16" t="s">
        <v>130</v>
      </c>
      <c r="E14" s="16" t="s">
        <v>809</v>
      </c>
      <c r="F14" s="16" t="s">
        <v>135</v>
      </c>
      <c r="G14" s="16" t="s">
        <v>1436</v>
      </c>
      <c r="I14" s="16" t="s">
        <v>472</v>
      </c>
    </row>
    <row r="15" spans="1:10" hidden="1" x14ac:dyDescent="0.35">
      <c r="A15" s="16">
        <v>17</v>
      </c>
      <c r="B15" s="16" t="s">
        <v>139</v>
      </c>
      <c r="C15" s="16" t="s">
        <v>635</v>
      </c>
      <c r="D15" s="16" t="s">
        <v>130</v>
      </c>
      <c r="E15" s="16" t="s">
        <v>809</v>
      </c>
      <c r="F15" s="16" t="s">
        <v>135</v>
      </c>
      <c r="G15" s="16" t="s">
        <v>1436</v>
      </c>
      <c r="I15" s="16" t="s">
        <v>471</v>
      </c>
    </row>
    <row r="16" spans="1:10" hidden="1" x14ac:dyDescent="0.35">
      <c r="A16" s="16">
        <v>17</v>
      </c>
      <c r="B16" s="16" t="s">
        <v>140</v>
      </c>
      <c r="C16" s="16" t="s">
        <v>636</v>
      </c>
      <c r="D16" s="16" t="s">
        <v>130</v>
      </c>
      <c r="E16" s="16" t="s">
        <v>809</v>
      </c>
      <c r="F16" s="16" t="s">
        <v>135</v>
      </c>
      <c r="G16" s="16" t="s">
        <v>1436</v>
      </c>
      <c r="I16" s="16" t="s">
        <v>471</v>
      </c>
    </row>
    <row r="17" spans="1:10" hidden="1" x14ac:dyDescent="0.35">
      <c r="A17" s="16">
        <v>29</v>
      </c>
      <c r="B17" s="16" t="s">
        <v>142</v>
      </c>
      <c r="C17" s="16" t="s">
        <v>637</v>
      </c>
      <c r="D17" s="16" t="s">
        <v>124</v>
      </c>
      <c r="E17" s="16" t="s">
        <v>538</v>
      </c>
      <c r="F17" s="16" t="s">
        <v>141</v>
      </c>
      <c r="G17" s="16" t="s">
        <v>1369</v>
      </c>
      <c r="I17" s="16" t="s">
        <v>1330</v>
      </c>
    </row>
    <row r="18" spans="1:10" hidden="1" x14ac:dyDescent="0.35">
      <c r="A18" s="16">
        <v>29</v>
      </c>
      <c r="B18" s="16" t="s">
        <v>143</v>
      </c>
      <c r="C18" s="16" t="s">
        <v>638</v>
      </c>
      <c r="D18" s="16" t="s">
        <v>124</v>
      </c>
      <c r="E18" s="16" t="s">
        <v>538</v>
      </c>
      <c r="F18" s="16" t="s">
        <v>141</v>
      </c>
      <c r="G18" s="16" t="s">
        <v>1369</v>
      </c>
      <c r="I18" s="16" t="s">
        <v>1330</v>
      </c>
    </row>
    <row r="19" spans="1:10" hidden="1" x14ac:dyDescent="0.35">
      <c r="A19" s="16">
        <v>29</v>
      </c>
      <c r="B19" s="16" t="s">
        <v>2419</v>
      </c>
      <c r="C19" s="16" t="s">
        <v>633</v>
      </c>
      <c r="D19" s="16" t="s">
        <v>124</v>
      </c>
      <c r="E19" s="16" t="s">
        <v>536</v>
      </c>
      <c r="F19" s="16" t="s">
        <v>141</v>
      </c>
      <c r="G19" s="16" t="s">
        <v>1369</v>
      </c>
      <c r="I19" s="16" t="s">
        <v>144</v>
      </c>
    </row>
    <row r="20" spans="1:10" hidden="1" x14ac:dyDescent="0.35">
      <c r="A20" s="16">
        <v>29</v>
      </c>
      <c r="B20" s="16" t="s">
        <v>145</v>
      </c>
      <c r="C20" s="16" t="s">
        <v>626</v>
      </c>
      <c r="D20" s="16" t="s">
        <v>124</v>
      </c>
      <c r="E20" s="16" t="s">
        <v>559</v>
      </c>
      <c r="F20" s="16" t="s">
        <v>141</v>
      </c>
      <c r="G20" s="16" t="s">
        <v>1369</v>
      </c>
      <c r="I20" s="16" t="s">
        <v>144</v>
      </c>
    </row>
    <row r="21" spans="1:10" hidden="1" x14ac:dyDescent="0.35">
      <c r="A21" s="16">
        <v>29</v>
      </c>
      <c r="B21" s="16" t="s">
        <v>146</v>
      </c>
      <c r="C21" s="16" t="s">
        <v>633</v>
      </c>
      <c r="D21" s="16" t="s">
        <v>124</v>
      </c>
      <c r="E21" s="16" t="s">
        <v>559</v>
      </c>
      <c r="F21" s="16" t="s">
        <v>141</v>
      </c>
      <c r="G21" s="16" t="s">
        <v>1369</v>
      </c>
      <c r="I21" s="16" t="s">
        <v>144</v>
      </c>
    </row>
    <row r="22" spans="1:10" hidden="1" x14ac:dyDescent="0.35">
      <c r="A22" s="16">
        <v>78</v>
      </c>
      <c r="B22" s="16" t="s">
        <v>147</v>
      </c>
      <c r="C22" s="16" t="s">
        <v>639</v>
      </c>
      <c r="D22" s="16" t="s">
        <v>124</v>
      </c>
      <c r="E22" s="16" t="s">
        <v>539</v>
      </c>
      <c r="F22" s="16" t="s">
        <v>541</v>
      </c>
      <c r="G22" s="16" t="s">
        <v>1437</v>
      </c>
      <c r="I22" s="16" t="s">
        <v>473</v>
      </c>
    </row>
    <row r="23" spans="1:10" hidden="1" x14ac:dyDescent="0.35">
      <c r="A23" s="16">
        <v>78</v>
      </c>
      <c r="B23" s="16" t="s">
        <v>148</v>
      </c>
      <c r="C23" s="16" t="s">
        <v>640</v>
      </c>
      <c r="D23" s="16" t="s">
        <v>124</v>
      </c>
      <c r="E23" s="16" t="s">
        <v>539</v>
      </c>
      <c r="F23" s="16" t="s">
        <v>541</v>
      </c>
      <c r="G23" s="16" t="s">
        <v>1437</v>
      </c>
      <c r="I23" s="16" t="s">
        <v>473</v>
      </c>
    </row>
    <row r="24" spans="1:10" hidden="1" x14ac:dyDescent="0.35">
      <c r="A24" s="16">
        <v>78</v>
      </c>
      <c r="B24" s="16" t="s">
        <v>149</v>
      </c>
      <c r="C24" s="16" t="s">
        <v>641</v>
      </c>
      <c r="D24" s="16" t="s">
        <v>124</v>
      </c>
      <c r="E24" s="16" t="s">
        <v>538</v>
      </c>
      <c r="F24" s="16" t="s">
        <v>541</v>
      </c>
      <c r="G24" s="16" t="s">
        <v>1437</v>
      </c>
      <c r="I24" s="16" t="s">
        <v>474</v>
      </c>
    </row>
    <row r="25" spans="1:10" hidden="1" x14ac:dyDescent="0.35">
      <c r="A25" s="16">
        <v>84</v>
      </c>
      <c r="B25" s="16" t="s">
        <v>151</v>
      </c>
      <c r="C25" s="16" t="s">
        <v>642</v>
      </c>
      <c r="D25" s="16" t="s">
        <v>428</v>
      </c>
      <c r="E25" s="16" t="s">
        <v>150</v>
      </c>
      <c r="F25" s="16" t="s">
        <v>541</v>
      </c>
      <c r="G25" s="16">
        <v>1978</v>
      </c>
      <c r="H25" s="52"/>
      <c r="I25" s="16" t="s">
        <v>475</v>
      </c>
    </row>
    <row r="26" spans="1:10" hidden="1" x14ac:dyDescent="0.35">
      <c r="A26" s="16">
        <v>84</v>
      </c>
      <c r="B26" s="16" t="s">
        <v>152</v>
      </c>
      <c r="C26" s="16" t="s">
        <v>642</v>
      </c>
      <c r="D26" s="16" t="s">
        <v>428</v>
      </c>
      <c r="E26" s="16" t="s">
        <v>150</v>
      </c>
      <c r="F26" s="16" t="s">
        <v>541</v>
      </c>
      <c r="G26" s="16">
        <v>1978</v>
      </c>
      <c r="H26" s="52"/>
      <c r="I26" s="16" t="s">
        <v>475</v>
      </c>
      <c r="J26" s="16" t="s">
        <v>2254</v>
      </c>
    </row>
    <row r="27" spans="1:10" hidden="1" x14ac:dyDescent="0.35">
      <c r="A27" s="16">
        <v>84</v>
      </c>
      <c r="B27" s="16" t="s">
        <v>153</v>
      </c>
      <c r="C27" s="16" t="s">
        <v>642</v>
      </c>
      <c r="D27" s="16" t="s">
        <v>428</v>
      </c>
      <c r="E27" s="16" t="s">
        <v>150</v>
      </c>
      <c r="F27" s="16" t="s">
        <v>541</v>
      </c>
      <c r="G27" s="16">
        <v>1978</v>
      </c>
      <c r="H27" s="52"/>
      <c r="I27" s="16" t="s">
        <v>475</v>
      </c>
      <c r="J27" s="16" t="s">
        <v>2255</v>
      </c>
    </row>
    <row r="28" spans="1:10" hidden="1" x14ac:dyDescent="0.35">
      <c r="A28" s="16">
        <v>84</v>
      </c>
      <c r="B28" s="16" t="s">
        <v>154</v>
      </c>
      <c r="C28" s="16" t="s">
        <v>642</v>
      </c>
      <c r="D28" s="16" t="s">
        <v>428</v>
      </c>
      <c r="E28" s="16" t="s">
        <v>150</v>
      </c>
      <c r="F28" s="16" t="s">
        <v>541</v>
      </c>
      <c r="G28" s="16">
        <v>1978</v>
      </c>
      <c r="H28" s="52"/>
      <c r="I28" s="16" t="s">
        <v>475</v>
      </c>
      <c r="J28" s="16" t="s">
        <v>2256</v>
      </c>
    </row>
    <row r="29" spans="1:10" hidden="1" x14ac:dyDescent="0.35">
      <c r="A29" s="16">
        <v>84</v>
      </c>
      <c r="B29" s="16" t="s">
        <v>155</v>
      </c>
      <c r="C29" s="16" t="s">
        <v>642</v>
      </c>
      <c r="D29" s="16" t="s">
        <v>428</v>
      </c>
      <c r="E29" s="16" t="s">
        <v>150</v>
      </c>
      <c r="F29" s="16" t="s">
        <v>541</v>
      </c>
      <c r="G29" s="16">
        <v>1978</v>
      </c>
      <c r="H29" s="52"/>
      <c r="I29" s="16" t="s">
        <v>475</v>
      </c>
      <c r="J29" s="16" t="s">
        <v>2256</v>
      </c>
    </row>
    <row r="30" spans="1:10" hidden="1" x14ac:dyDescent="0.35">
      <c r="A30" s="16">
        <v>84</v>
      </c>
      <c r="B30" s="16" t="s">
        <v>156</v>
      </c>
      <c r="C30" s="16" t="s">
        <v>642</v>
      </c>
      <c r="D30" s="16" t="s">
        <v>428</v>
      </c>
      <c r="E30" s="16" t="s">
        <v>150</v>
      </c>
      <c r="F30" s="16" t="s">
        <v>541</v>
      </c>
      <c r="G30" s="16">
        <v>1978</v>
      </c>
      <c r="H30" s="52"/>
      <c r="I30" s="16" t="s">
        <v>475</v>
      </c>
      <c r="J30" s="16" t="s">
        <v>2254</v>
      </c>
    </row>
    <row r="31" spans="1:10" hidden="1" x14ac:dyDescent="0.35">
      <c r="A31" s="16">
        <v>84</v>
      </c>
      <c r="B31" s="16" t="s">
        <v>158</v>
      </c>
      <c r="C31" s="16" t="s">
        <v>643</v>
      </c>
      <c r="D31" s="16" t="s">
        <v>130</v>
      </c>
      <c r="E31" s="16" t="s">
        <v>809</v>
      </c>
      <c r="F31" s="16" t="s">
        <v>541</v>
      </c>
      <c r="G31" s="16">
        <v>1978</v>
      </c>
      <c r="H31" s="52"/>
      <c r="I31" s="16" t="s">
        <v>157</v>
      </c>
    </row>
    <row r="32" spans="1:10" hidden="1" x14ac:dyDescent="0.35">
      <c r="A32" s="16">
        <v>103</v>
      </c>
      <c r="B32" s="16" t="s">
        <v>159</v>
      </c>
      <c r="C32" s="16" t="s">
        <v>626</v>
      </c>
      <c r="D32" s="16" t="s">
        <v>124</v>
      </c>
      <c r="E32" s="16" t="s">
        <v>559</v>
      </c>
      <c r="F32" s="16" t="s">
        <v>542</v>
      </c>
      <c r="G32" s="16" t="s">
        <v>1438</v>
      </c>
      <c r="I32" s="16" t="s">
        <v>476</v>
      </c>
    </row>
    <row r="33" spans="1:10" hidden="1" x14ac:dyDescent="0.35">
      <c r="A33" s="16">
        <v>103</v>
      </c>
      <c r="B33" s="16" t="s">
        <v>160</v>
      </c>
      <c r="C33" s="16" t="s">
        <v>633</v>
      </c>
      <c r="D33" s="16" t="s">
        <v>124</v>
      </c>
      <c r="E33" s="16" t="s">
        <v>1126</v>
      </c>
      <c r="F33" s="16" t="s">
        <v>542</v>
      </c>
      <c r="G33" s="16" t="s">
        <v>1438</v>
      </c>
      <c r="I33" s="16" t="s">
        <v>477</v>
      </c>
    </row>
    <row r="34" spans="1:10" hidden="1" x14ac:dyDescent="0.35">
      <c r="A34" s="16">
        <v>103</v>
      </c>
      <c r="B34" s="16" t="s">
        <v>161</v>
      </c>
      <c r="C34" s="16" t="s">
        <v>644</v>
      </c>
      <c r="D34" s="16" t="s">
        <v>124</v>
      </c>
      <c r="E34" s="16" t="s">
        <v>1126</v>
      </c>
      <c r="F34" s="16" t="s">
        <v>542</v>
      </c>
      <c r="G34" s="16" t="s">
        <v>1438</v>
      </c>
      <c r="I34" s="16" t="s">
        <v>478</v>
      </c>
    </row>
    <row r="35" spans="1:10" hidden="1" x14ac:dyDescent="0.35">
      <c r="A35" s="16">
        <v>111</v>
      </c>
      <c r="B35" s="16" t="s">
        <v>162</v>
      </c>
      <c r="C35" s="16" t="s">
        <v>640</v>
      </c>
      <c r="D35" s="16" t="s">
        <v>428</v>
      </c>
      <c r="E35" s="16" t="s">
        <v>150</v>
      </c>
      <c r="F35" s="16" t="s">
        <v>543</v>
      </c>
      <c r="G35" s="16" t="s">
        <v>1439</v>
      </c>
      <c r="I35" s="16" t="s">
        <v>479</v>
      </c>
      <c r="J35" s="16" t="s">
        <v>2254</v>
      </c>
    </row>
    <row r="36" spans="1:10" hidden="1" x14ac:dyDescent="0.35">
      <c r="A36" s="16">
        <v>111</v>
      </c>
      <c r="B36" s="16" t="s">
        <v>163</v>
      </c>
      <c r="C36" s="16" t="s">
        <v>640</v>
      </c>
      <c r="D36" s="16" t="s">
        <v>428</v>
      </c>
      <c r="E36" s="16" t="s">
        <v>150</v>
      </c>
      <c r="F36" s="16" t="s">
        <v>543</v>
      </c>
      <c r="G36" s="16" t="s">
        <v>1439</v>
      </c>
      <c r="I36" s="16" t="s">
        <v>479</v>
      </c>
      <c r="J36" s="16" t="s">
        <v>2254</v>
      </c>
    </row>
    <row r="37" spans="1:10" hidden="1" x14ac:dyDescent="0.35">
      <c r="A37" s="16">
        <v>111</v>
      </c>
      <c r="B37" s="16" t="s">
        <v>164</v>
      </c>
      <c r="C37" s="16" t="s">
        <v>640</v>
      </c>
      <c r="D37" s="16" t="s">
        <v>428</v>
      </c>
      <c r="E37" s="16" t="s">
        <v>150</v>
      </c>
      <c r="F37" s="16" t="s">
        <v>543</v>
      </c>
      <c r="G37" s="16" t="s">
        <v>1439</v>
      </c>
      <c r="I37" s="16" t="s">
        <v>479</v>
      </c>
      <c r="J37" s="16" t="s">
        <v>2254</v>
      </c>
    </row>
    <row r="38" spans="1:10" hidden="1" x14ac:dyDescent="0.35">
      <c r="A38" s="16">
        <v>111</v>
      </c>
      <c r="B38" s="16" t="s">
        <v>165</v>
      </c>
      <c r="C38" s="16" t="s">
        <v>640</v>
      </c>
      <c r="D38" s="16" t="s">
        <v>428</v>
      </c>
      <c r="E38" s="16" t="s">
        <v>150</v>
      </c>
      <c r="F38" s="16" t="s">
        <v>543</v>
      </c>
      <c r="G38" s="16" t="s">
        <v>1439</v>
      </c>
      <c r="I38" s="16" t="s">
        <v>479</v>
      </c>
      <c r="J38" s="16" t="s">
        <v>2256</v>
      </c>
    </row>
    <row r="39" spans="1:10" hidden="1" x14ac:dyDescent="0.35">
      <c r="A39" s="16">
        <v>111</v>
      </c>
      <c r="B39" s="16" t="s">
        <v>166</v>
      </c>
      <c r="C39" s="16" t="s">
        <v>640</v>
      </c>
      <c r="D39" s="16" t="s">
        <v>428</v>
      </c>
      <c r="E39" s="16" t="s">
        <v>150</v>
      </c>
      <c r="F39" s="16" t="s">
        <v>543</v>
      </c>
      <c r="G39" s="16" t="s">
        <v>1439</v>
      </c>
      <c r="I39" s="16" t="s">
        <v>479</v>
      </c>
      <c r="J39" s="16" t="s">
        <v>2255</v>
      </c>
    </row>
    <row r="40" spans="1:10" hidden="1" x14ac:dyDescent="0.35">
      <c r="A40" s="16">
        <v>111</v>
      </c>
      <c r="B40" s="16" t="s">
        <v>151</v>
      </c>
      <c r="C40" s="16" t="s">
        <v>640</v>
      </c>
      <c r="D40" s="16" t="s">
        <v>428</v>
      </c>
      <c r="E40" s="16" t="s">
        <v>150</v>
      </c>
      <c r="F40" s="16" t="s">
        <v>543</v>
      </c>
      <c r="G40" s="16" t="s">
        <v>1439</v>
      </c>
      <c r="I40" s="16" t="s">
        <v>479</v>
      </c>
    </row>
    <row r="41" spans="1:10" hidden="1" x14ac:dyDescent="0.35">
      <c r="A41" s="16">
        <v>142</v>
      </c>
      <c r="B41" s="16" t="s">
        <v>167</v>
      </c>
      <c r="C41" s="16" t="s">
        <v>633</v>
      </c>
      <c r="D41" s="16" t="s">
        <v>124</v>
      </c>
      <c r="E41" s="16" t="s">
        <v>539</v>
      </c>
      <c r="F41" s="16" t="s">
        <v>135</v>
      </c>
      <c r="G41" s="16" t="s">
        <v>1440</v>
      </c>
      <c r="I41" s="16" t="s">
        <v>480</v>
      </c>
    </row>
    <row r="42" spans="1:10" hidden="1" x14ac:dyDescent="0.35">
      <c r="A42" s="16">
        <v>142</v>
      </c>
      <c r="B42" s="16" t="s">
        <v>168</v>
      </c>
      <c r="C42" s="16" t="s">
        <v>633</v>
      </c>
      <c r="D42" s="16" t="s">
        <v>124</v>
      </c>
      <c r="E42" s="16" t="s">
        <v>559</v>
      </c>
      <c r="F42" s="16" t="s">
        <v>135</v>
      </c>
      <c r="G42" s="16" t="s">
        <v>1440</v>
      </c>
      <c r="I42" s="16" t="s">
        <v>480</v>
      </c>
    </row>
    <row r="43" spans="1:10" hidden="1" x14ac:dyDescent="0.35">
      <c r="A43" s="16">
        <v>142</v>
      </c>
      <c r="B43" s="16" t="s">
        <v>169</v>
      </c>
      <c r="C43" s="16" t="s">
        <v>637</v>
      </c>
      <c r="D43" s="16" t="s">
        <v>124</v>
      </c>
      <c r="E43" s="16" t="s">
        <v>539</v>
      </c>
      <c r="F43" s="16" t="s">
        <v>135</v>
      </c>
      <c r="G43" s="16" t="s">
        <v>1440</v>
      </c>
      <c r="I43" s="16" t="s">
        <v>480</v>
      </c>
    </row>
    <row r="44" spans="1:10" hidden="1" x14ac:dyDescent="0.35">
      <c r="A44" s="16">
        <v>142</v>
      </c>
      <c r="B44" s="16" t="s">
        <v>170</v>
      </c>
      <c r="C44" s="16" t="s">
        <v>645</v>
      </c>
      <c r="D44" s="16" t="s">
        <v>124</v>
      </c>
      <c r="E44" s="16" t="s">
        <v>539</v>
      </c>
      <c r="F44" s="16" t="s">
        <v>135</v>
      </c>
      <c r="G44" s="16" t="s">
        <v>1440</v>
      </c>
      <c r="I44" s="16" t="s">
        <v>481</v>
      </c>
    </row>
    <row r="45" spans="1:10" hidden="1" x14ac:dyDescent="0.35">
      <c r="A45" s="16">
        <v>142</v>
      </c>
      <c r="B45" s="16" t="s">
        <v>1732</v>
      </c>
      <c r="C45" s="16" t="s">
        <v>633</v>
      </c>
      <c r="D45" s="16" t="s">
        <v>124</v>
      </c>
      <c r="E45" s="16" t="s">
        <v>559</v>
      </c>
      <c r="F45" s="16" t="s">
        <v>135</v>
      </c>
      <c r="G45" s="16" t="s">
        <v>1440</v>
      </c>
      <c r="I45" s="16" t="s">
        <v>481</v>
      </c>
    </row>
    <row r="46" spans="1:10" hidden="1" x14ac:dyDescent="0.35">
      <c r="A46" s="16">
        <v>142</v>
      </c>
      <c r="B46" s="16" t="s">
        <v>171</v>
      </c>
      <c r="C46" s="16" t="s">
        <v>633</v>
      </c>
      <c r="D46" s="16" t="s">
        <v>124</v>
      </c>
      <c r="E46" s="16" t="s">
        <v>559</v>
      </c>
      <c r="F46" s="16" t="s">
        <v>135</v>
      </c>
      <c r="G46" s="16" t="s">
        <v>1440</v>
      </c>
      <c r="I46" s="16" t="s">
        <v>480</v>
      </c>
      <c r="J46" s="16" t="s">
        <v>1733</v>
      </c>
    </row>
    <row r="47" spans="1:10" hidden="1" x14ac:dyDescent="0.35">
      <c r="A47" s="16">
        <v>142</v>
      </c>
      <c r="B47" s="16" t="s">
        <v>172</v>
      </c>
      <c r="C47" s="16" t="s">
        <v>646</v>
      </c>
      <c r="D47" s="16" t="s">
        <v>124</v>
      </c>
      <c r="E47" s="16" t="s">
        <v>539</v>
      </c>
      <c r="F47" s="16" t="s">
        <v>135</v>
      </c>
      <c r="G47" s="16" t="s">
        <v>1440</v>
      </c>
      <c r="I47" s="16" t="s">
        <v>480</v>
      </c>
    </row>
    <row r="48" spans="1:10" hidden="1" x14ac:dyDescent="0.35">
      <c r="A48" s="16">
        <v>145</v>
      </c>
      <c r="B48" s="16" t="s">
        <v>173</v>
      </c>
      <c r="C48" s="16" t="s">
        <v>633</v>
      </c>
      <c r="D48" s="16" t="s">
        <v>124</v>
      </c>
      <c r="E48" s="16" t="s">
        <v>559</v>
      </c>
      <c r="F48" s="16" t="s">
        <v>541</v>
      </c>
      <c r="G48" s="16" t="s">
        <v>1441</v>
      </c>
      <c r="I48" s="16" t="s">
        <v>482</v>
      </c>
    </row>
    <row r="49" spans="1:10" hidden="1" x14ac:dyDescent="0.35">
      <c r="A49" s="16">
        <v>145</v>
      </c>
      <c r="B49" s="16" t="s">
        <v>174</v>
      </c>
      <c r="C49" s="16" t="s">
        <v>637</v>
      </c>
      <c r="D49" s="16" t="s">
        <v>124</v>
      </c>
      <c r="E49" s="16" t="s">
        <v>539</v>
      </c>
      <c r="F49" s="16" t="s">
        <v>541</v>
      </c>
      <c r="G49" s="16" t="s">
        <v>1441</v>
      </c>
      <c r="I49" s="16" t="s">
        <v>1330</v>
      </c>
    </row>
    <row r="50" spans="1:10" hidden="1" x14ac:dyDescent="0.35">
      <c r="A50" s="16">
        <v>152</v>
      </c>
      <c r="B50" s="16" t="s">
        <v>177</v>
      </c>
      <c r="C50" s="16" t="s">
        <v>633</v>
      </c>
      <c r="D50" s="16" t="s">
        <v>124</v>
      </c>
      <c r="E50" s="16" t="s">
        <v>1329</v>
      </c>
      <c r="F50" s="16" t="s">
        <v>28</v>
      </c>
      <c r="G50" s="16" t="s">
        <v>175</v>
      </c>
      <c r="H50" s="52"/>
      <c r="I50" s="16" t="s">
        <v>2556</v>
      </c>
      <c r="J50" s="16" t="s">
        <v>1726</v>
      </c>
    </row>
    <row r="51" spans="1:10" hidden="1" x14ac:dyDescent="0.35">
      <c r="A51" s="16">
        <v>152</v>
      </c>
      <c r="B51" s="16" t="s">
        <v>179</v>
      </c>
      <c r="C51" s="16" t="s">
        <v>641</v>
      </c>
      <c r="D51" s="16" t="s">
        <v>124</v>
      </c>
      <c r="E51" s="16" t="s">
        <v>559</v>
      </c>
      <c r="F51" s="16" t="s">
        <v>28</v>
      </c>
      <c r="G51" s="16" t="s">
        <v>175</v>
      </c>
      <c r="H51" s="52"/>
      <c r="I51" s="16" t="s">
        <v>2557</v>
      </c>
    </row>
    <row r="52" spans="1:10" hidden="1" x14ac:dyDescent="0.35">
      <c r="A52" s="16">
        <v>152</v>
      </c>
      <c r="B52" s="16" t="s">
        <v>181</v>
      </c>
      <c r="C52" s="16" t="s">
        <v>633</v>
      </c>
      <c r="D52" s="16" t="s">
        <v>124</v>
      </c>
      <c r="E52" s="16" t="s">
        <v>559</v>
      </c>
      <c r="F52" s="16" t="s">
        <v>28</v>
      </c>
      <c r="G52" s="16" t="s">
        <v>175</v>
      </c>
      <c r="H52" s="52"/>
      <c r="I52" s="16" t="s">
        <v>2558</v>
      </c>
    </row>
    <row r="53" spans="1:10" hidden="1" x14ac:dyDescent="0.35">
      <c r="A53" s="16">
        <v>168</v>
      </c>
      <c r="B53" s="16" t="s">
        <v>134</v>
      </c>
      <c r="C53" s="16" t="s">
        <v>631</v>
      </c>
      <c r="D53" s="16" t="s">
        <v>124</v>
      </c>
      <c r="E53" s="16" t="s">
        <v>1329</v>
      </c>
      <c r="F53" s="16" t="s">
        <v>28</v>
      </c>
      <c r="G53" s="16" t="s">
        <v>1442</v>
      </c>
      <c r="I53" s="16" t="s">
        <v>2555</v>
      </c>
      <c r="J53" s="16" t="s">
        <v>1726</v>
      </c>
    </row>
    <row r="54" spans="1:10" hidden="1" x14ac:dyDescent="0.35">
      <c r="A54" s="16">
        <v>177</v>
      </c>
      <c r="B54" s="16" t="s">
        <v>185</v>
      </c>
      <c r="C54" s="16" t="s">
        <v>637</v>
      </c>
      <c r="D54" s="16" t="s">
        <v>124</v>
      </c>
      <c r="E54" s="16" t="s">
        <v>539</v>
      </c>
      <c r="F54" s="16" t="s">
        <v>541</v>
      </c>
      <c r="G54" s="16" t="s">
        <v>1443</v>
      </c>
      <c r="H54" s="52"/>
      <c r="I54" s="16" t="s">
        <v>184</v>
      </c>
    </row>
    <row r="55" spans="1:10" hidden="1" x14ac:dyDescent="0.35">
      <c r="A55" s="16">
        <v>177</v>
      </c>
      <c r="B55" s="16" t="s">
        <v>173</v>
      </c>
      <c r="C55" s="16" t="s">
        <v>633</v>
      </c>
      <c r="D55" s="16" t="s">
        <v>124</v>
      </c>
      <c r="E55" s="16" t="s">
        <v>559</v>
      </c>
      <c r="F55" s="16" t="s">
        <v>541</v>
      </c>
      <c r="G55" s="16" t="s">
        <v>1443</v>
      </c>
      <c r="H55" s="52"/>
      <c r="I55" s="16" t="s">
        <v>184</v>
      </c>
    </row>
    <row r="56" spans="1:10" hidden="1" x14ac:dyDescent="0.35">
      <c r="A56" s="16">
        <v>177</v>
      </c>
      <c r="B56" s="16" t="s">
        <v>186</v>
      </c>
      <c r="C56" s="16" t="s">
        <v>633</v>
      </c>
      <c r="D56" s="16" t="s">
        <v>124</v>
      </c>
      <c r="E56" s="16" t="s">
        <v>559</v>
      </c>
      <c r="F56" s="16" t="s">
        <v>541</v>
      </c>
      <c r="G56" s="16" t="s">
        <v>1443</v>
      </c>
      <c r="H56" s="52"/>
      <c r="I56" s="16" t="s">
        <v>184</v>
      </c>
    </row>
    <row r="57" spans="1:10" hidden="1" x14ac:dyDescent="0.35">
      <c r="A57" s="16">
        <v>177</v>
      </c>
      <c r="B57" s="16" t="s">
        <v>187</v>
      </c>
      <c r="C57" s="16" t="s">
        <v>633</v>
      </c>
      <c r="D57" s="16" t="s">
        <v>124</v>
      </c>
      <c r="E57" s="16" t="s">
        <v>1126</v>
      </c>
      <c r="F57" s="16" t="s">
        <v>541</v>
      </c>
      <c r="G57" s="16" t="s">
        <v>1443</v>
      </c>
      <c r="H57" s="52"/>
      <c r="I57" s="16" t="s">
        <v>184</v>
      </c>
    </row>
    <row r="58" spans="1:10" hidden="1" x14ac:dyDescent="0.35">
      <c r="A58" s="16">
        <v>177</v>
      </c>
      <c r="B58" s="16" t="s">
        <v>188</v>
      </c>
      <c r="C58" s="16" t="s">
        <v>633</v>
      </c>
      <c r="D58" s="16" t="s">
        <v>124</v>
      </c>
      <c r="E58" s="16" t="s">
        <v>1126</v>
      </c>
      <c r="F58" s="16" t="s">
        <v>541</v>
      </c>
      <c r="G58" s="16" t="s">
        <v>1443</v>
      </c>
      <c r="H58" s="52"/>
      <c r="I58" s="16" t="s">
        <v>184</v>
      </c>
    </row>
    <row r="59" spans="1:10" hidden="1" x14ac:dyDescent="0.35">
      <c r="A59" s="16">
        <v>177</v>
      </c>
      <c r="B59" s="16" t="s">
        <v>1734</v>
      </c>
      <c r="C59" s="16" t="s">
        <v>633</v>
      </c>
      <c r="D59" s="16" t="s">
        <v>124</v>
      </c>
      <c r="E59" s="16" t="s">
        <v>538</v>
      </c>
      <c r="F59" s="16" t="s">
        <v>541</v>
      </c>
      <c r="G59" s="16" t="s">
        <v>1443</v>
      </c>
      <c r="H59" s="52"/>
      <c r="I59" s="16" t="s">
        <v>184</v>
      </c>
    </row>
    <row r="60" spans="1:10" hidden="1" x14ac:dyDescent="0.35">
      <c r="A60" s="16">
        <v>177</v>
      </c>
      <c r="B60" s="16" t="s">
        <v>1735</v>
      </c>
      <c r="C60" s="16" t="s">
        <v>1736</v>
      </c>
      <c r="D60" s="16" t="s">
        <v>124</v>
      </c>
      <c r="E60" s="16" t="s">
        <v>538</v>
      </c>
      <c r="F60" s="16" t="s">
        <v>541</v>
      </c>
      <c r="G60" s="16" t="s">
        <v>1443</v>
      </c>
      <c r="H60" s="52"/>
      <c r="I60" s="16" t="s">
        <v>184</v>
      </c>
      <c r="J60" s="16" t="s">
        <v>1737</v>
      </c>
    </row>
    <row r="61" spans="1:10" hidden="1" x14ac:dyDescent="0.35">
      <c r="A61" s="16">
        <v>187</v>
      </c>
      <c r="B61" s="16" t="s">
        <v>189</v>
      </c>
      <c r="C61" s="16" t="s">
        <v>647</v>
      </c>
      <c r="D61" s="16" t="s">
        <v>130</v>
      </c>
      <c r="E61" s="16" t="s">
        <v>1021</v>
      </c>
      <c r="F61" s="16" t="s">
        <v>135</v>
      </c>
      <c r="G61" s="16" t="s">
        <v>1444</v>
      </c>
      <c r="H61" s="52"/>
      <c r="I61" s="16" t="s">
        <v>483</v>
      </c>
    </row>
    <row r="62" spans="1:10" hidden="1" x14ac:dyDescent="0.35">
      <c r="A62" s="16">
        <v>187</v>
      </c>
      <c r="B62" s="16" t="s">
        <v>136</v>
      </c>
      <c r="C62" s="16" t="s">
        <v>648</v>
      </c>
      <c r="D62" s="16" t="s">
        <v>130</v>
      </c>
      <c r="E62" s="16" t="s">
        <v>1021</v>
      </c>
      <c r="F62" s="16" t="s">
        <v>135</v>
      </c>
      <c r="G62" s="16" t="s">
        <v>1444</v>
      </c>
      <c r="H62" s="52"/>
      <c r="I62" s="16" t="s">
        <v>483</v>
      </c>
    </row>
    <row r="63" spans="1:10" hidden="1" x14ac:dyDescent="0.35">
      <c r="A63" s="16">
        <v>190</v>
      </c>
      <c r="B63" s="16" t="s">
        <v>134</v>
      </c>
      <c r="C63" s="16" t="s">
        <v>631</v>
      </c>
      <c r="D63" s="16" t="s">
        <v>124</v>
      </c>
      <c r="E63" s="16" t="s">
        <v>1329</v>
      </c>
      <c r="F63" s="16" t="s">
        <v>28</v>
      </c>
      <c r="G63" s="16" t="s">
        <v>54</v>
      </c>
      <c r="H63" s="52"/>
      <c r="I63" s="16" t="s">
        <v>190</v>
      </c>
      <c r="J63" s="16" t="s">
        <v>1726</v>
      </c>
    </row>
    <row r="64" spans="1:10" hidden="1" x14ac:dyDescent="0.35">
      <c r="A64" s="16">
        <v>200</v>
      </c>
      <c r="B64" s="16" t="s">
        <v>186</v>
      </c>
      <c r="C64" s="16" t="s">
        <v>633</v>
      </c>
      <c r="D64" s="16" t="s">
        <v>124</v>
      </c>
      <c r="E64" s="16" t="s">
        <v>559</v>
      </c>
      <c r="F64" s="16" t="s">
        <v>135</v>
      </c>
      <c r="G64" s="16" t="s">
        <v>1445</v>
      </c>
      <c r="H64" s="52"/>
      <c r="I64" s="16" t="s">
        <v>484</v>
      </c>
    </row>
    <row r="65" spans="1:10" hidden="1" x14ac:dyDescent="0.35">
      <c r="A65" s="16">
        <v>200</v>
      </c>
      <c r="B65" s="16" t="s">
        <v>187</v>
      </c>
      <c r="C65" s="16" t="s">
        <v>633</v>
      </c>
      <c r="D65" s="16" t="s">
        <v>124</v>
      </c>
      <c r="E65" s="16" t="s">
        <v>1126</v>
      </c>
      <c r="F65" s="16" t="s">
        <v>135</v>
      </c>
      <c r="G65" s="16" t="s">
        <v>1445</v>
      </c>
      <c r="H65" s="52"/>
      <c r="I65" s="16" t="s">
        <v>484</v>
      </c>
    </row>
    <row r="66" spans="1:10" hidden="1" x14ac:dyDescent="0.35">
      <c r="A66" s="16">
        <v>200</v>
      </c>
      <c r="B66" s="16" t="s">
        <v>191</v>
      </c>
      <c r="C66" s="16" t="s">
        <v>626</v>
      </c>
      <c r="D66" s="16" t="s">
        <v>124</v>
      </c>
      <c r="E66" s="16" t="s">
        <v>559</v>
      </c>
      <c r="F66" s="16" t="s">
        <v>135</v>
      </c>
      <c r="G66" s="16" t="s">
        <v>1445</v>
      </c>
      <c r="H66" s="52"/>
      <c r="I66" s="16" t="s">
        <v>484</v>
      </c>
    </row>
    <row r="67" spans="1:10" hidden="1" x14ac:dyDescent="0.35">
      <c r="A67" s="16">
        <v>200</v>
      </c>
      <c r="B67" s="16" t="s">
        <v>192</v>
      </c>
      <c r="C67" s="16" t="s">
        <v>649</v>
      </c>
      <c r="D67" s="16" t="s">
        <v>124</v>
      </c>
      <c r="E67" s="16" t="s">
        <v>536</v>
      </c>
      <c r="F67" s="16" t="s">
        <v>135</v>
      </c>
      <c r="G67" s="16" t="s">
        <v>1445</v>
      </c>
      <c r="H67" s="52"/>
      <c r="I67" s="16" t="s">
        <v>484</v>
      </c>
    </row>
    <row r="68" spans="1:10" hidden="1" x14ac:dyDescent="0.35">
      <c r="A68" s="16">
        <v>200</v>
      </c>
      <c r="B68" s="16" t="s">
        <v>193</v>
      </c>
      <c r="C68" s="16" t="s">
        <v>633</v>
      </c>
      <c r="D68" s="16" t="s">
        <v>124</v>
      </c>
      <c r="E68" s="16" t="s">
        <v>536</v>
      </c>
      <c r="F68" s="16" t="s">
        <v>135</v>
      </c>
      <c r="G68" s="16" t="s">
        <v>1445</v>
      </c>
      <c r="H68" s="52"/>
      <c r="I68" s="16" t="s">
        <v>484</v>
      </c>
    </row>
    <row r="69" spans="1:10" hidden="1" x14ac:dyDescent="0.35">
      <c r="A69" s="16">
        <v>200</v>
      </c>
      <c r="B69" s="16" t="s">
        <v>1738</v>
      </c>
      <c r="C69" s="16" t="s">
        <v>633</v>
      </c>
      <c r="D69" s="16" t="s">
        <v>124</v>
      </c>
      <c r="E69" s="16" t="s">
        <v>559</v>
      </c>
      <c r="F69" s="16" t="s">
        <v>135</v>
      </c>
      <c r="G69" s="16" t="s">
        <v>1445</v>
      </c>
      <c r="H69" s="52"/>
      <c r="I69" s="16" t="s">
        <v>484</v>
      </c>
    </row>
    <row r="70" spans="1:10" hidden="1" x14ac:dyDescent="0.35">
      <c r="A70" s="16">
        <v>200</v>
      </c>
      <c r="B70" s="16" t="s">
        <v>194</v>
      </c>
      <c r="C70" s="16" t="s">
        <v>629</v>
      </c>
      <c r="D70" s="16" t="s">
        <v>124</v>
      </c>
      <c r="E70" s="16" t="s">
        <v>1126</v>
      </c>
      <c r="F70" s="16" t="s">
        <v>135</v>
      </c>
      <c r="G70" s="16" t="s">
        <v>1445</v>
      </c>
      <c r="H70" s="52"/>
      <c r="I70" s="16" t="s">
        <v>485</v>
      </c>
    </row>
    <row r="71" spans="1:10" hidden="1" x14ac:dyDescent="0.35">
      <c r="A71" s="16">
        <v>208</v>
      </c>
      <c r="B71" s="16" t="s">
        <v>173</v>
      </c>
      <c r="C71" s="16" t="s">
        <v>633</v>
      </c>
      <c r="D71" s="16" t="s">
        <v>124</v>
      </c>
      <c r="E71" s="16" t="s">
        <v>559</v>
      </c>
      <c r="F71" s="16" t="s">
        <v>135</v>
      </c>
      <c r="G71" s="16" t="s">
        <v>1446</v>
      </c>
      <c r="H71" s="52"/>
      <c r="I71" s="16" t="s">
        <v>486</v>
      </c>
    </row>
    <row r="72" spans="1:10" hidden="1" x14ac:dyDescent="0.35">
      <c r="A72" s="16">
        <v>208</v>
      </c>
      <c r="B72" s="16" t="s">
        <v>195</v>
      </c>
      <c r="C72" s="16" t="s">
        <v>633</v>
      </c>
      <c r="D72" s="16" t="s">
        <v>124</v>
      </c>
      <c r="E72" s="16" t="s">
        <v>539</v>
      </c>
      <c r="F72" s="16" t="s">
        <v>135</v>
      </c>
      <c r="G72" s="16" t="s">
        <v>1446</v>
      </c>
      <c r="H72" s="52"/>
      <c r="I72" s="16" t="s">
        <v>486</v>
      </c>
    </row>
    <row r="73" spans="1:10" hidden="1" x14ac:dyDescent="0.35">
      <c r="A73" s="16">
        <v>208</v>
      </c>
      <c r="B73" s="16" t="s">
        <v>185</v>
      </c>
      <c r="C73" s="16" t="s">
        <v>637</v>
      </c>
      <c r="D73" s="16" t="s">
        <v>124</v>
      </c>
      <c r="E73" s="16" t="s">
        <v>539</v>
      </c>
      <c r="F73" s="16" t="s">
        <v>135</v>
      </c>
      <c r="G73" s="16" t="s">
        <v>1446</v>
      </c>
      <c r="H73" s="52"/>
      <c r="I73" s="16" t="s">
        <v>486</v>
      </c>
    </row>
    <row r="74" spans="1:10" hidden="1" x14ac:dyDescent="0.35">
      <c r="A74" s="16">
        <v>208</v>
      </c>
      <c r="B74" s="16" t="s">
        <v>167</v>
      </c>
      <c r="C74" s="16" t="s">
        <v>650</v>
      </c>
      <c r="D74" s="16" t="s">
        <v>124</v>
      </c>
      <c r="E74" s="16" t="s">
        <v>539</v>
      </c>
      <c r="F74" s="16" t="s">
        <v>135</v>
      </c>
      <c r="G74" s="16" t="s">
        <v>1446</v>
      </c>
      <c r="H74" s="52"/>
      <c r="I74" s="16" t="s">
        <v>486</v>
      </c>
    </row>
    <row r="75" spans="1:10" hidden="1" x14ac:dyDescent="0.35">
      <c r="A75" s="16">
        <v>208</v>
      </c>
      <c r="B75" s="16" t="s">
        <v>196</v>
      </c>
      <c r="C75" s="16" t="s">
        <v>629</v>
      </c>
      <c r="D75" s="16" t="s">
        <v>124</v>
      </c>
      <c r="E75" s="16" t="s">
        <v>539</v>
      </c>
      <c r="F75" s="16" t="s">
        <v>135</v>
      </c>
      <c r="G75" s="16" t="s">
        <v>1446</v>
      </c>
      <c r="H75" s="52"/>
      <c r="I75" s="16" t="s">
        <v>486</v>
      </c>
    </row>
    <row r="76" spans="1:10" hidden="1" x14ac:dyDescent="0.35">
      <c r="A76" s="16">
        <v>209</v>
      </c>
      <c r="B76" s="16" t="s">
        <v>199</v>
      </c>
      <c r="C76" s="16" t="s">
        <v>637</v>
      </c>
      <c r="D76" s="16" t="s">
        <v>198</v>
      </c>
      <c r="E76" s="16" t="s">
        <v>539</v>
      </c>
      <c r="F76" s="16" t="s">
        <v>141</v>
      </c>
      <c r="G76" s="16" t="s">
        <v>1447</v>
      </c>
      <c r="H76" s="52"/>
      <c r="I76" s="16" t="s">
        <v>197</v>
      </c>
    </row>
    <row r="77" spans="1:10" hidden="1" x14ac:dyDescent="0.35">
      <c r="A77" s="16">
        <v>209</v>
      </c>
      <c r="B77" s="16" t="s">
        <v>200</v>
      </c>
      <c r="C77" s="16" t="s">
        <v>629</v>
      </c>
      <c r="D77" s="16" t="s">
        <v>198</v>
      </c>
      <c r="E77" s="16" t="s">
        <v>539</v>
      </c>
      <c r="F77" s="16" t="s">
        <v>141</v>
      </c>
      <c r="G77" s="16" t="s">
        <v>1447</v>
      </c>
      <c r="H77" s="52"/>
      <c r="I77" s="16" t="s">
        <v>197</v>
      </c>
    </row>
    <row r="78" spans="1:10" hidden="1" x14ac:dyDescent="0.35">
      <c r="A78" s="16">
        <v>209</v>
      </c>
      <c r="B78" s="16" t="s">
        <v>201</v>
      </c>
      <c r="C78" s="16" t="s">
        <v>651</v>
      </c>
      <c r="D78" s="16" t="s">
        <v>198</v>
      </c>
      <c r="E78" s="16" t="s">
        <v>1022</v>
      </c>
      <c r="F78" s="16" t="s">
        <v>141</v>
      </c>
      <c r="G78" s="16" t="s">
        <v>1447</v>
      </c>
      <c r="H78" s="52"/>
      <c r="I78" s="16" t="s">
        <v>487</v>
      </c>
    </row>
    <row r="79" spans="1:10" hidden="1" x14ac:dyDescent="0.35">
      <c r="A79" s="16">
        <v>215</v>
      </c>
      <c r="B79" s="16" t="s">
        <v>202</v>
      </c>
      <c r="C79" s="16" t="s">
        <v>629</v>
      </c>
      <c r="D79" s="16" t="s">
        <v>124</v>
      </c>
      <c r="E79" s="16" t="s">
        <v>1126</v>
      </c>
      <c r="F79" s="16" t="s">
        <v>122</v>
      </c>
      <c r="G79" s="16" t="s">
        <v>1448</v>
      </c>
      <c r="H79" s="52"/>
      <c r="I79" s="16" t="s">
        <v>488</v>
      </c>
    </row>
    <row r="80" spans="1:10" hidden="1" x14ac:dyDescent="0.35">
      <c r="A80" s="16">
        <v>222</v>
      </c>
      <c r="B80" s="16" t="s">
        <v>203</v>
      </c>
      <c r="C80" s="16" t="s">
        <v>629</v>
      </c>
      <c r="D80" s="16" t="s">
        <v>124</v>
      </c>
      <c r="E80" s="16" t="s">
        <v>1329</v>
      </c>
      <c r="F80" s="16" t="s">
        <v>28</v>
      </c>
      <c r="G80" s="16" t="s">
        <v>1449</v>
      </c>
      <c r="H80" s="52"/>
      <c r="I80" s="16" t="s">
        <v>489</v>
      </c>
      <c r="J80" s="16" t="s">
        <v>1726</v>
      </c>
    </row>
    <row r="81" spans="1:10" hidden="1" x14ac:dyDescent="0.35">
      <c r="A81" s="16">
        <v>222</v>
      </c>
      <c r="B81" s="16" t="s">
        <v>204</v>
      </c>
      <c r="C81" s="16" t="s">
        <v>629</v>
      </c>
      <c r="D81" s="16" t="s">
        <v>124</v>
      </c>
      <c r="E81" s="16" t="s">
        <v>1329</v>
      </c>
      <c r="F81" s="16" t="s">
        <v>28</v>
      </c>
      <c r="G81" s="16" t="s">
        <v>1449</v>
      </c>
      <c r="H81" s="52"/>
      <c r="I81" s="16" t="s">
        <v>490</v>
      </c>
      <c r="J81" s="16" t="s">
        <v>1726</v>
      </c>
    </row>
    <row r="82" spans="1:10" hidden="1" x14ac:dyDescent="0.35">
      <c r="A82" s="16">
        <v>240</v>
      </c>
      <c r="B82" s="16" t="s">
        <v>206</v>
      </c>
      <c r="C82" s="16" t="s">
        <v>652</v>
      </c>
      <c r="D82" s="16" t="s">
        <v>124</v>
      </c>
      <c r="E82" s="16" t="s">
        <v>559</v>
      </c>
      <c r="F82" s="16" t="s">
        <v>205</v>
      </c>
      <c r="G82" s="16" t="s">
        <v>1450</v>
      </c>
      <c r="H82" s="52"/>
      <c r="I82" s="16" t="s">
        <v>1739</v>
      </c>
    </row>
    <row r="83" spans="1:10" hidden="1" x14ac:dyDescent="0.35">
      <c r="A83" s="16">
        <v>240</v>
      </c>
      <c r="B83" s="16" t="s">
        <v>207</v>
      </c>
      <c r="C83" s="16" t="s">
        <v>629</v>
      </c>
      <c r="D83" s="16" t="s">
        <v>124</v>
      </c>
      <c r="E83" s="16" t="s">
        <v>559</v>
      </c>
      <c r="F83" s="16" t="s">
        <v>205</v>
      </c>
      <c r="G83" s="16" t="s">
        <v>1450</v>
      </c>
      <c r="H83" s="52"/>
      <c r="I83" s="16" t="s">
        <v>1739</v>
      </c>
    </row>
    <row r="84" spans="1:10" hidden="1" x14ac:dyDescent="0.35">
      <c r="A84" s="16">
        <v>240</v>
      </c>
      <c r="B84" s="16" t="s">
        <v>208</v>
      </c>
      <c r="C84" s="16" t="s">
        <v>653</v>
      </c>
      <c r="D84" s="16" t="s">
        <v>124</v>
      </c>
      <c r="E84" s="16" t="s">
        <v>1118</v>
      </c>
      <c r="F84" s="16" t="s">
        <v>205</v>
      </c>
      <c r="G84" s="16" t="s">
        <v>1450</v>
      </c>
      <c r="H84" s="52"/>
      <c r="I84" s="16" t="s">
        <v>1330</v>
      </c>
    </row>
    <row r="85" spans="1:10" hidden="1" x14ac:dyDescent="0.35">
      <c r="A85" s="16">
        <v>240</v>
      </c>
      <c r="B85" s="16" t="s">
        <v>209</v>
      </c>
      <c r="C85" s="16" t="s">
        <v>653</v>
      </c>
      <c r="D85" s="16" t="s">
        <v>124</v>
      </c>
      <c r="E85" s="16" t="s">
        <v>1118</v>
      </c>
      <c r="F85" s="16" t="s">
        <v>205</v>
      </c>
      <c r="G85" s="16" t="s">
        <v>1450</v>
      </c>
      <c r="H85" s="52"/>
      <c r="I85" s="16" t="s">
        <v>1330</v>
      </c>
    </row>
    <row r="86" spans="1:10" hidden="1" x14ac:dyDescent="0.35">
      <c r="A86" s="16">
        <v>240</v>
      </c>
      <c r="B86" s="16" t="s">
        <v>210</v>
      </c>
      <c r="C86" s="16" t="s">
        <v>654</v>
      </c>
      <c r="D86" s="16" t="s">
        <v>124</v>
      </c>
      <c r="E86" s="16" t="s">
        <v>559</v>
      </c>
      <c r="F86" s="16" t="s">
        <v>205</v>
      </c>
      <c r="G86" s="16" t="s">
        <v>1450</v>
      </c>
      <c r="H86" s="52"/>
      <c r="I86" s="16" t="s">
        <v>1330</v>
      </c>
    </row>
    <row r="87" spans="1:10" hidden="1" x14ac:dyDescent="0.35">
      <c r="A87" s="16">
        <v>245</v>
      </c>
      <c r="B87" s="16" t="s">
        <v>202</v>
      </c>
      <c r="C87" s="16" t="s">
        <v>633</v>
      </c>
      <c r="D87" s="16" t="s">
        <v>124</v>
      </c>
      <c r="E87" s="16" t="s">
        <v>1126</v>
      </c>
      <c r="F87" s="16" t="s">
        <v>544</v>
      </c>
      <c r="G87" s="16" t="s">
        <v>1451</v>
      </c>
      <c r="H87" s="52"/>
      <c r="I87" s="16" t="s">
        <v>491</v>
      </c>
    </row>
    <row r="88" spans="1:10" hidden="1" x14ac:dyDescent="0.35">
      <c r="A88" s="16">
        <v>245</v>
      </c>
      <c r="B88" s="16" t="s">
        <v>211</v>
      </c>
      <c r="C88" s="16" t="s">
        <v>626</v>
      </c>
      <c r="D88" s="16" t="s">
        <v>124</v>
      </c>
      <c r="E88" s="16" t="s">
        <v>559</v>
      </c>
      <c r="F88" s="16" t="s">
        <v>544</v>
      </c>
      <c r="G88" s="16" t="s">
        <v>1451</v>
      </c>
      <c r="H88" s="52"/>
      <c r="I88" s="16" t="s">
        <v>491</v>
      </c>
    </row>
    <row r="89" spans="1:10" hidden="1" x14ac:dyDescent="0.35">
      <c r="A89" s="16">
        <v>245</v>
      </c>
      <c r="B89" s="16" t="s">
        <v>212</v>
      </c>
      <c r="C89" s="16" t="s">
        <v>626</v>
      </c>
      <c r="D89" s="16" t="s">
        <v>124</v>
      </c>
      <c r="E89" s="16" t="s">
        <v>559</v>
      </c>
      <c r="F89" s="16" t="s">
        <v>544</v>
      </c>
      <c r="G89" s="16" t="s">
        <v>1451</v>
      </c>
      <c r="H89" s="52"/>
      <c r="I89" s="16" t="s">
        <v>491</v>
      </c>
    </row>
    <row r="90" spans="1:10" hidden="1" x14ac:dyDescent="0.35">
      <c r="A90" s="16">
        <v>266</v>
      </c>
      <c r="B90" s="16" t="s">
        <v>213</v>
      </c>
      <c r="C90" s="16" t="s">
        <v>649</v>
      </c>
      <c r="D90" s="16" t="s">
        <v>124</v>
      </c>
      <c r="E90" s="16" t="s">
        <v>536</v>
      </c>
      <c r="F90" s="16" t="s">
        <v>545</v>
      </c>
      <c r="G90" s="16" t="s">
        <v>70</v>
      </c>
      <c r="H90" s="52"/>
      <c r="I90" s="16" t="s">
        <v>492</v>
      </c>
    </row>
    <row r="91" spans="1:10" hidden="1" x14ac:dyDescent="0.35">
      <c r="A91" s="16">
        <v>270</v>
      </c>
      <c r="B91" s="16" t="s">
        <v>214</v>
      </c>
      <c r="C91" s="16" t="s">
        <v>655</v>
      </c>
      <c r="D91" s="16" t="s">
        <v>124</v>
      </c>
      <c r="E91" s="16" t="s">
        <v>536</v>
      </c>
      <c r="F91" s="16" t="s">
        <v>546</v>
      </c>
      <c r="G91" s="16" t="s">
        <v>107</v>
      </c>
      <c r="H91" s="52"/>
      <c r="I91" s="16" t="s">
        <v>157</v>
      </c>
    </row>
    <row r="92" spans="1:10" hidden="1" x14ac:dyDescent="0.35">
      <c r="A92" s="16">
        <v>270</v>
      </c>
      <c r="B92" s="16" t="s">
        <v>215</v>
      </c>
      <c r="C92" s="16" t="s">
        <v>626</v>
      </c>
      <c r="D92" s="16" t="s">
        <v>124</v>
      </c>
      <c r="E92" s="16" t="s">
        <v>559</v>
      </c>
      <c r="F92" s="16" t="s">
        <v>546</v>
      </c>
      <c r="G92" s="16" t="s">
        <v>107</v>
      </c>
      <c r="H92" s="52"/>
      <c r="I92" s="16" t="s">
        <v>157</v>
      </c>
    </row>
    <row r="93" spans="1:10" hidden="1" x14ac:dyDescent="0.35">
      <c r="A93" s="16">
        <v>270</v>
      </c>
      <c r="B93" s="16" t="s">
        <v>216</v>
      </c>
      <c r="C93" s="16" t="s">
        <v>656</v>
      </c>
      <c r="D93" s="16" t="s">
        <v>124</v>
      </c>
      <c r="E93" s="16" t="s">
        <v>559</v>
      </c>
      <c r="F93" s="16" t="s">
        <v>546</v>
      </c>
      <c r="G93" s="16" t="s">
        <v>107</v>
      </c>
      <c r="H93" s="52"/>
      <c r="I93" s="16" t="s">
        <v>157</v>
      </c>
    </row>
    <row r="94" spans="1:10" hidden="1" x14ac:dyDescent="0.35">
      <c r="A94" s="16">
        <v>270</v>
      </c>
      <c r="B94" s="16" t="s">
        <v>217</v>
      </c>
      <c r="C94" s="16" t="s">
        <v>656</v>
      </c>
      <c r="D94" s="16" t="s">
        <v>124</v>
      </c>
      <c r="E94" s="16" t="s">
        <v>559</v>
      </c>
      <c r="F94" s="16" t="s">
        <v>546</v>
      </c>
      <c r="G94" s="16" t="s">
        <v>107</v>
      </c>
      <c r="H94" s="52"/>
      <c r="I94" s="16" t="s">
        <v>157</v>
      </c>
    </row>
    <row r="95" spans="1:10" hidden="1" x14ac:dyDescent="0.35">
      <c r="A95" s="16">
        <v>270</v>
      </c>
      <c r="B95" s="16" t="s">
        <v>218</v>
      </c>
      <c r="C95" s="16" t="s">
        <v>657</v>
      </c>
      <c r="D95" s="16" t="s">
        <v>124</v>
      </c>
      <c r="E95" s="16" t="s">
        <v>536</v>
      </c>
      <c r="F95" s="16" t="s">
        <v>546</v>
      </c>
      <c r="G95" s="16" t="s">
        <v>107</v>
      </c>
      <c r="H95" s="52"/>
      <c r="I95" s="16" t="s">
        <v>1330</v>
      </c>
    </row>
    <row r="96" spans="1:10" hidden="1" x14ac:dyDescent="0.35">
      <c r="A96" s="16">
        <v>271</v>
      </c>
      <c r="B96" s="16" t="s">
        <v>219</v>
      </c>
      <c r="C96" s="16" t="s">
        <v>633</v>
      </c>
      <c r="D96" s="16" t="s">
        <v>124</v>
      </c>
      <c r="E96" s="16" t="s">
        <v>536</v>
      </c>
      <c r="F96" s="16" t="s">
        <v>135</v>
      </c>
      <c r="G96" s="16">
        <v>2003</v>
      </c>
      <c r="H96" s="52" t="s">
        <v>403</v>
      </c>
      <c r="I96" s="16" t="s">
        <v>493</v>
      </c>
    </row>
    <row r="97" spans="1:10" hidden="1" x14ac:dyDescent="0.35">
      <c r="A97" s="16">
        <v>271</v>
      </c>
      <c r="B97" s="16" t="s">
        <v>220</v>
      </c>
      <c r="C97" s="16" t="s">
        <v>658</v>
      </c>
      <c r="D97" s="16" t="s">
        <v>124</v>
      </c>
      <c r="E97" s="16" t="s">
        <v>536</v>
      </c>
      <c r="F97" s="16" t="s">
        <v>135</v>
      </c>
      <c r="G97" s="16" t="s">
        <v>59</v>
      </c>
      <c r="H97" s="52" t="s">
        <v>403</v>
      </c>
      <c r="I97" s="16" t="s">
        <v>493</v>
      </c>
    </row>
    <row r="98" spans="1:10" hidden="1" x14ac:dyDescent="0.35">
      <c r="A98" s="16">
        <v>271</v>
      </c>
      <c r="B98" s="16" t="s">
        <v>221</v>
      </c>
      <c r="C98" s="16" t="s">
        <v>658</v>
      </c>
      <c r="D98" s="16" t="s">
        <v>124</v>
      </c>
      <c r="E98" s="16" t="s">
        <v>536</v>
      </c>
      <c r="F98" s="16" t="s">
        <v>135</v>
      </c>
      <c r="G98" s="16" t="s">
        <v>59</v>
      </c>
      <c r="H98" s="52" t="s">
        <v>403</v>
      </c>
      <c r="I98" s="16" t="s">
        <v>493</v>
      </c>
    </row>
    <row r="99" spans="1:10" hidden="1" x14ac:dyDescent="0.35">
      <c r="A99" s="16">
        <v>271</v>
      </c>
      <c r="B99" s="16" t="s">
        <v>222</v>
      </c>
      <c r="C99" s="16" t="s">
        <v>658</v>
      </c>
      <c r="D99" s="16" t="s">
        <v>124</v>
      </c>
      <c r="E99" s="16" t="s">
        <v>536</v>
      </c>
      <c r="F99" s="16" t="s">
        <v>135</v>
      </c>
      <c r="G99" s="16" t="s">
        <v>59</v>
      </c>
      <c r="H99" s="52" t="s">
        <v>403</v>
      </c>
      <c r="I99" s="16" t="s">
        <v>493</v>
      </c>
    </row>
    <row r="100" spans="1:10" hidden="1" x14ac:dyDescent="0.35">
      <c r="A100" s="16">
        <v>271</v>
      </c>
      <c r="B100" s="16" t="s">
        <v>223</v>
      </c>
      <c r="C100" s="16" t="s">
        <v>658</v>
      </c>
      <c r="D100" s="16" t="s">
        <v>124</v>
      </c>
      <c r="E100" s="16" t="s">
        <v>536</v>
      </c>
      <c r="F100" s="16" t="s">
        <v>135</v>
      </c>
      <c r="G100" s="16" t="s">
        <v>59</v>
      </c>
      <c r="H100" s="52" t="s">
        <v>403</v>
      </c>
      <c r="I100" s="16" t="s">
        <v>493</v>
      </c>
    </row>
    <row r="101" spans="1:10" hidden="1" x14ac:dyDescent="0.35">
      <c r="A101" s="16">
        <v>280</v>
      </c>
      <c r="B101" s="16" t="s">
        <v>224</v>
      </c>
      <c r="C101" s="16" t="s">
        <v>659</v>
      </c>
      <c r="D101" s="16" t="s">
        <v>124</v>
      </c>
      <c r="E101" s="16" t="s">
        <v>536</v>
      </c>
      <c r="F101" s="16" t="s">
        <v>135</v>
      </c>
      <c r="G101" s="16" t="s">
        <v>1452</v>
      </c>
      <c r="I101" s="16" t="s">
        <v>494</v>
      </c>
    </row>
    <row r="102" spans="1:10" hidden="1" x14ac:dyDescent="0.35">
      <c r="A102" s="16">
        <v>282</v>
      </c>
      <c r="B102" s="16" t="s">
        <v>202</v>
      </c>
      <c r="C102" s="16" t="s">
        <v>633</v>
      </c>
      <c r="D102" s="16" t="s">
        <v>124</v>
      </c>
      <c r="E102" s="16" t="s">
        <v>1126</v>
      </c>
      <c r="F102" s="16" t="s">
        <v>135</v>
      </c>
      <c r="G102" s="16" t="s">
        <v>1451</v>
      </c>
      <c r="I102" s="16" t="s">
        <v>1330</v>
      </c>
    </row>
    <row r="103" spans="1:10" hidden="1" x14ac:dyDescent="0.35">
      <c r="A103" s="16">
        <v>282</v>
      </c>
      <c r="B103" s="16" t="s">
        <v>225</v>
      </c>
      <c r="C103" s="16" t="s">
        <v>633</v>
      </c>
      <c r="D103" s="16" t="s">
        <v>124</v>
      </c>
      <c r="E103" s="16" t="s">
        <v>1126</v>
      </c>
      <c r="F103" s="16" t="s">
        <v>135</v>
      </c>
      <c r="G103" s="16" t="s">
        <v>1451</v>
      </c>
      <c r="I103" s="16" t="s">
        <v>1330</v>
      </c>
    </row>
    <row r="104" spans="1:10" hidden="1" x14ac:dyDescent="0.35">
      <c r="A104" s="16">
        <v>282</v>
      </c>
      <c r="B104" s="16" t="s">
        <v>226</v>
      </c>
      <c r="C104" s="16" t="s">
        <v>633</v>
      </c>
      <c r="D104" s="16" t="s">
        <v>124</v>
      </c>
      <c r="E104" s="16" t="s">
        <v>1126</v>
      </c>
      <c r="F104" s="16" t="s">
        <v>135</v>
      </c>
      <c r="G104" s="16" t="s">
        <v>1451</v>
      </c>
      <c r="I104" s="16" t="s">
        <v>30</v>
      </c>
    </row>
    <row r="105" spans="1:10" hidden="1" x14ac:dyDescent="0.35">
      <c r="A105" s="16">
        <v>287</v>
      </c>
      <c r="B105" s="16" t="s">
        <v>211</v>
      </c>
      <c r="C105" s="16" t="s">
        <v>626</v>
      </c>
      <c r="D105" s="16" t="s">
        <v>124</v>
      </c>
      <c r="E105" s="16" t="s">
        <v>559</v>
      </c>
      <c r="F105" s="16" t="s">
        <v>141</v>
      </c>
      <c r="G105" s="16" t="s">
        <v>1453</v>
      </c>
      <c r="I105" s="16" t="s">
        <v>227</v>
      </c>
    </row>
    <row r="106" spans="1:10" hidden="1" x14ac:dyDescent="0.35">
      <c r="A106" s="16">
        <v>287</v>
      </c>
      <c r="B106" s="16" t="s">
        <v>173</v>
      </c>
      <c r="C106" s="16" t="s">
        <v>633</v>
      </c>
      <c r="D106" s="16" t="s">
        <v>124</v>
      </c>
      <c r="E106" s="16" t="s">
        <v>559</v>
      </c>
      <c r="F106" s="16" t="s">
        <v>141</v>
      </c>
      <c r="G106" s="16" t="s">
        <v>1453</v>
      </c>
      <c r="I106" s="16" t="s">
        <v>227</v>
      </c>
    </row>
    <row r="107" spans="1:10" hidden="1" x14ac:dyDescent="0.35">
      <c r="A107" s="16">
        <v>287</v>
      </c>
      <c r="B107" s="16" t="s">
        <v>228</v>
      </c>
      <c r="C107" s="16" t="s">
        <v>660</v>
      </c>
      <c r="D107" s="16" t="s">
        <v>130</v>
      </c>
      <c r="E107" s="16" t="s">
        <v>1126</v>
      </c>
      <c r="F107" s="16" t="s">
        <v>141</v>
      </c>
      <c r="G107" s="16" t="s">
        <v>1453</v>
      </c>
      <c r="I107" s="16" t="s">
        <v>227</v>
      </c>
    </row>
    <row r="108" spans="1:10" hidden="1" x14ac:dyDescent="0.35">
      <c r="A108" s="16">
        <v>287</v>
      </c>
      <c r="B108" s="16" t="s">
        <v>229</v>
      </c>
      <c r="C108" s="16" t="s">
        <v>661</v>
      </c>
      <c r="D108" s="16" t="s">
        <v>130</v>
      </c>
      <c r="E108" s="16" t="s">
        <v>809</v>
      </c>
      <c r="F108" s="16" t="s">
        <v>141</v>
      </c>
      <c r="G108" s="16" t="s">
        <v>1453</v>
      </c>
      <c r="I108" s="16" t="s">
        <v>227</v>
      </c>
    </row>
    <row r="109" spans="1:10" hidden="1" x14ac:dyDescent="0.35">
      <c r="A109" s="16">
        <v>289</v>
      </c>
      <c r="B109" s="16" t="s">
        <v>231</v>
      </c>
      <c r="C109" s="16" t="s">
        <v>633</v>
      </c>
      <c r="D109" s="16" t="s">
        <v>124</v>
      </c>
      <c r="E109" s="16" t="s">
        <v>538</v>
      </c>
      <c r="F109" s="16" t="s">
        <v>135</v>
      </c>
      <c r="G109" s="16">
        <v>2001</v>
      </c>
      <c r="H109" s="52"/>
      <c r="I109" s="16" t="s">
        <v>230</v>
      </c>
    </row>
    <row r="110" spans="1:10" hidden="1" x14ac:dyDescent="0.35">
      <c r="A110" s="16">
        <v>289</v>
      </c>
      <c r="B110" s="16" t="s">
        <v>233</v>
      </c>
      <c r="C110" s="16" t="s">
        <v>627</v>
      </c>
      <c r="D110" s="16" t="s">
        <v>124</v>
      </c>
      <c r="E110" s="16" t="s">
        <v>538</v>
      </c>
      <c r="F110" s="16" t="s">
        <v>135</v>
      </c>
      <c r="G110" s="16">
        <v>2001</v>
      </c>
      <c r="H110" s="52"/>
      <c r="I110" s="16" t="s">
        <v>232</v>
      </c>
    </row>
    <row r="111" spans="1:10" hidden="1" x14ac:dyDescent="0.35">
      <c r="A111" s="16">
        <v>289</v>
      </c>
      <c r="B111" s="16" t="s">
        <v>134</v>
      </c>
      <c r="C111" s="16" t="s">
        <v>631</v>
      </c>
      <c r="D111" s="16" t="s">
        <v>124</v>
      </c>
      <c r="E111" s="16" t="s">
        <v>1329</v>
      </c>
      <c r="F111" s="16" t="s">
        <v>28</v>
      </c>
      <c r="G111" s="16" t="s">
        <v>1454</v>
      </c>
      <c r="I111" s="16" t="s">
        <v>230</v>
      </c>
      <c r="J111" s="16" t="s">
        <v>1726</v>
      </c>
    </row>
    <row r="112" spans="1:10" ht="29" hidden="1" x14ac:dyDescent="0.35">
      <c r="A112" s="16">
        <v>295</v>
      </c>
      <c r="B112" s="51" t="s">
        <v>234</v>
      </c>
      <c r="C112" s="16" t="s">
        <v>662</v>
      </c>
      <c r="D112" s="16" t="s">
        <v>124</v>
      </c>
      <c r="E112" s="16" t="s">
        <v>1118</v>
      </c>
      <c r="F112" s="16" t="s">
        <v>135</v>
      </c>
      <c r="G112" s="16" t="s">
        <v>1455</v>
      </c>
      <c r="I112" s="16" t="s">
        <v>197</v>
      </c>
      <c r="J112" s="16" t="s">
        <v>1741</v>
      </c>
    </row>
    <row r="113" spans="1:10" hidden="1" x14ac:dyDescent="0.35">
      <c r="A113" s="16">
        <v>295</v>
      </c>
      <c r="B113" s="16" t="s">
        <v>235</v>
      </c>
      <c r="C113" s="16" t="s">
        <v>662</v>
      </c>
      <c r="D113" s="16" t="s">
        <v>124</v>
      </c>
      <c r="E113" s="16" t="s">
        <v>1118</v>
      </c>
      <c r="F113" s="16" t="s">
        <v>135</v>
      </c>
      <c r="G113" s="16" t="s">
        <v>1455</v>
      </c>
      <c r="I113" s="16" t="s">
        <v>197</v>
      </c>
      <c r="J113" s="16" t="s">
        <v>1741</v>
      </c>
    </row>
    <row r="114" spans="1:10" hidden="1" x14ac:dyDescent="0.35">
      <c r="A114" s="16">
        <v>295</v>
      </c>
      <c r="B114" s="16" t="s">
        <v>236</v>
      </c>
      <c r="C114" s="16" t="s">
        <v>626</v>
      </c>
      <c r="D114" s="16" t="s">
        <v>124</v>
      </c>
      <c r="E114" s="16" t="s">
        <v>559</v>
      </c>
      <c r="F114" s="16" t="s">
        <v>135</v>
      </c>
      <c r="G114" s="16" t="s">
        <v>1455</v>
      </c>
      <c r="I114" s="16" t="s">
        <v>197</v>
      </c>
      <c r="J114" s="16" t="s">
        <v>1742</v>
      </c>
    </row>
    <row r="115" spans="1:10" hidden="1" x14ac:dyDescent="0.35">
      <c r="A115" s="16">
        <v>295</v>
      </c>
      <c r="B115" s="16" t="s">
        <v>237</v>
      </c>
      <c r="C115" s="16" t="s">
        <v>663</v>
      </c>
      <c r="D115" s="16" t="s">
        <v>124</v>
      </c>
      <c r="E115" s="16" t="s">
        <v>559</v>
      </c>
      <c r="F115" s="16" t="s">
        <v>135</v>
      </c>
      <c r="G115" s="16" t="s">
        <v>1455</v>
      </c>
      <c r="I115" s="16" t="s">
        <v>197</v>
      </c>
      <c r="J115" s="16" t="s">
        <v>1742</v>
      </c>
    </row>
    <row r="116" spans="1:10" hidden="1" x14ac:dyDescent="0.35">
      <c r="A116" s="16">
        <v>295</v>
      </c>
      <c r="B116" s="16" t="s">
        <v>166</v>
      </c>
      <c r="C116" s="16" t="s">
        <v>663</v>
      </c>
      <c r="D116" s="16" t="s">
        <v>124</v>
      </c>
      <c r="E116" s="16" t="s">
        <v>559</v>
      </c>
      <c r="F116" s="16" t="s">
        <v>135</v>
      </c>
      <c r="G116" s="16" t="s">
        <v>1455</v>
      </c>
      <c r="I116" s="16" t="s">
        <v>197</v>
      </c>
      <c r="J116" s="16" t="s">
        <v>1742</v>
      </c>
    </row>
    <row r="117" spans="1:10" hidden="1" x14ac:dyDescent="0.35">
      <c r="A117" s="16">
        <v>295</v>
      </c>
      <c r="B117" s="16" t="s">
        <v>238</v>
      </c>
      <c r="C117" s="16" t="s">
        <v>664</v>
      </c>
      <c r="D117" s="16" t="s">
        <v>124</v>
      </c>
      <c r="E117" s="16" t="s">
        <v>536</v>
      </c>
      <c r="F117" s="16" t="s">
        <v>135</v>
      </c>
      <c r="G117" s="16" t="s">
        <v>1455</v>
      </c>
      <c r="I117" s="16" t="s">
        <v>197</v>
      </c>
    </row>
    <row r="118" spans="1:10" hidden="1" x14ac:dyDescent="0.35">
      <c r="A118" s="16">
        <v>295</v>
      </c>
      <c r="B118" s="16" t="s">
        <v>211</v>
      </c>
      <c r="C118" s="16" t="s">
        <v>626</v>
      </c>
      <c r="D118" s="16" t="s">
        <v>124</v>
      </c>
      <c r="E118" s="16" t="s">
        <v>559</v>
      </c>
      <c r="F118" s="16" t="s">
        <v>135</v>
      </c>
      <c r="G118" s="16" t="s">
        <v>1455</v>
      </c>
      <c r="I118" s="16" t="s">
        <v>197</v>
      </c>
    </row>
    <row r="119" spans="1:10" hidden="1" x14ac:dyDescent="0.35">
      <c r="A119" s="16">
        <v>295</v>
      </c>
      <c r="B119" s="16" t="s">
        <v>239</v>
      </c>
      <c r="C119" s="16" t="s">
        <v>656</v>
      </c>
      <c r="D119" s="16" t="s">
        <v>124</v>
      </c>
      <c r="E119" s="16" t="s">
        <v>559</v>
      </c>
      <c r="F119" s="16" t="s">
        <v>135</v>
      </c>
      <c r="G119" s="16" t="s">
        <v>1455</v>
      </c>
      <c r="I119" s="16" t="s">
        <v>197</v>
      </c>
    </row>
    <row r="120" spans="1:10" hidden="1" x14ac:dyDescent="0.35">
      <c r="A120" s="16">
        <v>295</v>
      </c>
      <c r="B120" s="16" t="s">
        <v>240</v>
      </c>
      <c r="C120" s="16" t="s">
        <v>653</v>
      </c>
      <c r="D120" s="16" t="s">
        <v>124</v>
      </c>
      <c r="E120" s="16" t="s">
        <v>1118</v>
      </c>
      <c r="F120" s="16" t="s">
        <v>135</v>
      </c>
      <c r="G120" s="16" t="s">
        <v>1455</v>
      </c>
      <c r="I120" s="16" t="s">
        <v>197</v>
      </c>
    </row>
    <row r="121" spans="1:10" hidden="1" x14ac:dyDescent="0.35">
      <c r="A121" s="16">
        <v>295</v>
      </c>
      <c r="B121" s="16" t="s">
        <v>241</v>
      </c>
      <c r="C121" s="16" t="s">
        <v>653</v>
      </c>
      <c r="D121" s="16" t="s">
        <v>124</v>
      </c>
      <c r="E121" s="16" t="s">
        <v>1118</v>
      </c>
      <c r="F121" s="16" t="s">
        <v>135</v>
      </c>
      <c r="G121" s="16" t="s">
        <v>1455</v>
      </c>
      <c r="I121" s="16" t="s">
        <v>197</v>
      </c>
    </row>
    <row r="122" spans="1:10" hidden="1" x14ac:dyDescent="0.35">
      <c r="A122" s="16">
        <v>295</v>
      </c>
      <c r="B122" s="16" t="s">
        <v>242</v>
      </c>
      <c r="C122" s="16" t="s">
        <v>653</v>
      </c>
      <c r="D122" s="16" t="s">
        <v>124</v>
      </c>
      <c r="E122" s="16" t="s">
        <v>1118</v>
      </c>
      <c r="F122" s="16" t="s">
        <v>135</v>
      </c>
      <c r="G122" s="16" t="s">
        <v>1455</v>
      </c>
      <c r="I122" s="16" t="s">
        <v>197</v>
      </c>
    </row>
    <row r="123" spans="1:10" hidden="1" x14ac:dyDescent="0.35">
      <c r="A123" s="16">
        <v>334</v>
      </c>
      <c r="B123" s="16" t="s">
        <v>142</v>
      </c>
      <c r="C123" s="16" t="s">
        <v>243</v>
      </c>
      <c r="D123" s="16" t="s">
        <v>124</v>
      </c>
      <c r="E123" s="16" t="s">
        <v>538</v>
      </c>
      <c r="F123" s="16" t="s">
        <v>141</v>
      </c>
      <c r="G123" s="16" t="s">
        <v>1456</v>
      </c>
      <c r="I123" s="16" t="s">
        <v>1330</v>
      </c>
    </row>
    <row r="124" spans="1:10" hidden="1" x14ac:dyDescent="0.35">
      <c r="A124" s="16">
        <v>334</v>
      </c>
      <c r="B124" s="16" t="s">
        <v>245</v>
      </c>
      <c r="C124" s="16" t="s">
        <v>637</v>
      </c>
      <c r="D124" s="16" t="s">
        <v>124</v>
      </c>
      <c r="E124" s="16" t="s">
        <v>539</v>
      </c>
      <c r="F124" s="16" t="s">
        <v>141</v>
      </c>
      <c r="G124" s="16" t="s">
        <v>1456</v>
      </c>
      <c r="I124" s="16" t="s">
        <v>244</v>
      </c>
    </row>
    <row r="125" spans="1:10" hidden="1" x14ac:dyDescent="0.35">
      <c r="A125" s="16">
        <v>334</v>
      </c>
      <c r="B125" s="16" t="s">
        <v>246</v>
      </c>
      <c r="C125" s="16" t="s">
        <v>641</v>
      </c>
      <c r="D125" s="16" t="s">
        <v>124</v>
      </c>
      <c r="E125" s="16" t="s">
        <v>559</v>
      </c>
      <c r="F125" s="16" t="s">
        <v>141</v>
      </c>
      <c r="G125" s="16" t="s">
        <v>1456</v>
      </c>
      <c r="I125" s="16" t="s">
        <v>244</v>
      </c>
    </row>
    <row r="126" spans="1:10" hidden="1" x14ac:dyDescent="0.35">
      <c r="A126" s="16">
        <v>334</v>
      </c>
      <c r="B126" s="16" t="s">
        <v>247</v>
      </c>
      <c r="C126" s="16" t="s">
        <v>637</v>
      </c>
      <c r="D126" s="16" t="s">
        <v>124</v>
      </c>
      <c r="E126" s="16" t="s">
        <v>539</v>
      </c>
      <c r="F126" s="16" t="s">
        <v>141</v>
      </c>
      <c r="G126" s="16" t="s">
        <v>1456</v>
      </c>
      <c r="I126" s="16" t="s">
        <v>244</v>
      </c>
    </row>
    <row r="127" spans="1:10" hidden="1" x14ac:dyDescent="0.35">
      <c r="A127" s="16">
        <v>334</v>
      </c>
      <c r="B127" s="16" t="s">
        <v>248</v>
      </c>
      <c r="C127" s="16" t="s">
        <v>641</v>
      </c>
      <c r="D127" s="16" t="s">
        <v>124</v>
      </c>
      <c r="E127" s="16" t="s">
        <v>559</v>
      </c>
      <c r="F127" s="16" t="s">
        <v>141</v>
      </c>
      <c r="G127" s="16" t="s">
        <v>1456</v>
      </c>
      <c r="I127" s="16" t="s">
        <v>244</v>
      </c>
    </row>
    <row r="128" spans="1:10" hidden="1" x14ac:dyDescent="0.35">
      <c r="A128" s="16">
        <v>334</v>
      </c>
      <c r="B128" s="16" t="s">
        <v>249</v>
      </c>
      <c r="C128" s="16" t="s">
        <v>637</v>
      </c>
      <c r="D128" s="16" t="s">
        <v>124</v>
      </c>
      <c r="E128" s="16" t="s">
        <v>539</v>
      </c>
      <c r="F128" s="16" t="s">
        <v>141</v>
      </c>
      <c r="G128" s="16" t="s">
        <v>1456</v>
      </c>
      <c r="I128" s="16" t="s">
        <v>244</v>
      </c>
    </row>
    <row r="129" spans="1:10" hidden="1" x14ac:dyDescent="0.35">
      <c r="A129" s="16">
        <v>334</v>
      </c>
      <c r="B129" s="16" t="s">
        <v>250</v>
      </c>
      <c r="C129" s="16" t="s">
        <v>637</v>
      </c>
      <c r="D129" s="16" t="s">
        <v>124</v>
      </c>
      <c r="E129" s="16" t="s">
        <v>539</v>
      </c>
      <c r="F129" s="16" t="s">
        <v>141</v>
      </c>
      <c r="G129" s="16" t="s">
        <v>1456</v>
      </c>
      <c r="I129" s="16" t="s">
        <v>244</v>
      </c>
    </row>
    <row r="130" spans="1:10" hidden="1" x14ac:dyDescent="0.35">
      <c r="A130" s="16">
        <v>334</v>
      </c>
      <c r="B130" s="16" t="s">
        <v>251</v>
      </c>
      <c r="C130" s="16" t="s">
        <v>633</v>
      </c>
      <c r="D130" s="16" t="s">
        <v>124</v>
      </c>
      <c r="E130" s="16" t="s">
        <v>559</v>
      </c>
      <c r="F130" s="16" t="s">
        <v>141</v>
      </c>
      <c r="G130" s="16" t="s">
        <v>1456</v>
      </c>
      <c r="I130" s="16" t="s">
        <v>244</v>
      </c>
    </row>
    <row r="131" spans="1:10" hidden="1" x14ac:dyDescent="0.35">
      <c r="A131" s="16">
        <v>334</v>
      </c>
      <c r="B131" s="16" t="s">
        <v>252</v>
      </c>
      <c r="C131" s="16" t="s">
        <v>633</v>
      </c>
      <c r="D131" s="16" t="s">
        <v>124</v>
      </c>
      <c r="E131" s="16" t="s">
        <v>559</v>
      </c>
      <c r="F131" s="16" t="s">
        <v>141</v>
      </c>
      <c r="G131" s="16" t="s">
        <v>1456</v>
      </c>
      <c r="I131" s="16" t="s">
        <v>244</v>
      </c>
    </row>
    <row r="132" spans="1:10" hidden="1" x14ac:dyDescent="0.35">
      <c r="A132" s="16">
        <v>334</v>
      </c>
      <c r="B132" s="16" t="s">
        <v>253</v>
      </c>
      <c r="C132" s="16" t="s">
        <v>633</v>
      </c>
      <c r="D132" s="16" t="s">
        <v>124</v>
      </c>
      <c r="E132" s="16" t="s">
        <v>539</v>
      </c>
      <c r="F132" s="16" t="s">
        <v>141</v>
      </c>
      <c r="G132" s="16" t="s">
        <v>1456</v>
      </c>
      <c r="I132" s="16" t="s">
        <v>1330</v>
      </c>
    </row>
    <row r="133" spans="1:10" x14ac:dyDescent="0.35">
      <c r="A133" s="16">
        <v>334</v>
      </c>
      <c r="B133" s="16" t="s">
        <v>173</v>
      </c>
      <c r="C133" s="16" t="s">
        <v>633</v>
      </c>
      <c r="D133" s="16" t="s">
        <v>124</v>
      </c>
      <c r="E133" s="16" t="s">
        <v>559</v>
      </c>
      <c r="F133" s="16" t="s">
        <v>141</v>
      </c>
      <c r="G133" s="16" t="s">
        <v>1456</v>
      </c>
      <c r="I133" s="16" t="s">
        <v>495</v>
      </c>
    </row>
    <row r="134" spans="1:10" x14ac:dyDescent="0.35">
      <c r="A134" s="16">
        <v>334</v>
      </c>
      <c r="B134" s="16" t="s">
        <v>254</v>
      </c>
      <c r="C134" s="16" t="s">
        <v>633</v>
      </c>
      <c r="D134" s="16" t="s">
        <v>124</v>
      </c>
      <c r="E134" s="16" t="s">
        <v>559</v>
      </c>
      <c r="F134" s="16" t="s">
        <v>141</v>
      </c>
      <c r="G134" s="16" t="s">
        <v>1456</v>
      </c>
      <c r="I134" s="16" t="s">
        <v>495</v>
      </c>
    </row>
    <row r="135" spans="1:10" x14ac:dyDescent="0.35">
      <c r="A135" s="16">
        <v>334</v>
      </c>
      <c r="B135" s="16" t="s">
        <v>255</v>
      </c>
      <c r="C135" s="16" t="s">
        <v>633</v>
      </c>
      <c r="D135" s="16" t="s">
        <v>124</v>
      </c>
      <c r="E135" s="16" t="s">
        <v>559</v>
      </c>
      <c r="F135" s="16" t="s">
        <v>141</v>
      </c>
      <c r="G135" s="16" t="s">
        <v>1456</v>
      </c>
      <c r="I135" s="16" t="s">
        <v>495</v>
      </c>
    </row>
    <row r="136" spans="1:10" x14ac:dyDescent="0.35">
      <c r="A136" s="16">
        <v>334</v>
      </c>
      <c r="B136" s="16" t="s">
        <v>256</v>
      </c>
      <c r="C136" s="16" t="s">
        <v>633</v>
      </c>
      <c r="D136" s="16" t="s">
        <v>124</v>
      </c>
      <c r="E136" s="16" t="s">
        <v>559</v>
      </c>
      <c r="F136" s="16" t="s">
        <v>141</v>
      </c>
      <c r="G136" s="16" t="s">
        <v>1456</v>
      </c>
      <c r="I136" s="16" t="s">
        <v>495</v>
      </c>
    </row>
    <row r="137" spans="1:10" hidden="1" x14ac:dyDescent="0.35">
      <c r="A137" s="16">
        <v>342</v>
      </c>
      <c r="B137" s="16" t="s">
        <v>257</v>
      </c>
      <c r="C137" s="16" t="s">
        <v>628</v>
      </c>
      <c r="D137" s="16" t="s">
        <v>124</v>
      </c>
      <c r="E137" s="16" t="s">
        <v>559</v>
      </c>
      <c r="F137" s="16" t="s">
        <v>135</v>
      </c>
      <c r="G137" s="16">
        <v>2017</v>
      </c>
      <c r="H137" s="52"/>
      <c r="I137" s="16" t="s">
        <v>1330</v>
      </c>
    </row>
    <row r="138" spans="1:10" hidden="1" x14ac:dyDescent="0.35">
      <c r="A138" s="16">
        <v>342</v>
      </c>
      <c r="B138" s="16" t="s">
        <v>258</v>
      </c>
      <c r="C138" s="16" t="s">
        <v>628</v>
      </c>
      <c r="D138" s="16" t="s">
        <v>124</v>
      </c>
      <c r="E138" s="16" t="s">
        <v>559</v>
      </c>
      <c r="F138" s="16" t="s">
        <v>135</v>
      </c>
      <c r="G138" s="16">
        <v>2017</v>
      </c>
      <c r="H138" s="52"/>
      <c r="I138" s="16" t="s">
        <v>1330</v>
      </c>
    </row>
    <row r="139" spans="1:10" hidden="1" x14ac:dyDescent="0.35">
      <c r="A139" s="16">
        <v>342</v>
      </c>
      <c r="B139" s="16" t="s">
        <v>259</v>
      </c>
      <c r="C139" s="16" t="s">
        <v>633</v>
      </c>
      <c r="D139" s="16" t="s">
        <v>124</v>
      </c>
      <c r="E139" s="16" t="s">
        <v>559</v>
      </c>
      <c r="F139" s="16" t="s">
        <v>135</v>
      </c>
      <c r="G139" s="16">
        <v>2017</v>
      </c>
      <c r="H139" s="52"/>
      <c r="I139" s="16" t="s">
        <v>1330</v>
      </c>
    </row>
    <row r="140" spans="1:10" hidden="1" x14ac:dyDescent="0.35">
      <c r="A140" s="16">
        <v>342</v>
      </c>
      <c r="B140" s="16" t="s">
        <v>260</v>
      </c>
      <c r="C140" s="16" t="s">
        <v>630</v>
      </c>
      <c r="D140" s="16" t="s">
        <v>124</v>
      </c>
      <c r="E140" s="16" t="s">
        <v>536</v>
      </c>
      <c r="F140" s="16" t="s">
        <v>135</v>
      </c>
      <c r="G140" s="16">
        <v>2017</v>
      </c>
      <c r="H140" s="52"/>
      <c r="I140" s="16" t="s">
        <v>1330</v>
      </c>
    </row>
    <row r="141" spans="1:10" hidden="1" x14ac:dyDescent="0.35">
      <c r="A141" s="16">
        <v>342</v>
      </c>
      <c r="B141" s="16" t="s">
        <v>174</v>
      </c>
      <c r="C141" s="16" t="s">
        <v>637</v>
      </c>
      <c r="D141" s="16" t="s">
        <v>124</v>
      </c>
      <c r="E141" s="16" t="s">
        <v>539</v>
      </c>
      <c r="F141" s="16" t="s">
        <v>135</v>
      </c>
      <c r="G141" s="16">
        <v>2017</v>
      </c>
      <c r="H141" s="52"/>
      <c r="I141" s="16" t="s">
        <v>1330</v>
      </c>
    </row>
    <row r="142" spans="1:10" x14ac:dyDescent="0.35">
      <c r="A142" s="16">
        <v>346</v>
      </c>
      <c r="B142" s="16" t="s">
        <v>1744</v>
      </c>
      <c r="C142" s="16" t="s">
        <v>665</v>
      </c>
      <c r="D142" s="16" t="s">
        <v>124</v>
      </c>
      <c r="E142" s="16" t="s">
        <v>1329</v>
      </c>
      <c r="F142" s="16" t="s">
        <v>28</v>
      </c>
      <c r="G142" s="16">
        <v>2017</v>
      </c>
      <c r="H142" s="52"/>
      <c r="I142" s="16" t="s">
        <v>496</v>
      </c>
      <c r="J142" s="16" t="s">
        <v>1726</v>
      </c>
    </row>
    <row r="143" spans="1:10" ht="43.5" x14ac:dyDescent="0.35">
      <c r="A143" s="16">
        <v>346</v>
      </c>
      <c r="B143" s="51" t="s">
        <v>261</v>
      </c>
      <c r="C143" s="16" t="s">
        <v>633</v>
      </c>
      <c r="D143" s="16" t="s">
        <v>124</v>
      </c>
      <c r="E143" s="16" t="s">
        <v>1329</v>
      </c>
      <c r="F143" s="16" t="s">
        <v>28</v>
      </c>
      <c r="G143" s="16">
        <v>2017</v>
      </c>
      <c r="H143" s="52"/>
      <c r="I143" s="16" t="s">
        <v>496</v>
      </c>
      <c r="J143" s="16" t="s">
        <v>1726</v>
      </c>
    </row>
    <row r="144" spans="1:10" hidden="1" x14ac:dyDescent="0.35">
      <c r="A144" s="16">
        <v>346</v>
      </c>
      <c r="B144" s="16" t="s">
        <v>262</v>
      </c>
      <c r="C144" s="16" t="s">
        <v>666</v>
      </c>
      <c r="D144" s="16" t="s">
        <v>124</v>
      </c>
      <c r="E144" s="16" t="s">
        <v>538</v>
      </c>
      <c r="F144" s="16" t="s">
        <v>135</v>
      </c>
      <c r="G144" s="16" t="s">
        <v>1457</v>
      </c>
      <c r="H144" s="52"/>
      <c r="I144" s="16" t="s">
        <v>1330</v>
      </c>
    </row>
    <row r="145" spans="1:9" hidden="1" x14ac:dyDescent="0.35">
      <c r="A145" s="16">
        <v>346</v>
      </c>
      <c r="B145" s="16" t="s">
        <v>263</v>
      </c>
      <c r="C145" s="16" t="s">
        <v>667</v>
      </c>
      <c r="D145" s="16" t="s">
        <v>124</v>
      </c>
      <c r="E145" s="16" t="s">
        <v>539</v>
      </c>
      <c r="F145" s="16" t="s">
        <v>135</v>
      </c>
      <c r="G145" s="16" t="s">
        <v>1457</v>
      </c>
      <c r="H145" s="52"/>
      <c r="I145" s="16" t="s">
        <v>1330</v>
      </c>
    </row>
    <row r="146" spans="1:9" hidden="1" x14ac:dyDescent="0.35">
      <c r="A146" s="16">
        <v>346</v>
      </c>
      <c r="B146" s="16" t="s">
        <v>185</v>
      </c>
      <c r="C146" s="16" t="s">
        <v>637</v>
      </c>
      <c r="D146" s="16" t="s">
        <v>124</v>
      </c>
      <c r="E146" s="16" t="s">
        <v>539</v>
      </c>
      <c r="F146" s="16" t="s">
        <v>135</v>
      </c>
      <c r="G146" s="16" t="s">
        <v>1457</v>
      </c>
      <c r="H146" s="52"/>
      <c r="I146" s="16" t="s">
        <v>1330</v>
      </c>
    </row>
    <row r="147" spans="1:9" hidden="1" x14ac:dyDescent="0.35">
      <c r="A147" s="16">
        <v>375</v>
      </c>
      <c r="B147" s="16" t="s">
        <v>264</v>
      </c>
      <c r="C147" s="16" t="s">
        <v>668</v>
      </c>
      <c r="D147" s="16" t="s">
        <v>124</v>
      </c>
      <c r="E147" s="16" t="s">
        <v>536</v>
      </c>
      <c r="F147" s="16" t="s">
        <v>547</v>
      </c>
      <c r="G147" s="16" t="s">
        <v>1458</v>
      </c>
      <c r="I147" s="16" t="s">
        <v>1330</v>
      </c>
    </row>
    <row r="148" spans="1:9" hidden="1" x14ac:dyDescent="0.35">
      <c r="A148" s="16">
        <v>375</v>
      </c>
      <c r="B148" s="16" t="s">
        <v>265</v>
      </c>
      <c r="C148" s="16" t="s">
        <v>668</v>
      </c>
      <c r="D148" s="16" t="s">
        <v>124</v>
      </c>
      <c r="E148" s="16" t="s">
        <v>536</v>
      </c>
      <c r="F148" s="16" t="s">
        <v>547</v>
      </c>
      <c r="G148" s="16" t="s">
        <v>1458</v>
      </c>
      <c r="I148" s="16" t="s">
        <v>1330</v>
      </c>
    </row>
    <row r="149" spans="1:9" hidden="1" x14ac:dyDescent="0.35">
      <c r="A149" s="16">
        <v>375</v>
      </c>
      <c r="B149" s="16" t="s">
        <v>266</v>
      </c>
      <c r="C149" s="16" t="s">
        <v>668</v>
      </c>
      <c r="D149" s="16" t="s">
        <v>124</v>
      </c>
      <c r="E149" s="16" t="s">
        <v>536</v>
      </c>
      <c r="F149" s="16" t="s">
        <v>547</v>
      </c>
      <c r="G149" s="16" t="s">
        <v>1458</v>
      </c>
      <c r="I149" s="16" t="s">
        <v>1330</v>
      </c>
    </row>
    <row r="150" spans="1:9" hidden="1" x14ac:dyDescent="0.35">
      <c r="A150" s="16">
        <v>378</v>
      </c>
      <c r="B150" s="16" t="s">
        <v>173</v>
      </c>
      <c r="C150" s="16" t="s">
        <v>633</v>
      </c>
      <c r="D150" s="16" t="s">
        <v>124</v>
      </c>
      <c r="E150" s="16" t="s">
        <v>559</v>
      </c>
      <c r="F150" s="16" t="s">
        <v>28</v>
      </c>
      <c r="G150" s="16" t="s">
        <v>1459</v>
      </c>
      <c r="I150" s="16" t="s">
        <v>1330</v>
      </c>
    </row>
    <row r="151" spans="1:9" hidden="1" x14ac:dyDescent="0.35">
      <c r="A151" s="16">
        <v>378</v>
      </c>
      <c r="B151" s="16" t="s">
        <v>267</v>
      </c>
      <c r="C151" s="16" t="s">
        <v>633</v>
      </c>
      <c r="D151" s="16" t="s">
        <v>124</v>
      </c>
      <c r="E151" s="16" t="s">
        <v>559</v>
      </c>
      <c r="F151" s="16" t="s">
        <v>28</v>
      </c>
      <c r="G151" s="16" t="s">
        <v>1459</v>
      </c>
      <c r="I151" s="16" t="s">
        <v>497</v>
      </c>
    </row>
    <row r="152" spans="1:9" hidden="1" x14ac:dyDescent="0.35">
      <c r="A152" s="16">
        <v>378</v>
      </c>
      <c r="B152" s="16" t="s">
        <v>268</v>
      </c>
      <c r="C152" s="16" t="s">
        <v>628</v>
      </c>
      <c r="D152" s="16" t="s">
        <v>124</v>
      </c>
      <c r="E152" s="16" t="s">
        <v>559</v>
      </c>
      <c r="F152" s="16" t="s">
        <v>28</v>
      </c>
      <c r="G152" s="16" t="s">
        <v>1459</v>
      </c>
      <c r="I152" s="16" t="s">
        <v>497</v>
      </c>
    </row>
    <row r="153" spans="1:9" hidden="1" x14ac:dyDescent="0.35">
      <c r="A153" s="16">
        <v>378</v>
      </c>
      <c r="B153" s="16" t="s">
        <v>269</v>
      </c>
      <c r="C153" s="16" t="s">
        <v>628</v>
      </c>
      <c r="D153" s="16" t="s">
        <v>124</v>
      </c>
      <c r="E153" s="16" t="s">
        <v>559</v>
      </c>
      <c r="F153" s="16" t="s">
        <v>28</v>
      </c>
      <c r="G153" s="16" t="s">
        <v>1459</v>
      </c>
      <c r="I153" s="16" t="s">
        <v>497</v>
      </c>
    </row>
    <row r="154" spans="1:9" hidden="1" x14ac:dyDescent="0.35">
      <c r="A154" s="16">
        <v>378</v>
      </c>
      <c r="B154" s="16" t="s">
        <v>270</v>
      </c>
      <c r="C154" s="16" t="s">
        <v>669</v>
      </c>
      <c r="D154" s="16" t="s">
        <v>124</v>
      </c>
      <c r="E154" s="16" t="s">
        <v>536</v>
      </c>
      <c r="F154" s="16" t="s">
        <v>28</v>
      </c>
      <c r="G154" s="16" t="s">
        <v>1459</v>
      </c>
      <c r="I154" s="16" t="s">
        <v>498</v>
      </c>
    </row>
    <row r="155" spans="1:9" hidden="1" x14ac:dyDescent="0.35">
      <c r="A155" s="16">
        <v>381</v>
      </c>
      <c r="B155" s="16" t="s">
        <v>142</v>
      </c>
      <c r="C155" s="16" t="s">
        <v>243</v>
      </c>
      <c r="D155" s="16" t="s">
        <v>124</v>
      </c>
      <c r="E155" s="16" t="s">
        <v>538</v>
      </c>
      <c r="F155" s="16" t="s">
        <v>541</v>
      </c>
      <c r="G155" s="16" t="s">
        <v>1460</v>
      </c>
      <c r="I155" s="16" t="s">
        <v>499</v>
      </c>
    </row>
    <row r="156" spans="1:9" hidden="1" x14ac:dyDescent="0.35">
      <c r="A156" s="16">
        <v>381</v>
      </c>
      <c r="B156" s="16" t="s">
        <v>271</v>
      </c>
      <c r="C156" s="16" t="s">
        <v>633</v>
      </c>
      <c r="D156" s="16" t="s">
        <v>124</v>
      </c>
      <c r="E156" s="16" t="s">
        <v>559</v>
      </c>
      <c r="F156" s="16" t="s">
        <v>541</v>
      </c>
      <c r="G156" s="16" t="s">
        <v>1460</v>
      </c>
      <c r="I156" s="16" t="s">
        <v>499</v>
      </c>
    </row>
    <row r="157" spans="1:9" hidden="1" x14ac:dyDescent="0.35">
      <c r="A157" s="16">
        <v>381</v>
      </c>
      <c r="B157" s="16" t="s">
        <v>272</v>
      </c>
      <c r="C157" s="16" t="s">
        <v>633</v>
      </c>
      <c r="D157" s="16" t="s">
        <v>124</v>
      </c>
      <c r="E157" s="16" t="s">
        <v>559</v>
      </c>
      <c r="F157" s="16" t="s">
        <v>541</v>
      </c>
      <c r="G157" s="16" t="s">
        <v>1460</v>
      </c>
      <c r="I157" s="16" t="s">
        <v>499</v>
      </c>
    </row>
    <row r="158" spans="1:9" hidden="1" x14ac:dyDescent="0.35">
      <c r="A158" s="16">
        <v>381</v>
      </c>
      <c r="B158" s="16" t="s">
        <v>273</v>
      </c>
      <c r="C158" s="16" t="s">
        <v>633</v>
      </c>
      <c r="D158" s="16" t="s">
        <v>124</v>
      </c>
      <c r="E158" s="16" t="s">
        <v>559</v>
      </c>
      <c r="F158" s="16" t="s">
        <v>541</v>
      </c>
      <c r="G158" s="16" t="s">
        <v>1460</v>
      </c>
      <c r="I158" s="16" t="s">
        <v>499</v>
      </c>
    </row>
    <row r="159" spans="1:9" hidden="1" x14ac:dyDescent="0.35">
      <c r="A159" s="16">
        <v>381</v>
      </c>
      <c r="B159" s="16" t="s">
        <v>274</v>
      </c>
      <c r="C159" s="16" t="s">
        <v>633</v>
      </c>
      <c r="D159" s="16" t="s">
        <v>124</v>
      </c>
      <c r="E159" s="16" t="s">
        <v>559</v>
      </c>
      <c r="F159" s="16" t="s">
        <v>541</v>
      </c>
      <c r="G159" s="16" t="s">
        <v>1460</v>
      </c>
      <c r="I159" s="16" t="s">
        <v>499</v>
      </c>
    </row>
    <row r="160" spans="1:9" hidden="1" x14ac:dyDescent="0.35">
      <c r="A160" s="16">
        <v>381</v>
      </c>
      <c r="B160" s="16" t="s">
        <v>275</v>
      </c>
      <c r="C160" s="16" t="s">
        <v>633</v>
      </c>
      <c r="D160" s="16" t="s">
        <v>124</v>
      </c>
      <c r="E160" s="16" t="s">
        <v>559</v>
      </c>
      <c r="F160" s="16" t="s">
        <v>541</v>
      </c>
      <c r="G160" s="16" t="s">
        <v>1460</v>
      </c>
      <c r="I160" s="16" t="s">
        <v>499</v>
      </c>
    </row>
    <row r="161" spans="1:10" hidden="1" x14ac:dyDescent="0.35">
      <c r="A161" s="16">
        <v>381</v>
      </c>
      <c r="B161" s="16" t="s">
        <v>276</v>
      </c>
      <c r="C161" s="16" t="s">
        <v>633</v>
      </c>
      <c r="D161" s="16" t="s">
        <v>124</v>
      </c>
      <c r="E161" s="16" t="s">
        <v>559</v>
      </c>
      <c r="F161" s="16" t="s">
        <v>541</v>
      </c>
      <c r="G161" s="16" t="s">
        <v>1460</v>
      </c>
      <c r="I161" s="16" t="s">
        <v>499</v>
      </c>
    </row>
    <row r="162" spans="1:10" hidden="1" x14ac:dyDescent="0.35">
      <c r="A162" s="16">
        <v>381</v>
      </c>
      <c r="B162" s="16" t="s">
        <v>185</v>
      </c>
      <c r="C162" s="16" t="s">
        <v>637</v>
      </c>
      <c r="D162" s="16" t="s">
        <v>124</v>
      </c>
      <c r="E162" s="16" t="s">
        <v>539</v>
      </c>
      <c r="F162" s="16" t="s">
        <v>541</v>
      </c>
      <c r="G162" s="16" t="s">
        <v>1460</v>
      </c>
      <c r="I162" s="16" t="s">
        <v>499</v>
      </c>
    </row>
    <row r="163" spans="1:10" hidden="1" x14ac:dyDescent="0.35">
      <c r="A163" s="16">
        <v>381</v>
      </c>
      <c r="B163" s="16" t="s">
        <v>167</v>
      </c>
      <c r="C163" s="16" t="s">
        <v>629</v>
      </c>
      <c r="D163" s="16" t="s">
        <v>124</v>
      </c>
      <c r="E163" s="16" t="s">
        <v>539</v>
      </c>
      <c r="F163" s="16" t="s">
        <v>541</v>
      </c>
      <c r="G163" s="16" t="s">
        <v>1460</v>
      </c>
      <c r="I163" s="16" t="s">
        <v>499</v>
      </c>
    </row>
    <row r="164" spans="1:10" hidden="1" x14ac:dyDescent="0.35">
      <c r="A164" s="16">
        <v>381</v>
      </c>
      <c r="B164" s="16" t="s">
        <v>277</v>
      </c>
      <c r="C164" s="16" t="s">
        <v>641</v>
      </c>
      <c r="D164" s="16" t="s">
        <v>124</v>
      </c>
      <c r="E164" s="16" t="s">
        <v>559</v>
      </c>
      <c r="F164" s="16" t="s">
        <v>541</v>
      </c>
      <c r="G164" s="16" t="s">
        <v>1460</v>
      </c>
      <c r="I164" s="16" t="s">
        <v>499</v>
      </c>
    </row>
    <row r="165" spans="1:10" hidden="1" x14ac:dyDescent="0.35">
      <c r="A165" s="16">
        <v>398</v>
      </c>
      <c r="B165" s="16" t="s">
        <v>278</v>
      </c>
      <c r="C165" s="16" t="s">
        <v>630</v>
      </c>
      <c r="D165" s="16" t="s">
        <v>130</v>
      </c>
      <c r="E165" s="16" t="s">
        <v>1021</v>
      </c>
      <c r="F165" s="16" t="s">
        <v>135</v>
      </c>
      <c r="G165" s="16" t="s">
        <v>1461</v>
      </c>
      <c r="I165" s="16" t="s">
        <v>500</v>
      </c>
    </row>
    <row r="166" spans="1:10" hidden="1" x14ac:dyDescent="0.35">
      <c r="A166" s="16">
        <v>398</v>
      </c>
      <c r="B166" s="16" t="s">
        <v>279</v>
      </c>
      <c r="C166" s="16" t="s">
        <v>633</v>
      </c>
      <c r="D166" s="16" t="s">
        <v>124</v>
      </c>
      <c r="E166" s="16" t="s">
        <v>559</v>
      </c>
      <c r="F166" s="16" t="s">
        <v>541</v>
      </c>
      <c r="G166" s="16" t="s">
        <v>1461</v>
      </c>
      <c r="I166" s="16" t="s">
        <v>500</v>
      </c>
      <c r="J166" s="16" t="s">
        <v>1745</v>
      </c>
    </row>
    <row r="167" spans="1:10" hidden="1" x14ac:dyDescent="0.35">
      <c r="A167" s="16">
        <v>398</v>
      </c>
      <c r="B167" s="16" t="s">
        <v>138</v>
      </c>
      <c r="C167" s="16" t="s">
        <v>634</v>
      </c>
      <c r="D167" s="16" t="s">
        <v>130</v>
      </c>
      <c r="E167" s="16" t="s">
        <v>809</v>
      </c>
      <c r="F167" s="16" t="s">
        <v>135</v>
      </c>
      <c r="G167" s="16" t="s">
        <v>1461</v>
      </c>
      <c r="I167" s="16" t="s">
        <v>500</v>
      </c>
    </row>
    <row r="168" spans="1:10" hidden="1" x14ac:dyDescent="0.35">
      <c r="A168" s="16">
        <v>398</v>
      </c>
      <c r="B168" s="16" t="s">
        <v>1061</v>
      </c>
      <c r="C168" s="16" t="s">
        <v>633</v>
      </c>
      <c r="D168" s="16" t="s">
        <v>130</v>
      </c>
      <c r="E168" s="16" t="s">
        <v>813</v>
      </c>
      <c r="F168" s="16" t="s">
        <v>135</v>
      </c>
      <c r="G168" s="16" t="s">
        <v>1461</v>
      </c>
      <c r="I168" s="16" t="s">
        <v>500</v>
      </c>
    </row>
    <row r="169" spans="1:10" hidden="1" x14ac:dyDescent="0.35">
      <c r="A169" s="16">
        <v>398</v>
      </c>
      <c r="B169" s="16" t="s">
        <v>1746</v>
      </c>
      <c r="C169" s="16" t="s">
        <v>633</v>
      </c>
      <c r="D169" s="16" t="s">
        <v>130</v>
      </c>
      <c r="E169" s="16" t="s">
        <v>809</v>
      </c>
      <c r="F169" s="16" t="s">
        <v>135</v>
      </c>
      <c r="G169" s="16" t="s">
        <v>1461</v>
      </c>
      <c r="I169" s="16" t="s">
        <v>500</v>
      </c>
    </row>
    <row r="170" spans="1:10" hidden="1" x14ac:dyDescent="0.35">
      <c r="A170" s="16">
        <v>398</v>
      </c>
      <c r="B170" s="16" t="s">
        <v>280</v>
      </c>
      <c r="C170" s="16" t="s">
        <v>670</v>
      </c>
      <c r="D170" s="16" t="s">
        <v>124</v>
      </c>
      <c r="E170" s="16" t="s">
        <v>559</v>
      </c>
      <c r="F170" s="16" t="s">
        <v>135</v>
      </c>
      <c r="G170" s="16" t="s">
        <v>1461</v>
      </c>
      <c r="I170" s="16" t="s">
        <v>500</v>
      </c>
    </row>
    <row r="171" spans="1:10" hidden="1" x14ac:dyDescent="0.35">
      <c r="A171" s="16">
        <v>398</v>
      </c>
      <c r="B171" s="16" t="s">
        <v>281</v>
      </c>
      <c r="C171" s="16" t="s">
        <v>671</v>
      </c>
      <c r="D171" s="16" t="s">
        <v>130</v>
      </c>
      <c r="E171" s="16" t="s">
        <v>809</v>
      </c>
      <c r="F171" s="16" t="s">
        <v>135</v>
      </c>
      <c r="G171" s="16" t="s">
        <v>1461</v>
      </c>
      <c r="I171" s="16" t="s">
        <v>500</v>
      </c>
    </row>
    <row r="172" spans="1:10" hidden="1" x14ac:dyDescent="0.35">
      <c r="A172" s="16">
        <v>398</v>
      </c>
      <c r="B172" s="16" t="s">
        <v>282</v>
      </c>
      <c r="C172" s="16" t="s">
        <v>629</v>
      </c>
      <c r="D172" s="16" t="s">
        <v>124</v>
      </c>
      <c r="E172" s="16" t="s">
        <v>539</v>
      </c>
      <c r="F172" s="16" t="s">
        <v>541</v>
      </c>
      <c r="G172" s="16" t="s">
        <v>1461</v>
      </c>
      <c r="I172" s="16" t="s">
        <v>500</v>
      </c>
    </row>
    <row r="173" spans="1:10" hidden="1" x14ac:dyDescent="0.35">
      <c r="A173" s="16">
        <v>419</v>
      </c>
      <c r="B173" s="16" t="s">
        <v>134</v>
      </c>
      <c r="C173" s="16" t="s">
        <v>631</v>
      </c>
      <c r="D173" s="16" t="s">
        <v>124</v>
      </c>
      <c r="E173" s="16" t="s">
        <v>1329</v>
      </c>
      <c r="F173" s="16" t="s">
        <v>28</v>
      </c>
      <c r="G173" s="16" t="s">
        <v>1462</v>
      </c>
      <c r="I173" s="16" t="s">
        <v>1330</v>
      </c>
      <c r="J173" s="16" t="s">
        <v>1726</v>
      </c>
    </row>
    <row r="174" spans="1:10" hidden="1" x14ac:dyDescent="0.35">
      <c r="A174" s="16">
        <v>426</v>
      </c>
      <c r="B174" s="16" t="s">
        <v>283</v>
      </c>
      <c r="D174" s="16" t="s">
        <v>124</v>
      </c>
      <c r="E174" s="16" t="s">
        <v>1595</v>
      </c>
      <c r="F174" s="16" t="s">
        <v>28</v>
      </c>
      <c r="G174" s="16">
        <v>1975</v>
      </c>
      <c r="H174" s="52"/>
      <c r="I174" s="16" t="s">
        <v>501</v>
      </c>
    </row>
    <row r="175" spans="1:10" x14ac:dyDescent="0.35">
      <c r="A175" s="16">
        <v>429</v>
      </c>
      <c r="B175" s="16" t="s">
        <v>185</v>
      </c>
      <c r="C175" s="16" t="s">
        <v>637</v>
      </c>
      <c r="D175" s="16" t="s">
        <v>124</v>
      </c>
      <c r="E175" s="16" t="s">
        <v>539</v>
      </c>
      <c r="F175" s="16" t="s">
        <v>548</v>
      </c>
      <c r="G175" s="16" t="s">
        <v>1463</v>
      </c>
      <c r="I175" s="16" t="s">
        <v>502</v>
      </c>
    </row>
    <row r="176" spans="1:10" x14ac:dyDescent="0.35">
      <c r="A176" s="16">
        <v>429</v>
      </c>
      <c r="B176" s="16" t="s">
        <v>167</v>
      </c>
      <c r="C176" s="16" t="s">
        <v>629</v>
      </c>
      <c r="D176" s="16" t="s">
        <v>124</v>
      </c>
      <c r="E176" s="16" t="s">
        <v>539</v>
      </c>
      <c r="F176" s="16" t="s">
        <v>548</v>
      </c>
      <c r="G176" s="16" t="s">
        <v>1463</v>
      </c>
      <c r="I176" s="16" t="s">
        <v>502</v>
      </c>
    </row>
    <row r="177" spans="1:9" x14ac:dyDescent="0.35">
      <c r="A177" s="16">
        <v>429</v>
      </c>
      <c r="B177" s="16" t="s">
        <v>284</v>
      </c>
      <c r="C177" s="16" t="s">
        <v>629</v>
      </c>
      <c r="D177" s="16" t="s">
        <v>124</v>
      </c>
      <c r="E177" s="16" t="s">
        <v>539</v>
      </c>
      <c r="F177" s="16" t="s">
        <v>548</v>
      </c>
      <c r="G177" s="16" t="s">
        <v>1463</v>
      </c>
      <c r="I177" s="16" t="s">
        <v>502</v>
      </c>
    </row>
    <row r="178" spans="1:9" x14ac:dyDescent="0.35">
      <c r="A178" s="16">
        <v>429</v>
      </c>
      <c r="B178" s="16" t="s">
        <v>253</v>
      </c>
      <c r="C178" s="16" t="s">
        <v>633</v>
      </c>
      <c r="D178" s="16" t="s">
        <v>124</v>
      </c>
      <c r="E178" s="16" t="s">
        <v>539</v>
      </c>
      <c r="F178" s="16" t="s">
        <v>548</v>
      </c>
      <c r="G178" s="16" t="s">
        <v>1463</v>
      </c>
      <c r="I178" s="16" t="s">
        <v>502</v>
      </c>
    </row>
    <row r="179" spans="1:9" x14ac:dyDescent="0.35">
      <c r="A179" s="16">
        <v>429</v>
      </c>
      <c r="B179" s="16" t="s">
        <v>285</v>
      </c>
      <c r="C179" s="16" t="s">
        <v>672</v>
      </c>
      <c r="D179" s="16" t="s">
        <v>124</v>
      </c>
      <c r="E179" s="16" t="s">
        <v>538</v>
      </c>
      <c r="F179" s="16" t="s">
        <v>548</v>
      </c>
      <c r="G179" s="16" t="s">
        <v>1463</v>
      </c>
      <c r="I179" s="16" t="s">
        <v>502</v>
      </c>
    </row>
    <row r="180" spans="1:9" x14ac:dyDescent="0.35">
      <c r="A180" s="16">
        <v>438</v>
      </c>
      <c r="B180" s="16" t="s">
        <v>286</v>
      </c>
      <c r="C180" s="16" t="s">
        <v>673</v>
      </c>
      <c r="D180" s="16" t="s">
        <v>130</v>
      </c>
      <c r="E180" s="16" t="s">
        <v>813</v>
      </c>
      <c r="F180" s="16" t="s">
        <v>548</v>
      </c>
      <c r="G180" s="16" t="s">
        <v>1464</v>
      </c>
      <c r="I180" s="16" t="s">
        <v>503</v>
      </c>
    </row>
    <row r="181" spans="1:9" x14ac:dyDescent="0.35">
      <c r="A181" s="16">
        <v>438</v>
      </c>
      <c r="B181" s="16" t="s">
        <v>287</v>
      </c>
      <c r="C181" s="16" t="s">
        <v>674</v>
      </c>
      <c r="D181" s="16" t="s">
        <v>130</v>
      </c>
      <c r="E181" s="16" t="s">
        <v>813</v>
      </c>
      <c r="F181" s="16" t="s">
        <v>548</v>
      </c>
      <c r="G181" s="16" t="s">
        <v>1464</v>
      </c>
      <c r="I181" s="16" t="s">
        <v>503</v>
      </c>
    </row>
    <row r="182" spans="1:9" x14ac:dyDescent="0.35">
      <c r="A182" s="16">
        <v>438</v>
      </c>
      <c r="B182" s="16" t="s">
        <v>288</v>
      </c>
      <c r="C182" s="16" t="s">
        <v>675</v>
      </c>
      <c r="D182" s="16" t="s">
        <v>130</v>
      </c>
      <c r="E182" s="16" t="s">
        <v>813</v>
      </c>
      <c r="F182" s="16" t="s">
        <v>548</v>
      </c>
      <c r="G182" s="16" t="s">
        <v>1464</v>
      </c>
      <c r="I182" s="16" t="s">
        <v>503</v>
      </c>
    </row>
    <row r="183" spans="1:9" x14ac:dyDescent="0.35">
      <c r="A183" s="16">
        <v>438</v>
      </c>
      <c r="B183" s="16" t="s">
        <v>289</v>
      </c>
      <c r="C183" s="16" t="s">
        <v>676</v>
      </c>
      <c r="D183" s="16" t="s">
        <v>130</v>
      </c>
      <c r="E183" s="16" t="s">
        <v>813</v>
      </c>
      <c r="F183" s="16" t="s">
        <v>548</v>
      </c>
      <c r="G183" s="16" t="s">
        <v>1464</v>
      </c>
      <c r="I183" s="16" t="s">
        <v>503</v>
      </c>
    </row>
    <row r="184" spans="1:9" x14ac:dyDescent="0.35">
      <c r="A184" s="16">
        <v>438</v>
      </c>
      <c r="B184" s="16" t="s">
        <v>290</v>
      </c>
      <c r="C184" s="16" t="s">
        <v>676</v>
      </c>
      <c r="D184" s="16" t="s">
        <v>130</v>
      </c>
      <c r="E184" s="16" t="s">
        <v>813</v>
      </c>
      <c r="F184" s="16" t="s">
        <v>548</v>
      </c>
      <c r="G184" s="16" t="s">
        <v>1464</v>
      </c>
      <c r="I184" s="16" t="s">
        <v>503</v>
      </c>
    </row>
    <row r="185" spans="1:9" x14ac:dyDescent="0.35">
      <c r="A185" s="16">
        <v>438</v>
      </c>
      <c r="B185" s="16" t="s">
        <v>291</v>
      </c>
      <c r="C185" s="16" t="s">
        <v>675</v>
      </c>
      <c r="D185" s="16" t="s">
        <v>130</v>
      </c>
      <c r="E185" s="16" t="s">
        <v>813</v>
      </c>
      <c r="F185" s="16" t="s">
        <v>548</v>
      </c>
      <c r="G185" s="16" t="s">
        <v>1464</v>
      </c>
      <c r="I185" s="16" t="s">
        <v>503</v>
      </c>
    </row>
    <row r="186" spans="1:9" x14ac:dyDescent="0.35">
      <c r="A186" s="16">
        <v>438</v>
      </c>
      <c r="B186" s="16" t="s">
        <v>292</v>
      </c>
      <c r="C186" s="16" t="s">
        <v>675</v>
      </c>
      <c r="D186" s="16" t="s">
        <v>130</v>
      </c>
      <c r="E186" s="16" t="s">
        <v>813</v>
      </c>
      <c r="F186" s="16" t="s">
        <v>548</v>
      </c>
      <c r="G186" s="16" t="s">
        <v>1464</v>
      </c>
      <c r="I186" s="16" t="s">
        <v>503</v>
      </c>
    </row>
    <row r="187" spans="1:9" x14ac:dyDescent="0.35">
      <c r="A187" s="16">
        <v>438</v>
      </c>
      <c r="B187" s="16" t="s">
        <v>293</v>
      </c>
      <c r="C187" s="16" t="s">
        <v>677</v>
      </c>
      <c r="D187" s="16" t="s">
        <v>130</v>
      </c>
      <c r="E187" s="16" t="s">
        <v>813</v>
      </c>
      <c r="F187" s="16" t="s">
        <v>548</v>
      </c>
      <c r="G187" s="16" t="s">
        <v>1464</v>
      </c>
      <c r="I187" s="16" t="s">
        <v>503</v>
      </c>
    </row>
    <row r="188" spans="1:9" x14ac:dyDescent="0.35">
      <c r="A188" s="16">
        <v>438</v>
      </c>
      <c r="B188" s="16" t="s">
        <v>294</v>
      </c>
      <c r="C188" s="16" t="s">
        <v>633</v>
      </c>
      <c r="D188" s="16" t="s">
        <v>130</v>
      </c>
      <c r="E188" s="16" t="s">
        <v>1118</v>
      </c>
      <c r="F188" s="16" t="s">
        <v>548</v>
      </c>
      <c r="G188" s="16" t="s">
        <v>1464</v>
      </c>
      <c r="I188" s="16" t="s">
        <v>503</v>
      </c>
    </row>
    <row r="189" spans="1:9" x14ac:dyDescent="0.35">
      <c r="A189" s="16">
        <v>438</v>
      </c>
      <c r="B189" s="16" t="s">
        <v>2563</v>
      </c>
      <c r="C189" s="16" t="s">
        <v>2564</v>
      </c>
      <c r="D189" s="16" t="s">
        <v>130</v>
      </c>
      <c r="E189" s="16" t="s">
        <v>1126</v>
      </c>
      <c r="F189" s="16" t="s">
        <v>548</v>
      </c>
      <c r="G189" s="16" t="s">
        <v>1464</v>
      </c>
      <c r="I189" s="16" t="s">
        <v>503</v>
      </c>
    </row>
    <row r="190" spans="1:9" x14ac:dyDescent="0.35">
      <c r="A190" s="16">
        <v>438</v>
      </c>
      <c r="B190" s="16" t="s">
        <v>2565</v>
      </c>
      <c r="C190" s="16" t="s">
        <v>2566</v>
      </c>
      <c r="D190" s="16" t="s">
        <v>130</v>
      </c>
      <c r="E190" s="16" t="s">
        <v>1126</v>
      </c>
      <c r="F190" s="16" t="s">
        <v>548</v>
      </c>
      <c r="G190" s="16" t="s">
        <v>1464</v>
      </c>
      <c r="I190" s="16" t="s">
        <v>503</v>
      </c>
    </row>
    <row r="191" spans="1:9" x14ac:dyDescent="0.35">
      <c r="A191" s="16">
        <v>438</v>
      </c>
      <c r="B191" s="16" t="s">
        <v>295</v>
      </c>
      <c r="C191" s="16" t="s">
        <v>678</v>
      </c>
      <c r="D191" s="16" t="s">
        <v>130</v>
      </c>
      <c r="E191" s="16" t="s">
        <v>1126</v>
      </c>
      <c r="F191" s="16" t="s">
        <v>548</v>
      </c>
      <c r="G191" s="16" t="s">
        <v>1464</v>
      </c>
      <c r="I191" s="16" t="s">
        <v>503</v>
      </c>
    </row>
    <row r="192" spans="1:9" x14ac:dyDescent="0.35">
      <c r="A192" s="16">
        <v>443</v>
      </c>
      <c r="B192" s="16" t="s">
        <v>213</v>
      </c>
      <c r="C192" s="16" t="s">
        <v>679</v>
      </c>
      <c r="D192" s="16" t="s">
        <v>124</v>
      </c>
      <c r="E192" s="16" t="s">
        <v>536</v>
      </c>
      <c r="F192" s="16" t="s">
        <v>454</v>
      </c>
      <c r="G192" s="16" t="s">
        <v>1465</v>
      </c>
      <c r="I192" s="16" t="s">
        <v>504</v>
      </c>
    </row>
    <row r="193" spans="1:10" hidden="1" x14ac:dyDescent="0.35">
      <c r="A193" s="16">
        <v>505</v>
      </c>
      <c r="B193" s="16" t="s">
        <v>185</v>
      </c>
      <c r="C193" s="16" t="s">
        <v>637</v>
      </c>
      <c r="D193" s="16" t="s">
        <v>124</v>
      </c>
      <c r="E193" s="16" t="s">
        <v>539</v>
      </c>
      <c r="F193" s="16" t="s">
        <v>141</v>
      </c>
      <c r="G193" s="16" t="s">
        <v>1466</v>
      </c>
      <c r="I193" s="16" t="s">
        <v>227</v>
      </c>
    </row>
    <row r="194" spans="1:10" hidden="1" x14ac:dyDescent="0.35">
      <c r="A194" s="16">
        <v>505</v>
      </c>
      <c r="B194" s="16" t="s">
        <v>173</v>
      </c>
      <c r="C194" s="16" t="s">
        <v>633</v>
      </c>
      <c r="D194" s="16" t="s">
        <v>124</v>
      </c>
      <c r="E194" s="16" t="s">
        <v>559</v>
      </c>
      <c r="F194" s="16" t="s">
        <v>141</v>
      </c>
      <c r="G194" s="16" t="s">
        <v>1466</v>
      </c>
      <c r="I194" s="16" t="s">
        <v>227</v>
      </c>
    </row>
    <row r="195" spans="1:10" hidden="1" x14ac:dyDescent="0.35">
      <c r="A195" s="16">
        <v>505</v>
      </c>
      <c r="B195" s="16" t="s">
        <v>296</v>
      </c>
      <c r="C195" s="16" t="s">
        <v>633</v>
      </c>
      <c r="D195" s="16" t="s">
        <v>124</v>
      </c>
      <c r="E195" s="16" t="s">
        <v>559</v>
      </c>
      <c r="F195" s="16" t="s">
        <v>141</v>
      </c>
      <c r="G195" s="16" t="s">
        <v>1466</v>
      </c>
      <c r="I195" s="16" t="s">
        <v>227</v>
      </c>
    </row>
    <row r="196" spans="1:10" hidden="1" x14ac:dyDescent="0.35">
      <c r="A196" s="16">
        <v>505</v>
      </c>
      <c r="B196" s="16" t="s">
        <v>297</v>
      </c>
      <c r="C196" s="16" t="s">
        <v>680</v>
      </c>
      <c r="D196" s="16" t="s">
        <v>124</v>
      </c>
      <c r="E196" s="16" t="s">
        <v>539</v>
      </c>
      <c r="F196" s="16" t="s">
        <v>141</v>
      </c>
      <c r="G196" s="16" t="s">
        <v>1466</v>
      </c>
      <c r="I196" s="16" t="s">
        <v>227</v>
      </c>
    </row>
    <row r="197" spans="1:10" hidden="1" x14ac:dyDescent="0.35">
      <c r="A197" s="16">
        <v>505</v>
      </c>
      <c r="B197" s="16" t="s">
        <v>298</v>
      </c>
      <c r="C197" s="16" t="s">
        <v>633</v>
      </c>
      <c r="D197" s="16" t="s">
        <v>124</v>
      </c>
      <c r="E197" s="16" t="s">
        <v>559</v>
      </c>
      <c r="F197" s="16" t="s">
        <v>141</v>
      </c>
      <c r="G197" s="16" t="s">
        <v>1466</v>
      </c>
      <c r="I197" s="16" t="s">
        <v>227</v>
      </c>
    </row>
    <row r="198" spans="1:10" x14ac:dyDescent="0.35">
      <c r="A198" s="16">
        <v>509</v>
      </c>
      <c r="B198" s="16" t="s">
        <v>299</v>
      </c>
      <c r="C198" s="16" t="s">
        <v>681</v>
      </c>
      <c r="D198" s="16" t="s">
        <v>124</v>
      </c>
      <c r="E198" s="16" t="s">
        <v>536</v>
      </c>
      <c r="F198" s="16" t="s">
        <v>135</v>
      </c>
      <c r="G198" s="16" t="s">
        <v>1467</v>
      </c>
      <c r="H198" s="16" t="s">
        <v>406</v>
      </c>
      <c r="I198" s="16" t="s">
        <v>506</v>
      </c>
    </row>
    <row r="199" spans="1:10" hidden="1" x14ac:dyDescent="0.35">
      <c r="A199" s="16">
        <v>509</v>
      </c>
      <c r="B199" s="16" t="s">
        <v>300</v>
      </c>
      <c r="C199" s="16" t="s">
        <v>626</v>
      </c>
      <c r="D199" s="16" t="s">
        <v>124</v>
      </c>
      <c r="E199" s="16" t="s">
        <v>559</v>
      </c>
      <c r="F199" s="16" t="s">
        <v>135</v>
      </c>
      <c r="G199" s="16" t="s">
        <v>1467</v>
      </c>
      <c r="H199" s="16" t="s">
        <v>406</v>
      </c>
      <c r="I199" s="16" t="s">
        <v>505</v>
      </c>
    </row>
    <row r="200" spans="1:10" hidden="1" x14ac:dyDescent="0.35">
      <c r="A200" s="16">
        <v>523</v>
      </c>
      <c r="B200" s="16" t="s">
        <v>301</v>
      </c>
      <c r="C200" s="16" t="s">
        <v>637</v>
      </c>
      <c r="D200" s="16" t="s">
        <v>124</v>
      </c>
      <c r="E200" s="16" t="s">
        <v>539</v>
      </c>
      <c r="F200" s="16" t="s">
        <v>548</v>
      </c>
      <c r="G200" s="16">
        <v>2009</v>
      </c>
      <c r="H200" s="52" t="s">
        <v>403</v>
      </c>
      <c r="I200" s="16" t="s">
        <v>507</v>
      </c>
    </row>
    <row r="201" spans="1:10" hidden="1" x14ac:dyDescent="0.35">
      <c r="A201" s="16">
        <v>523</v>
      </c>
      <c r="B201" s="16" t="s">
        <v>303</v>
      </c>
      <c r="C201" s="16" t="s">
        <v>633</v>
      </c>
      <c r="D201" s="16" t="s">
        <v>124</v>
      </c>
      <c r="E201" s="16" t="s">
        <v>559</v>
      </c>
      <c r="F201" s="16" t="s">
        <v>548</v>
      </c>
      <c r="G201" s="16" t="s">
        <v>302</v>
      </c>
      <c r="H201" s="52" t="s">
        <v>403</v>
      </c>
      <c r="I201" s="16" t="s">
        <v>507</v>
      </c>
    </row>
    <row r="202" spans="1:10" hidden="1" x14ac:dyDescent="0.35">
      <c r="A202" s="16">
        <v>523</v>
      </c>
      <c r="B202" s="16" t="s">
        <v>142</v>
      </c>
      <c r="C202" s="16" t="s">
        <v>243</v>
      </c>
      <c r="D202" s="16" t="s">
        <v>124</v>
      </c>
      <c r="E202" s="16" t="s">
        <v>538</v>
      </c>
      <c r="F202" s="16" t="s">
        <v>548</v>
      </c>
      <c r="G202" s="16" t="s">
        <v>302</v>
      </c>
      <c r="H202" s="52" t="s">
        <v>403</v>
      </c>
      <c r="I202" s="16" t="s">
        <v>1330</v>
      </c>
    </row>
    <row r="203" spans="1:10" hidden="1" x14ac:dyDescent="0.35">
      <c r="A203" s="16">
        <v>532</v>
      </c>
      <c r="B203" s="16" t="s">
        <v>304</v>
      </c>
      <c r="C203" s="16" t="s">
        <v>682</v>
      </c>
      <c r="D203" s="16" t="s">
        <v>124</v>
      </c>
      <c r="E203" s="16" t="s">
        <v>150</v>
      </c>
      <c r="F203" s="16" t="s">
        <v>135</v>
      </c>
      <c r="G203" s="16">
        <v>2016</v>
      </c>
      <c r="H203" s="52"/>
      <c r="I203" s="16" t="s">
        <v>508</v>
      </c>
      <c r="J203" s="16" t="s">
        <v>2256</v>
      </c>
    </row>
    <row r="204" spans="1:10" hidden="1" x14ac:dyDescent="0.35">
      <c r="A204" s="16">
        <v>532</v>
      </c>
      <c r="B204" s="16" t="s">
        <v>305</v>
      </c>
      <c r="C204" s="16" t="s">
        <v>682</v>
      </c>
      <c r="D204" s="16" t="s">
        <v>124</v>
      </c>
      <c r="E204" s="16" t="s">
        <v>150</v>
      </c>
      <c r="F204" s="16" t="s">
        <v>135</v>
      </c>
      <c r="G204" s="16">
        <v>2016</v>
      </c>
      <c r="H204" s="52"/>
      <c r="I204" s="16" t="s">
        <v>508</v>
      </c>
      <c r="J204" s="16" t="s">
        <v>2256</v>
      </c>
    </row>
    <row r="205" spans="1:10" hidden="1" x14ac:dyDescent="0.35">
      <c r="A205" s="16">
        <v>532</v>
      </c>
      <c r="B205" s="16" t="s">
        <v>306</v>
      </c>
      <c r="C205" s="16" t="s">
        <v>683</v>
      </c>
      <c r="D205" s="16" t="s">
        <v>124</v>
      </c>
      <c r="E205" s="16" t="s">
        <v>150</v>
      </c>
      <c r="F205" s="16" t="s">
        <v>135</v>
      </c>
      <c r="G205" s="16">
        <v>2016</v>
      </c>
      <c r="H205" s="52"/>
      <c r="I205" s="16" t="s">
        <v>508</v>
      </c>
      <c r="J205" s="16" t="s">
        <v>2256</v>
      </c>
    </row>
    <row r="206" spans="1:10" hidden="1" x14ac:dyDescent="0.35">
      <c r="A206" s="16">
        <v>532</v>
      </c>
      <c r="B206" s="16" t="s">
        <v>307</v>
      </c>
      <c r="C206" s="16" t="s">
        <v>683</v>
      </c>
      <c r="D206" s="16" t="s">
        <v>124</v>
      </c>
      <c r="E206" s="16" t="s">
        <v>150</v>
      </c>
      <c r="F206" s="16" t="s">
        <v>135</v>
      </c>
      <c r="G206" s="16">
        <v>2016</v>
      </c>
      <c r="H206" s="52"/>
      <c r="I206" s="16" t="s">
        <v>508</v>
      </c>
      <c r="J206" s="16" t="s">
        <v>2256</v>
      </c>
    </row>
    <row r="207" spans="1:10" hidden="1" x14ac:dyDescent="0.35">
      <c r="A207" s="16">
        <v>532</v>
      </c>
      <c r="B207" s="16" t="s">
        <v>308</v>
      </c>
      <c r="C207" s="16" t="s">
        <v>682</v>
      </c>
      <c r="D207" s="16" t="s">
        <v>124</v>
      </c>
      <c r="E207" s="16" t="s">
        <v>150</v>
      </c>
      <c r="F207" s="16" t="s">
        <v>135</v>
      </c>
      <c r="G207" s="16">
        <v>2016</v>
      </c>
      <c r="H207" s="52"/>
      <c r="I207" s="16" t="s">
        <v>508</v>
      </c>
      <c r="J207" s="16" t="s">
        <v>2256</v>
      </c>
    </row>
    <row r="208" spans="1:10" hidden="1" x14ac:dyDescent="0.35">
      <c r="A208" s="16">
        <v>532</v>
      </c>
      <c r="B208" s="16" t="s">
        <v>309</v>
      </c>
      <c r="C208" s="16" t="s">
        <v>682</v>
      </c>
      <c r="D208" s="16" t="s">
        <v>124</v>
      </c>
      <c r="E208" s="16" t="s">
        <v>150</v>
      </c>
      <c r="F208" s="16" t="s">
        <v>135</v>
      </c>
      <c r="G208" s="16">
        <v>2016</v>
      </c>
      <c r="H208" s="52"/>
      <c r="I208" s="16" t="s">
        <v>508</v>
      </c>
      <c r="J208" s="16" t="s">
        <v>2256</v>
      </c>
    </row>
    <row r="209" spans="1:10" hidden="1" x14ac:dyDescent="0.35">
      <c r="A209" s="16">
        <v>532</v>
      </c>
      <c r="B209" s="16" t="s">
        <v>310</v>
      </c>
      <c r="C209" s="16" t="s">
        <v>682</v>
      </c>
      <c r="D209" s="16" t="s">
        <v>124</v>
      </c>
      <c r="E209" s="16" t="s">
        <v>150</v>
      </c>
      <c r="F209" s="16" t="s">
        <v>135</v>
      </c>
      <c r="G209" s="16">
        <v>2016</v>
      </c>
      <c r="H209" s="52"/>
      <c r="I209" s="16" t="s">
        <v>508</v>
      </c>
      <c r="J209" s="16" t="s">
        <v>2256</v>
      </c>
    </row>
    <row r="210" spans="1:10" hidden="1" x14ac:dyDescent="0.35">
      <c r="A210" s="16">
        <v>532</v>
      </c>
      <c r="B210" s="16" t="s">
        <v>311</v>
      </c>
      <c r="C210" s="16" t="s">
        <v>684</v>
      </c>
      <c r="D210" s="16" t="s">
        <v>124</v>
      </c>
      <c r="E210" s="16" t="s">
        <v>150</v>
      </c>
      <c r="F210" s="16" t="s">
        <v>135</v>
      </c>
      <c r="G210" s="16">
        <v>2016</v>
      </c>
      <c r="H210" s="52"/>
      <c r="I210" s="16" t="s">
        <v>508</v>
      </c>
      <c r="J210" s="16" t="s">
        <v>2256</v>
      </c>
    </row>
    <row r="211" spans="1:10" hidden="1" x14ac:dyDescent="0.35">
      <c r="A211" s="16">
        <v>533</v>
      </c>
      <c r="B211" s="16" t="s">
        <v>312</v>
      </c>
      <c r="C211" s="16" t="s">
        <v>633</v>
      </c>
      <c r="D211" s="16" t="s">
        <v>124</v>
      </c>
      <c r="E211" s="16" t="s">
        <v>559</v>
      </c>
      <c r="F211" s="16" t="s">
        <v>135</v>
      </c>
      <c r="G211" s="16" t="s">
        <v>1468</v>
      </c>
      <c r="I211" s="16" t="s">
        <v>509</v>
      </c>
    </row>
    <row r="212" spans="1:10" hidden="1" x14ac:dyDescent="0.35">
      <c r="A212" s="16">
        <v>533</v>
      </c>
      <c r="B212" s="16" t="s">
        <v>313</v>
      </c>
      <c r="C212" s="16" t="s">
        <v>633</v>
      </c>
      <c r="D212" s="16" t="s">
        <v>124</v>
      </c>
      <c r="E212" s="16" t="s">
        <v>559</v>
      </c>
      <c r="F212" s="16" t="s">
        <v>135</v>
      </c>
      <c r="G212" s="16" t="s">
        <v>1468</v>
      </c>
      <c r="I212" s="16" t="s">
        <v>509</v>
      </c>
    </row>
    <row r="213" spans="1:10" hidden="1" x14ac:dyDescent="0.35">
      <c r="A213" s="16">
        <v>533</v>
      </c>
      <c r="B213" s="16" t="s">
        <v>314</v>
      </c>
      <c r="C213" s="16" t="s">
        <v>637</v>
      </c>
      <c r="D213" s="16" t="s">
        <v>124</v>
      </c>
      <c r="E213" s="16" t="s">
        <v>539</v>
      </c>
      <c r="F213" s="16" t="s">
        <v>135</v>
      </c>
      <c r="G213" s="16" t="s">
        <v>1468</v>
      </c>
      <c r="I213" s="16" t="s">
        <v>509</v>
      </c>
    </row>
    <row r="214" spans="1:10" hidden="1" x14ac:dyDescent="0.35">
      <c r="A214" s="16">
        <v>533</v>
      </c>
      <c r="B214" s="16" t="s">
        <v>315</v>
      </c>
      <c r="C214" s="16" t="s">
        <v>633</v>
      </c>
      <c r="D214" s="16" t="s">
        <v>124</v>
      </c>
      <c r="E214" s="16" t="s">
        <v>539</v>
      </c>
      <c r="F214" s="16" t="s">
        <v>135</v>
      </c>
      <c r="G214" s="16" t="s">
        <v>1468</v>
      </c>
      <c r="I214" s="16" t="s">
        <v>509</v>
      </c>
    </row>
    <row r="215" spans="1:10" hidden="1" x14ac:dyDescent="0.35">
      <c r="A215" s="16">
        <v>550</v>
      </c>
      <c r="B215" s="16" t="s">
        <v>173</v>
      </c>
      <c r="C215" s="16" t="s">
        <v>633</v>
      </c>
      <c r="D215" s="16" t="s">
        <v>124</v>
      </c>
      <c r="E215" s="16" t="s">
        <v>559</v>
      </c>
      <c r="F215" s="16" t="s">
        <v>434</v>
      </c>
      <c r="G215" s="16" t="s">
        <v>1448</v>
      </c>
      <c r="I215" s="16" t="s">
        <v>1330</v>
      </c>
    </row>
    <row r="216" spans="1:10" hidden="1" x14ac:dyDescent="0.35">
      <c r="A216" s="16">
        <v>550</v>
      </c>
      <c r="B216" s="16" t="s">
        <v>316</v>
      </c>
      <c r="C216" s="16" t="s">
        <v>633</v>
      </c>
      <c r="D216" s="16" t="s">
        <v>124</v>
      </c>
      <c r="E216" s="16" t="s">
        <v>559</v>
      </c>
      <c r="F216" s="16" t="s">
        <v>434</v>
      </c>
      <c r="G216" s="16" t="s">
        <v>1448</v>
      </c>
      <c r="I216" s="16" t="s">
        <v>1330</v>
      </c>
    </row>
    <row r="217" spans="1:10" hidden="1" x14ac:dyDescent="0.35">
      <c r="A217" s="16">
        <v>550</v>
      </c>
      <c r="B217" s="16" t="s">
        <v>134</v>
      </c>
      <c r="C217" s="16" t="s">
        <v>631</v>
      </c>
      <c r="D217" s="16" t="s">
        <v>124</v>
      </c>
      <c r="E217" s="16" t="s">
        <v>1329</v>
      </c>
      <c r="F217" s="16" t="s">
        <v>434</v>
      </c>
      <c r="G217" s="16" t="s">
        <v>1448</v>
      </c>
      <c r="I217" s="16" t="s">
        <v>1330</v>
      </c>
      <c r="J217" s="16" t="s">
        <v>1726</v>
      </c>
    </row>
    <row r="218" spans="1:10" hidden="1" x14ac:dyDescent="0.35">
      <c r="A218" s="16">
        <v>553</v>
      </c>
      <c r="B218" s="16" t="s">
        <v>142</v>
      </c>
      <c r="C218" s="16" t="s">
        <v>243</v>
      </c>
      <c r="D218" s="16" t="s">
        <v>124</v>
      </c>
      <c r="E218" s="16" t="s">
        <v>538</v>
      </c>
      <c r="F218" s="16" t="s">
        <v>541</v>
      </c>
      <c r="G218" s="16" t="s">
        <v>1470</v>
      </c>
      <c r="I218" s="16" t="s">
        <v>510</v>
      </c>
    </row>
    <row r="219" spans="1:10" hidden="1" x14ac:dyDescent="0.35">
      <c r="A219" s="16">
        <v>553</v>
      </c>
      <c r="B219" s="16" t="s">
        <v>317</v>
      </c>
      <c r="C219" s="16" t="s">
        <v>685</v>
      </c>
      <c r="D219" s="16" t="s">
        <v>124</v>
      </c>
      <c r="E219" s="16" t="s">
        <v>539</v>
      </c>
      <c r="F219" s="16" t="s">
        <v>541</v>
      </c>
      <c r="G219" s="16" t="s">
        <v>1470</v>
      </c>
      <c r="I219" s="16" t="s">
        <v>510</v>
      </c>
    </row>
    <row r="220" spans="1:10" hidden="1" x14ac:dyDescent="0.35">
      <c r="A220" s="16">
        <v>553</v>
      </c>
      <c r="B220" s="16" t="s">
        <v>318</v>
      </c>
      <c r="C220" s="16" t="s">
        <v>633</v>
      </c>
      <c r="D220" s="16" t="s">
        <v>124</v>
      </c>
      <c r="E220" s="16" t="s">
        <v>559</v>
      </c>
      <c r="F220" s="16" t="s">
        <v>541</v>
      </c>
      <c r="G220" s="16" t="s">
        <v>1470</v>
      </c>
      <c r="I220" s="16" t="s">
        <v>510</v>
      </c>
    </row>
    <row r="221" spans="1:10" hidden="1" x14ac:dyDescent="0.35">
      <c r="A221" s="16">
        <v>553</v>
      </c>
      <c r="B221" s="16" t="s">
        <v>319</v>
      </c>
      <c r="C221" s="16" t="s">
        <v>686</v>
      </c>
      <c r="D221" s="16" t="s">
        <v>124</v>
      </c>
      <c r="E221" s="16" t="s">
        <v>559</v>
      </c>
      <c r="F221" s="16" t="s">
        <v>541</v>
      </c>
      <c r="G221" s="16" t="s">
        <v>1470</v>
      </c>
      <c r="I221" s="16" t="s">
        <v>511</v>
      </c>
    </row>
    <row r="222" spans="1:10" hidden="1" x14ac:dyDescent="0.35">
      <c r="A222" s="16">
        <v>553</v>
      </c>
      <c r="B222" s="16" t="s">
        <v>320</v>
      </c>
      <c r="C222" s="16" t="s">
        <v>628</v>
      </c>
      <c r="D222" s="16" t="s">
        <v>124</v>
      </c>
      <c r="E222" s="16" t="s">
        <v>559</v>
      </c>
      <c r="F222" s="16" t="s">
        <v>541</v>
      </c>
      <c r="G222" s="16" t="s">
        <v>1470</v>
      </c>
      <c r="I222" s="16" t="s">
        <v>512</v>
      </c>
    </row>
    <row r="223" spans="1:10" hidden="1" x14ac:dyDescent="0.35">
      <c r="A223" s="16">
        <v>553</v>
      </c>
      <c r="B223" s="16" t="s">
        <v>321</v>
      </c>
      <c r="C223" s="16" t="s">
        <v>626</v>
      </c>
      <c r="D223" s="16" t="s">
        <v>124</v>
      </c>
      <c r="E223" s="16" t="s">
        <v>559</v>
      </c>
      <c r="F223" s="16" t="s">
        <v>541</v>
      </c>
      <c r="G223" s="16" t="s">
        <v>1470</v>
      </c>
      <c r="I223" s="16" t="s">
        <v>513</v>
      </c>
    </row>
    <row r="224" spans="1:10" hidden="1" x14ac:dyDescent="0.35">
      <c r="A224" s="16">
        <v>553</v>
      </c>
      <c r="B224" s="16" t="s">
        <v>322</v>
      </c>
      <c r="C224" s="16" t="s">
        <v>628</v>
      </c>
      <c r="D224" s="16" t="s">
        <v>124</v>
      </c>
      <c r="E224" s="16" t="s">
        <v>559</v>
      </c>
      <c r="F224" s="16" t="s">
        <v>541</v>
      </c>
      <c r="G224" s="16" t="s">
        <v>1470</v>
      </c>
      <c r="I224" s="16" t="s">
        <v>514</v>
      </c>
    </row>
    <row r="225" spans="1:9" hidden="1" x14ac:dyDescent="0.35">
      <c r="A225" s="16">
        <v>553</v>
      </c>
      <c r="B225" s="16" t="s">
        <v>323</v>
      </c>
      <c r="C225" s="16" t="s">
        <v>633</v>
      </c>
      <c r="D225" s="16" t="s">
        <v>124</v>
      </c>
      <c r="E225" s="16" t="s">
        <v>559</v>
      </c>
      <c r="F225" s="16" t="s">
        <v>541</v>
      </c>
      <c r="G225" s="16" t="s">
        <v>1470</v>
      </c>
      <c r="I225" s="16" t="s">
        <v>1330</v>
      </c>
    </row>
    <row r="226" spans="1:9" hidden="1" x14ac:dyDescent="0.35">
      <c r="A226" s="16">
        <v>553</v>
      </c>
      <c r="B226" s="16" t="s">
        <v>324</v>
      </c>
      <c r="C226" s="16" t="s">
        <v>687</v>
      </c>
      <c r="D226" s="16" t="s">
        <v>124</v>
      </c>
      <c r="E226" s="16" t="s">
        <v>539</v>
      </c>
      <c r="F226" s="16" t="s">
        <v>541</v>
      </c>
      <c r="G226" s="16" t="s">
        <v>1470</v>
      </c>
      <c r="I226" s="16" t="s">
        <v>1330</v>
      </c>
    </row>
    <row r="227" spans="1:9" hidden="1" x14ac:dyDescent="0.35">
      <c r="A227" s="16">
        <v>553</v>
      </c>
      <c r="B227" s="16" t="s">
        <v>325</v>
      </c>
      <c r="C227" s="16" t="s">
        <v>688</v>
      </c>
      <c r="D227" s="16" t="s">
        <v>124</v>
      </c>
      <c r="E227" s="16" t="s">
        <v>539</v>
      </c>
      <c r="F227" s="16" t="s">
        <v>541</v>
      </c>
      <c r="G227" s="16" t="s">
        <v>1470</v>
      </c>
      <c r="I227" s="16" t="s">
        <v>1330</v>
      </c>
    </row>
    <row r="228" spans="1:9" hidden="1" x14ac:dyDescent="0.35">
      <c r="A228" s="16">
        <v>553</v>
      </c>
      <c r="B228" s="16" t="s">
        <v>326</v>
      </c>
      <c r="C228" s="16" t="s">
        <v>629</v>
      </c>
      <c r="D228" s="16" t="s">
        <v>124</v>
      </c>
      <c r="E228" s="16" t="s">
        <v>539</v>
      </c>
      <c r="F228" s="16" t="s">
        <v>541</v>
      </c>
      <c r="G228" s="16" t="s">
        <v>1470</v>
      </c>
      <c r="I228" s="16" t="s">
        <v>1330</v>
      </c>
    </row>
    <row r="229" spans="1:9" hidden="1" x14ac:dyDescent="0.35">
      <c r="A229" s="16">
        <v>553</v>
      </c>
      <c r="B229" s="16" t="s">
        <v>327</v>
      </c>
      <c r="C229" s="16" t="s">
        <v>689</v>
      </c>
      <c r="D229" s="16" t="s">
        <v>124</v>
      </c>
      <c r="E229" s="16" t="s">
        <v>539</v>
      </c>
      <c r="F229" s="16" t="s">
        <v>541</v>
      </c>
      <c r="G229" s="16" t="s">
        <v>1470</v>
      </c>
      <c r="I229" s="16" t="s">
        <v>1330</v>
      </c>
    </row>
    <row r="230" spans="1:9" hidden="1" x14ac:dyDescent="0.35">
      <c r="A230" s="16">
        <v>553</v>
      </c>
      <c r="B230" s="16" t="s">
        <v>328</v>
      </c>
      <c r="C230" s="16" t="s">
        <v>629</v>
      </c>
      <c r="D230" s="16" t="s">
        <v>124</v>
      </c>
      <c r="E230" s="16" t="s">
        <v>539</v>
      </c>
      <c r="F230" s="16" t="s">
        <v>541</v>
      </c>
      <c r="G230" s="16" t="s">
        <v>1470</v>
      </c>
      <c r="I230" s="16" t="s">
        <v>1330</v>
      </c>
    </row>
    <row r="231" spans="1:9" hidden="1" x14ac:dyDescent="0.35">
      <c r="A231" s="16">
        <v>553</v>
      </c>
      <c r="B231" s="16" t="s">
        <v>185</v>
      </c>
      <c r="C231" s="16" t="s">
        <v>637</v>
      </c>
      <c r="D231" s="16" t="s">
        <v>124</v>
      </c>
      <c r="E231" s="16" t="s">
        <v>539</v>
      </c>
      <c r="F231" s="16" t="s">
        <v>541</v>
      </c>
      <c r="G231" s="16" t="s">
        <v>1470</v>
      </c>
      <c r="I231" s="16" t="s">
        <v>510</v>
      </c>
    </row>
    <row r="232" spans="1:9" hidden="1" x14ac:dyDescent="0.35">
      <c r="A232" s="16">
        <v>553</v>
      </c>
      <c r="B232" s="16" t="s">
        <v>329</v>
      </c>
      <c r="C232" s="16" t="s">
        <v>633</v>
      </c>
      <c r="D232" s="16" t="s">
        <v>124</v>
      </c>
      <c r="E232" s="16" t="s">
        <v>559</v>
      </c>
      <c r="F232" s="16" t="s">
        <v>541</v>
      </c>
      <c r="G232" s="16" t="s">
        <v>1470</v>
      </c>
      <c r="I232" s="16" t="s">
        <v>510</v>
      </c>
    </row>
    <row r="233" spans="1:9" hidden="1" x14ac:dyDescent="0.35">
      <c r="A233" s="16">
        <v>553</v>
      </c>
      <c r="B233" s="16" t="s">
        <v>214</v>
      </c>
      <c r="C233" s="16" t="s">
        <v>641</v>
      </c>
      <c r="D233" s="16" t="s">
        <v>124</v>
      </c>
      <c r="E233" s="16" t="s">
        <v>536</v>
      </c>
      <c r="F233" s="16" t="s">
        <v>541</v>
      </c>
      <c r="G233" s="16" t="s">
        <v>1470</v>
      </c>
      <c r="I233" s="16" t="s">
        <v>330</v>
      </c>
    </row>
    <row r="234" spans="1:9" hidden="1" x14ac:dyDescent="0.35">
      <c r="A234" s="16">
        <v>561</v>
      </c>
      <c r="B234" s="16" t="s">
        <v>331</v>
      </c>
      <c r="C234" s="16" t="s">
        <v>633</v>
      </c>
      <c r="D234" s="16" t="s">
        <v>124</v>
      </c>
      <c r="E234" s="16" t="s">
        <v>559</v>
      </c>
      <c r="F234" s="16" t="s">
        <v>135</v>
      </c>
      <c r="G234" s="16">
        <v>1997</v>
      </c>
      <c r="H234" s="52"/>
      <c r="I234" s="16" t="s">
        <v>1330</v>
      </c>
    </row>
    <row r="235" spans="1:9" hidden="1" x14ac:dyDescent="0.35">
      <c r="A235" s="16">
        <v>561</v>
      </c>
      <c r="B235" s="16" t="s">
        <v>332</v>
      </c>
      <c r="C235" s="16" t="s">
        <v>641</v>
      </c>
      <c r="D235" s="16" t="s">
        <v>124</v>
      </c>
      <c r="E235" s="16" t="s">
        <v>536</v>
      </c>
      <c r="F235" s="16" t="s">
        <v>135</v>
      </c>
      <c r="G235" s="16">
        <v>1997</v>
      </c>
      <c r="H235" s="52"/>
      <c r="I235" s="16" t="s">
        <v>1330</v>
      </c>
    </row>
    <row r="236" spans="1:9" hidden="1" x14ac:dyDescent="0.35">
      <c r="A236" s="16">
        <v>561</v>
      </c>
      <c r="B236" s="16" t="s">
        <v>333</v>
      </c>
      <c r="C236" s="16" t="s">
        <v>641</v>
      </c>
      <c r="D236" s="16" t="s">
        <v>124</v>
      </c>
      <c r="E236" s="16" t="s">
        <v>536</v>
      </c>
      <c r="F236" s="16" t="s">
        <v>135</v>
      </c>
      <c r="G236" s="16">
        <v>1997</v>
      </c>
      <c r="H236" s="52"/>
      <c r="I236" s="16" t="s">
        <v>1330</v>
      </c>
    </row>
    <row r="237" spans="1:9" hidden="1" x14ac:dyDescent="0.35">
      <c r="A237" s="16">
        <v>566</v>
      </c>
      <c r="B237" s="16" t="s">
        <v>173</v>
      </c>
      <c r="C237" s="16" t="s">
        <v>633</v>
      </c>
      <c r="D237" s="16" t="s">
        <v>124</v>
      </c>
      <c r="E237" s="16" t="s">
        <v>559</v>
      </c>
      <c r="F237" s="16" t="s">
        <v>549</v>
      </c>
      <c r="G237" s="16">
        <v>2003</v>
      </c>
      <c r="H237" s="52"/>
      <c r="I237" s="16" t="s">
        <v>334</v>
      </c>
    </row>
    <row r="238" spans="1:9" hidden="1" x14ac:dyDescent="0.35">
      <c r="A238" s="16">
        <v>566</v>
      </c>
      <c r="B238" s="16" t="s">
        <v>335</v>
      </c>
      <c r="C238" s="16" t="s">
        <v>656</v>
      </c>
      <c r="D238" s="16" t="s">
        <v>130</v>
      </c>
      <c r="E238" s="16" t="s">
        <v>1021</v>
      </c>
      <c r="F238" s="16" t="s">
        <v>135</v>
      </c>
      <c r="G238" s="16" t="s">
        <v>1471</v>
      </c>
      <c r="I238" s="16" t="s">
        <v>334</v>
      </c>
    </row>
    <row r="239" spans="1:9" hidden="1" x14ac:dyDescent="0.35">
      <c r="A239" s="16">
        <v>566</v>
      </c>
      <c r="B239" s="16" t="s">
        <v>2635</v>
      </c>
      <c r="C239" s="16" t="s">
        <v>626</v>
      </c>
      <c r="D239" s="16" t="s">
        <v>130</v>
      </c>
      <c r="E239" s="16" t="s">
        <v>809</v>
      </c>
      <c r="F239" s="16" t="s">
        <v>550</v>
      </c>
      <c r="G239" s="16" t="s">
        <v>1472</v>
      </c>
      <c r="I239" s="16" t="s">
        <v>334</v>
      </c>
    </row>
    <row r="240" spans="1:9" hidden="1" x14ac:dyDescent="0.35">
      <c r="A240" s="16">
        <v>566</v>
      </c>
      <c r="B240" s="16" t="s">
        <v>336</v>
      </c>
      <c r="C240" s="16" t="s">
        <v>690</v>
      </c>
      <c r="D240" s="16" t="s">
        <v>130</v>
      </c>
      <c r="E240" s="16" t="s">
        <v>809</v>
      </c>
      <c r="F240" s="16" t="s">
        <v>135</v>
      </c>
      <c r="G240" s="16" t="s">
        <v>1473</v>
      </c>
      <c r="I240" s="16" t="s">
        <v>334</v>
      </c>
    </row>
    <row r="241" spans="1:9" hidden="1" x14ac:dyDescent="0.35">
      <c r="A241" s="16">
        <v>566</v>
      </c>
      <c r="B241" s="16" t="s">
        <v>228</v>
      </c>
      <c r="C241" s="16" t="s">
        <v>691</v>
      </c>
      <c r="D241" s="16" t="s">
        <v>130</v>
      </c>
      <c r="E241" s="16" t="s">
        <v>1126</v>
      </c>
      <c r="F241" s="16" t="s">
        <v>135</v>
      </c>
      <c r="G241" s="16" t="s">
        <v>1441</v>
      </c>
      <c r="I241" s="16" t="s">
        <v>334</v>
      </c>
    </row>
    <row r="242" spans="1:9" hidden="1" x14ac:dyDescent="0.35">
      <c r="A242" s="16">
        <v>597</v>
      </c>
      <c r="B242" s="16" t="s">
        <v>2562</v>
      </c>
      <c r="C242" s="16" t="s">
        <v>633</v>
      </c>
      <c r="D242" s="16" t="s">
        <v>124</v>
      </c>
      <c r="E242" s="16" t="s">
        <v>536</v>
      </c>
      <c r="F242" s="16" t="s">
        <v>337</v>
      </c>
      <c r="G242" s="16" t="s">
        <v>1474</v>
      </c>
      <c r="I242" s="16" t="s">
        <v>515</v>
      </c>
    </row>
    <row r="243" spans="1:9" x14ac:dyDescent="0.35">
      <c r="A243" s="16">
        <v>603</v>
      </c>
      <c r="B243" s="16" t="s">
        <v>339</v>
      </c>
      <c r="C243" s="16" t="s">
        <v>692</v>
      </c>
      <c r="D243" s="16" t="s">
        <v>124</v>
      </c>
      <c r="E243" s="16" t="s">
        <v>2243</v>
      </c>
      <c r="F243" s="16" t="s">
        <v>338</v>
      </c>
      <c r="G243" s="16" t="s">
        <v>1475</v>
      </c>
      <c r="I243" s="16" t="s">
        <v>516</v>
      </c>
    </row>
    <row r="244" spans="1:9" x14ac:dyDescent="0.35">
      <c r="A244" s="16">
        <v>603</v>
      </c>
      <c r="B244" s="16" t="s">
        <v>340</v>
      </c>
      <c r="C244" s="16" t="s">
        <v>693</v>
      </c>
      <c r="D244" s="16" t="s">
        <v>124</v>
      </c>
      <c r="E244" s="16" t="s">
        <v>2243</v>
      </c>
      <c r="F244" s="16" t="s">
        <v>338</v>
      </c>
      <c r="G244" s="16" t="s">
        <v>1475</v>
      </c>
      <c r="I244" s="16" t="s">
        <v>516</v>
      </c>
    </row>
    <row r="245" spans="1:9" x14ac:dyDescent="0.35">
      <c r="A245" s="16">
        <v>603</v>
      </c>
      <c r="B245" s="16" t="s">
        <v>341</v>
      </c>
      <c r="C245" s="16" t="s">
        <v>694</v>
      </c>
      <c r="D245" s="16" t="s">
        <v>124</v>
      </c>
      <c r="E245" s="16" t="s">
        <v>2243</v>
      </c>
      <c r="F245" s="16" t="s">
        <v>338</v>
      </c>
      <c r="G245" s="16" t="s">
        <v>1475</v>
      </c>
      <c r="I245" s="16" t="s">
        <v>516</v>
      </c>
    </row>
    <row r="246" spans="1:9" x14ac:dyDescent="0.35">
      <c r="A246" s="16">
        <v>603</v>
      </c>
      <c r="B246" s="16" t="s">
        <v>342</v>
      </c>
      <c r="C246" s="16" t="s">
        <v>695</v>
      </c>
      <c r="D246" s="16" t="s">
        <v>124</v>
      </c>
      <c r="E246" s="16" t="s">
        <v>2243</v>
      </c>
      <c r="F246" s="16" t="s">
        <v>338</v>
      </c>
      <c r="G246" s="16" t="s">
        <v>1475</v>
      </c>
      <c r="I246" s="16" t="s">
        <v>516</v>
      </c>
    </row>
    <row r="247" spans="1:9" x14ac:dyDescent="0.35">
      <c r="A247" s="16">
        <v>603</v>
      </c>
      <c r="B247" s="16" t="s">
        <v>343</v>
      </c>
      <c r="C247" s="16" t="s">
        <v>696</v>
      </c>
      <c r="D247" s="16" t="s">
        <v>124</v>
      </c>
      <c r="E247" s="16" t="s">
        <v>2243</v>
      </c>
      <c r="F247" s="16" t="s">
        <v>338</v>
      </c>
      <c r="G247" s="16" t="s">
        <v>1475</v>
      </c>
      <c r="I247" s="16" t="s">
        <v>516</v>
      </c>
    </row>
    <row r="248" spans="1:9" x14ac:dyDescent="0.35">
      <c r="A248" s="16">
        <v>603</v>
      </c>
      <c r="B248" s="16" t="s">
        <v>344</v>
      </c>
      <c r="C248" s="16" t="s">
        <v>633</v>
      </c>
      <c r="D248" s="16" t="s">
        <v>124</v>
      </c>
      <c r="E248" s="16" t="s">
        <v>1118</v>
      </c>
      <c r="F248" s="16" t="s">
        <v>338</v>
      </c>
      <c r="G248" s="16" t="s">
        <v>1475</v>
      </c>
      <c r="I248" s="16" t="s">
        <v>516</v>
      </c>
    </row>
    <row r="249" spans="1:9" hidden="1" x14ac:dyDescent="0.35">
      <c r="A249" s="16">
        <v>604</v>
      </c>
      <c r="B249" s="16" t="s">
        <v>345</v>
      </c>
      <c r="C249" s="16" t="s">
        <v>633</v>
      </c>
      <c r="D249" s="16" t="s">
        <v>124</v>
      </c>
      <c r="E249" s="16" t="s">
        <v>559</v>
      </c>
      <c r="F249" s="16" t="s">
        <v>541</v>
      </c>
      <c r="G249" s="16">
        <v>1999</v>
      </c>
      <c r="H249" s="52" t="s">
        <v>403</v>
      </c>
      <c r="I249" s="16" t="s">
        <v>517</v>
      </c>
    </row>
    <row r="250" spans="1:9" hidden="1" x14ac:dyDescent="0.35">
      <c r="A250" s="16">
        <v>604</v>
      </c>
      <c r="B250" s="16" t="s">
        <v>346</v>
      </c>
      <c r="C250" s="16" t="s">
        <v>633</v>
      </c>
      <c r="D250" s="16" t="s">
        <v>124</v>
      </c>
      <c r="E250" s="16" t="s">
        <v>559</v>
      </c>
      <c r="F250" s="16" t="s">
        <v>541</v>
      </c>
      <c r="G250" s="16">
        <v>1999</v>
      </c>
      <c r="H250" s="52" t="s">
        <v>403</v>
      </c>
      <c r="I250" s="16" t="s">
        <v>517</v>
      </c>
    </row>
    <row r="251" spans="1:9" hidden="1" x14ac:dyDescent="0.35">
      <c r="A251" s="16">
        <v>604</v>
      </c>
      <c r="B251" s="16" t="s">
        <v>298</v>
      </c>
      <c r="C251" s="16" t="s">
        <v>633</v>
      </c>
      <c r="D251" s="16" t="s">
        <v>124</v>
      </c>
      <c r="E251" s="16" t="s">
        <v>559</v>
      </c>
      <c r="F251" s="16" t="s">
        <v>541</v>
      </c>
      <c r="G251" s="16">
        <v>1999</v>
      </c>
      <c r="H251" s="52" t="s">
        <v>403</v>
      </c>
      <c r="I251" s="16" t="s">
        <v>517</v>
      </c>
    </row>
    <row r="252" spans="1:9" hidden="1" x14ac:dyDescent="0.35">
      <c r="A252" s="16">
        <v>604</v>
      </c>
      <c r="B252" s="16" t="s">
        <v>347</v>
      </c>
      <c r="C252" s="16" t="s">
        <v>633</v>
      </c>
      <c r="D252" s="16" t="s">
        <v>124</v>
      </c>
      <c r="E252" s="16" t="s">
        <v>559</v>
      </c>
      <c r="F252" s="16" t="s">
        <v>541</v>
      </c>
      <c r="G252" s="16">
        <v>1999</v>
      </c>
      <c r="H252" s="52" t="s">
        <v>403</v>
      </c>
      <c r="I252" s="16" t="s">
        <v>517</v>
      </c>
    </row>
    <row r="253" spans="1:9" hidden="1" x14ac:dyDescent="0.35">
      <c r="A253" s="16">
        <v>604</v>
      </c>
      <c r="B253" s="16" t="s">
        <v>185</v>
      </c>
      <c r="C253" s="16" t="s">
        <v>637</v>
      </c>
      <c r="D253" s="16" t="s">
        <v>124</v>
      </c>
      <c r="E253" s="16" t="s">
        <v>539</v>
      </c>
      <c r="F253" s="16" t="s">
        <v>541</v>
      </c>
      <c r="G253" s="16">
        <v>1999</v>
      </c>
      <c r="H253" s="52" t="s">
        <v>403</v>
      </c>
      <c r="I253" s="16" t="s">
        <v>517</v>
      </c>
    </row>
    <row r="254" spans="1:9" hidden="1" x14ac:dyDescent="0.35">
      <c r="A254" s="16">
        <v>604</v>
      </c>
      <c r="B254" s="16" t="s">
        <v>167</v>
      </c>
      <c r="C254" s="16" t="s">
        <v>697</v>
      </c>
      <c r="D254" s="16" t="s">
        <v>124</v>
      </c>
      <c r="E254" s="16" t="s">
        <v>539</v>
      </c>
      <c r="F254" s="16" t="s">
        <v>541</v>
      </c>
      <c r="G254" s="16">
        <v>1999</v>
      </c>
      <c r="H254" s="52" t="s">
        <v>403</v>
      </c>
      <c r="I254" s="16" t="s">
        <v>517</v>
      </c>
    </row>
    <row r="255" spans="1:9" hidden="1" x14ac:dyDescent="0.35">
      <c r="A255" s="16">
        <v>604</v>
      </c>
      <c r="B255" s="16" t="s">
        <v>348</v>
      </c>
      <c r="C255" s="16" t="s">
        <v>243</v>
      </c>
      <c r="D255" s="16" t="s">
        <v>124</v>
      </c>
      <c r="E255" s="16" t="s">
        <v>538</v>
      </c>
      <c r="F255" s="16" t="s">
        <v>541</v>
      </c>
      <c r="G255" s="16">
        <v>1999</v>
      </c>
      <c r="H255" s="52" t="s">
        <v>403</v>
      </c>
      <c r="I255" s="16" t="s">
        <v>517</v>
      </c>
    </row>
    <row r="256" spans="1:9" hidden="1" x14ac:dyDescent="0.35">
      <c r="A256" s="16">
        <v>604</v>
      </c>
      <c r="B256" s="16" t="s">
        <v>349</v>
      </c>
      <c r="C256" s="16" t="s">
        <v>629</v>
      </c>
      <c r="D256" s="16" t="s">
        <v>124</v>
      </c>
      <c r="E256" s="16" t="s">
        <v>539</v>
      </c>
      <c r="F256" s="16" t="s">
        <v>541</v>
      </c>
      <c r="G256" s="16">
        <v>1999</v>
      </c>
      <c r="H256" s="52" t="s">
        <v>403</v>
      </c>
      <c r="I256" s="16" t="s">
        <v>517</v>
      </c>
    </row>
    <row r="257" spans="1:10" hidden="1" x14ac:dyDescent="0.35">
      <c r="A257" s="16">
        <v>612</v>
      </c>
      <c r="B257" s="16" t="s">
        <v>381</v>
      </c>
      <c r="C257" s="16" t="s">
        <v>633</v>
      </c>
      <c r="D257" s="16" t="s">
        <v>124</v>
      </c>
      <c r="E257" s="16" t="s">
        <v>536</v>
      </c>
      <c r="F257" s="16" t="s">
        <v>337</v>
      </c>
      <c r="G257" s="16" t="s">
        <v>1330</v>
      </c>
      <c r="I257" s="16" t="s">
        <v>182</v>
      </c>
    </row>
    <row r="258" spans="1:10" x14ac:dyDescent="0.35">
      <c r="A258" s="16">
        <v>617</v>
      </c>
      <c r="B258" s="16" t="s">
        <v>382</v>
      </c>
      <c r="C258" s="16" t="s">
        <v>1749</v>
      </c>
      <c r="D258" s="16" t="s">
        <v>124</v>
      </c>
      <c r="E258" s="16" t="s">
        <v>1329</v>
      </c>
      <c r="F258" s="16" t="s">
        <v>28</v>
      </c>
      <c r="G258" s="16" t="s">
        <v>1476</v>
      </c>
      <c r="I258" s="16" t="s">
        <v>518</v>
      </c>
      <c r="J258" s="16" t="s">
        <v>1726</v>
      </c>
    </row>
    <row r="259" spans="1:10" hidden="1" x14ac:dyDescent="0.35">
      <c r="A259" s="16">
        <v>621</v>
      </c>
      <c r="B259" s="16" t="s">
        <v>385</v>
      </c>
      <c r="C259" s="16" t="s">
        <v>629</v>
      </c>
      <c r="D259" s="16" t="s">
        <v>124</v>
      </c>
      <c r="E259" s="16" t="s">
        <v>1126</v>
      </c>
      <c r="F259" s="16" t="s">
        <v>135</v>
      </c>
      <c r="G259" s="16" t="s">
        <v>1477</v>
      </c>
      <c r="I259" s="16" t="s">
        <v>384</v>
      </c>
    </row>
    <row r="260" spans="1:10" hidden="1" x14ac:dyDescent="0.35">
      <c r="A260" s="16">
        <v>621</v>
      </c>
      <c r="B260" s="16" t="s">
        <v>386</v>
      </c>
      <c r="C260" s="16" t="s">
        <v>626</v>
      </c>
      <c r="D260" s="16" t="s">
        <v>124</v>
      </c>
      <c r="E260" s="16" t="s">
        <v>559</v>
      </c>
      <c r="F260" s="16" t="s">
        <v>135</v>
      </c>
      <c r="G260" s="16" t="s">
        <v>1477</v>
      </c>
      <c r="I260" s="16" t="s">
        <v>384</v>
      </c>
    </row>
    <row r="261" spans="1:10" hidden="1" x14ac:dyDescent="0.35">
      <c r="A261" s="16">
        <v>10</v>
      </c>
      <c r="B261" s="16" t="s">
        <v>388</v>
      </c>
      <c r="C261" s="16" t="s">
        <v>698</v>
      </c>
      <c r="D261" s="16" t="s">
        <v>130</v>
      </c>
      <c r="E261" s="16" t="s">
        <v>1021</v>
      </c>
      <c r="F261" s="16" t="s">
        <v>551</v>
      </c>
      <c r="G261" s="16" t="s">
        <v>1478</v>
      </c>
      <c r="I261" s="16" t="s">
        <v>519</v>
      </c>
    </row>
    <row r="262" spans="1:10" hidden="1" x14ac:dyDescent="0.35">
      <c r="A262" s="16">
        <v>10</v>
      </c>
      <c r="B262" s="16" t="s">
        <v>390</v>
      </c>
      <c r="C262" s="16" t="s">
        <v>699</v>
      </c>
      <c r="D262" s="16" t="s">
        <v>124</v>
      </c>
      <c r="E262" s="16" t="s">
        <v>1329</v>
      </c>
      <c r="F262" s="16" t="s">
        <v>28</v>
      </c>
      <c r="G262" s="16" t="s">
        <v>1478</v>
      </c>
      <c r="I262" s="16" t="s">
        <v>520</v>
      </c>
      <c r="J262" s="16" t="s">
        <v>1726</v>
      </c>
    </row>
    <row r="263" spans="1:10" x14ac:dyDescent="0.35">
      <c r="A263" s="16">
        <v>12</v>
      </c>
      <c r="B263" s="16" t="s">
        <v>395</v>
      </c>
      <c r="C263" s="16" t="s">
        <v>700</v>
      </c>
      <c r="D263" s="16" t="s">
        <v>124</v>
      </c>
      <c r="E263" s="16" t="s">
        <v>536</v>
      </c>
      <c r="F263" s="16" t="s">
        <v>135</v>
      </c>
      <c r="G263" s="53" t="s">
        <v>60</v>
      </c>
      <c r="H263" s="54"/>
      <c r="I263" s="16" t="s">
        <v>521</v>
      </c>
    </row>
    <row r="264" spans="1:10" hidden="1" x14ac:dyDescent="0.35">
      <c r="A264" s="16">
        <v>22</v>
      </c>
      <c r="B264" s="16" t="s">
        <v>398</v>
      </c>
      <c r="C264" s="16" t="s">
        <v>633</v>
      </c>
      <c r="D264" s="16" t="s">
        <v>124</v>
      </c>
      <c r="E264" s="16" t="s">
        <v>559</v>
      </c>
      <c r="F264" s="16" t="s">
        <v>141</v>
      </c>
      <c r="G264" s="16">
        <v>2009</v>
      </c>
      <c r="H264" s="52" t="s">
        <v>403</v>
      </c>
      <c r="I264" s="16" t="s">
        <v>522</v>
      </c>
    </row>
    <row r="265" spans="1:10" hidden="1" x14ac:dyDescent="0.35">
      <c r="A265" s="16">
        <v>22</v>
      </c>
      <c r="B265" s="16" t="s">
        <v>399</v>
      </c>
      <c r="C265" s="16" t="s">
        <v>701</v>
      </c>
      <c r="D265" s="16" t="s">
        <v>124</v>
      </c>
      <c r="E265" s="16" t="s">
        <v>539</v>
      </c>
      <c r="F265" s="16" t="s">
        <v>141</v>
      </c>
      <c r="G265" s="16">
        <v>2009</v>
      </c>
      <c r="H265" s="52" t="s">
        <v>403</v>
      </c>
      <c r="I265" s="16" t="s">
        <v>522</v>
      </c>
    </row>
    <row r="266" spans="1:10" hidden="1" x14ac:dyDescent="0.35">
      <c r="A266" s="16">
        <v>22</v>
      </c>
      <c r="B266" s="16" t="s">
        <v>142</v>
      </c>
      <c r="C266" s="16" t="s">
        <v>702</v>
      </c>
      <c r="D266" s="16" t="s">
        <v>124</v>
      </c>
      <c r="E266" s="16" t="s">
        <v>538</v>
      </c>
      <c r="F266" s="16" t="s">
        <v>141</v>
      </c>
      <c r="G266" s="16">
        <v>2009</v>
      </c>
      <c r="H266" s="52" t="s">
        <v>403</v>
      </c>
      <c r="I266" s="16" t="s">
        <v>522</v>
      </c>
    </row>
    <row r="267" spans="1:10" hidden="1" x14ac:dyDescent="0.35">
      <c r="A267" s="16">
        <v>32</v>
      </c>
      <c r="B267" s="16" t="s">
        <v>401</v>
      </c>
      <c r="C267" s="16" t="s">
        <v>703</v>
      </c>
      <c r="D267" s="16" t="s">
        <v>124</v>
      </c>
      <c r="E267" s="16" t="s">
        <v>536</v>
      </c>
      <c r="F267" s="16" t="s">
        <v>135</v>
      </c>
      <c r="G267" s="16">
        <v>1985</v>
      </c>
      <c r="H267" s="16" t="s">
        <v>405</v>
      </c>
      <c r="I267" s="16" t="s">
        <v>523</v>
      </c>
    </row>
    <row r="268" spans="1:10" hidden="1" x14ac:dyDescent="0.35">
      <c r="A268" s="16">
        <v>32</v>
      </c>
      <c r="B268" s="16" t="s">
        <v>407</v>
      </c>
      <c r="C268" s="16" t="s">
        <v>704</v>
      </c>
      <c r="D268" s="16" t="s">
        <v>124</v>
      </c>
      <c r="E268" s="16" t="s">
        <v>559</v>
      </c>
      <c r="F268" s="16" t="s">
        <v>135</v>
      </c>
      <c r="G268" s="16">
        <v>1985</v>
      </c>
      <c r="H268" s="16" t="s">
        <v>405</v>
      </c>
      <c r="I268" s="16" t="s">
        <v>523</v>
      </c>
    </row>
    <row r="269" spans="1:10" hidden="1" x14ac:dyDescent="0.35">
      <c r="A269" s="16">
        <v>32</v>
      </c>
      <c r="B269" s="16" t="s">
        <v>393</v>
      </c>
      <c r="C269" s="16" t="s">
        <v>705</v>
      </c>
      <c r="D269" s="16" t="s">
        <v>124</v>
      </c>
      <c r="E269" s="16" t="s">
        <v>559</v>
      </c>
      <c r="F269" s="16" t="s">
        <v>135</v>
      </c>
      <c r="G269" s="16">
        <v>1985</v>
      </c>
      <c r="H269" s="16" t="s">
        <v>405</v>
      </c>
      <c r="I269" s="16" t="s">
        <v>523</v>
      </c>
    </row>
    <row r="270" spans="1:10" hidden="1" x14ac:dyDescent="0.35">
      <c r="A270" s="16">
        <v>52</v>
      </c>
      <c r="B270" s="16" t="s">
        <v>409</v>
      </c>
      <c r="C270" s="16" t="s">
        <v>706</v>
      </c>
      <c r="D270" s="16" t="s">
        <v>130</v>
      </c>
      <c r="E270" s="16" t="s">
        <v>536</v>
      </c>
      <c r="F270" s="16" t="s">
        <v>552</v>
      </c>
      <c r="G270" s="16">
        <v>1989</v>
      </c>
      <c r="H270" s="16" t="s">
        <v>406</v>
      </c>
      <c r="I270" s="16" t="s">
        <v>524</v>
      </c>
      <c r="J270" s="16" t="s">
        <v>2637</v>
      </c>
    </row>
    <row r="271" spans="1:10" hidden="1" x14ac:dyDescent="0.35">
      <c r="A271" s="16">
        <v>52</v>
      </c>
      <c r="B271" s="16" t="s">
        <v>414</v>
      </c>
      <c r="C271" s="16" t="s">
        <v>707</v>
      </c>
      <c r="D271" s="16" t="s">
        <v>130</v>
      </c>
      <c r="E271" s="16" t="s">
        <v>813</v>
      </c>
      <c r="F271" s="16" t="s">
        <v>552</v>
      </c>
      <c r="G271" s="16">
        <v>1989</v>
      </c>
      <c r="H271" s="16" t="s">
        <v>406</v>
      </c>
      <c r="I271" s="16" t="s">
        <v>525</v>
      </c>
    </row>
    <row r="272" spans="1:10" hidden="1" x14ac:dyDescent="0.35">
      <c r="A272" s="16">
        <v>52</v>
      </c>
      <c r="B272" s="16" t="s">
        <v>415</v>
      </c>
      <c r="C272" s="16" t="s">
        <v>633</v>
      </c>
      <c r="D272" s="16" t="s">
        <v>130</v>
      </c>
      <c r="E272" s="16" t="s">
        <v>813</v>
      </c>
      <c r="F272" s="16" t="s">
        <v>552</v>
      </c>
      <c r="G272" s="16">
        <v>1989</v>
      </c>
      <c r="H272" s="16" t="s">
        <v>406</v>
      </c>
      <c r="I272" s="16" t="s">
        <v>525</v>
      </c>
    </row>
    <row r="273" spans="1:10" hidden="1" x14ac:dyDescent="0.35">
      <c r="A273" s="16">
        <v>52</v>
      </c>
      <c r="B273" s="16" t="s">
        <v>416</v>
      </c>
      <c r="D273" s="16" t="s">
        <v>130</v>
      </c>
      <c r="E273" s="16" t="s">
        <v>813</v>
      </c>
      <c r="F273" s="16" t="s">
        <v>552</v>
      </c>
      <c r="G273" s="16">
        <v>1989</v>
      </c>
      <c r="H273" s="16" t="s">
        <v>406</v>
      </c>
      <c r="I273" s="16" t="s">
        <v>525</v>
      </c>
    </row>
    <row r="274" spans="1:10" hidden="1" x14ac:dyDescent="0.35">
      <c r="A274" s="16">
        <v>52</v>
      </c>
      <c r="B274" s="16" t="s">
        <v>410</v>
      </c>
      <c r="C274" s="16" t="s">
        <v>708</v>
      </c>
      <c r="D274" s="16" t="s">
        <v>124</v>
      </c>
      <c r="E274" s="16" t="s">
        <v>1126</v>
      </c>
      <c r="F274" s="16" t="s">
        <v>135</v>
      </c>
      <c r="G274" s="16" t="s">
        <v>1479</v>
      </c>
      <c r="H274" s="16" t="s">
        <v>406</v>
      </c>
      <c r="I274" s="16" t="s">
        <v>389</v>
      </c>
    </row>
    <row r="275" spans="1:10" hidden="1" x14ac:dyDescent="0.35">
      <c r="A275" s="16">
        <v>52</v>
      </c>
      <c r="B275" s="16" t="s">
        <v>417</v>
      </c>
      <c r="C275" s="16" t="s">
        <v>709</v>
      </c>
      <c r="D275" s="16" t="s">
        <v>124</v>
      </c>
      <c r="E275" s="16" t="s">
        <v>1126</v>
      </c>
      <c r="F275" s="16" t="s">
        <v>135</v>
      </c>
      <c r="G275" s="16">
        <v>1989</v>
      </c>
      <c r="H275" s="16" t="s">
        <v>406</v>
      </c>
      <c r="I275" s="16" t="s">
        <v>524</v>
      </c>
    </row>
    <row r="276" spans="1:10" hidden="1" x14ac:dyDescent="0.35">
      <c r="A276" s="16">
        <v>52</v>
      </c>
      <c r="B276" s="16" t="s">
        <v>393</v>
      </c>
      <c r="C276" s="16" t="s">
        <v>633</v>
      </c>
      <c r="D276" s="16" t="s">
        <v>124</v>
      </c>
      <c r="E276" s="16" t="s">
        <v>559</v>
      </c>
      <c r="F276" s="16" t="s">
        <v>413</v>
      </c>
      <c r="G276" s="16">
        <v>1989</v>
      </c>
      <c r="H276" s="16"/>
      <c r="I276" s="16" t="s">
        <v>524</v>
      </c>
    </row>
    <row r="277" spans="1:10" hidden="1" x14ac:dyDescent="0.35">
      <c r="A277" s="16">
        <v>65</v>
      </c>
      <c r="B277" s="16" t="s">
        <v>420</v>
      </c>
      <c r="C277" s="16" t="s">
        <v>633</v>
      </c>
      <c r="D277" s="16" t="s">
        <v>124</v>
      </c>
      <c r="E277" s="16" t="s">
        <v>538</v>
      </c>
      <c r="F277" s="16" t="s">
        <v>31</v>
      </c>
      <c r="G277" s="16">
        <v>2016</v>
      </c>
      <c r="H277" s="50" t="s">
        <v>403</v>
      </c>
      <c r="I277" s="16" t="s">
        <v>526</v>
      </c>
    </row>
    <row r="278" spans="1:10" hidden="1" x14ac:dyDescent="0.35">
      <c r="A278" s="16">
        <v>65</v>
      </c>
      <c r="B278" s="16" t="s">
        <v>421</v>
      </c>
      <c r="C278" s="16" t="s">
        <v>710</v>
      </c>
      <c r="D278" s="16" t="s">
        <v>124</v>
      </c>
      <c r="E278" s="16" t="s">
        <v>538</v>
      </c>
      <c r="F278" s="16" t="s">
        <v>31</v>
      </c>
      <c r="G278" s="16">
        <v>2016</v>
      </c>
      <c r="H278" s="50" t="s">
        <v>403</v>
      </c>
      <c r="I278" s="16" t="s">
        <v>526</v>
      </c>
    </row>
    <row r="279" spans="1:10" hidden="1" x14ac:dyDescent="0.35">
      <c r="A279" s="16">
        <v>65</v>
      </c>
      <c r="B279" s="16" t="s">
        <v>422</v>
      </c>
      <c r="C279" s="16" t="s">
        <v>711</v>
      </c>
      <c r="D279" s="16" t="s">
        <v>124</v>
      </c>
      <c r="E279" s="16" t="s">
        <v>538</v>
      </c>
      <c r="F279" s="16" t="s">
        <v>31</v>
      </c>
      <c r="G279" s="16">
        <v>2016</v>
      </c>
      <c r="H279" s="50" t="s">
        <v>403</v>
      </c>
      <c r="I279" s="16" t="s">
        <v>526</v>
      </c>
    </row>
    <row r="280" spans="1:10" hidden="1" x14ac:dyDescent="0.35">
      <c r="A280" s="16">
        <v>65</v>
      </c>
      <c r="B280" s="16" t="s">
        <v>424</v>
      </c>
      <c r="C280" s="16" t="s">
        <v>712</v>
      </c>
      <c r="D280" s="16" t="s">
        <v>130</v>
      </c>
      <c r="E280" s="16" t="s">
        <v>1021</v>
      </c>
      <c r="F280" s="16" t="s">
        <v>31</v>
      </c>
      <c r="G280" s="16">
        <v>2016</v>
      </c>
      <c r="H280" s="50" t="s">
        <v>403</v>
      </c>
      <c r="I280" s="16" t="s">
        <v>527</v>
      </c>
      <c r="J280" s="16" t="s">
        <v>2638</v>
      </c>
    </row>
    <row r="281" spans="1:10" x14ac:dyDescent="0.35">
      <c r="A281" s="16">
        <v>75</v>
      </c>
      <c r="B281" s="16" t="s">
        <v>718</v>
      </c>
      <c r="C281" s="16" t="s">
        <v>713</v>
      </c>
      <c r="D281" s="16" t="s">
        <v>124</v>
      </c>
      <c r="E281" s="16" t="s">
        <v>1740</v>
      </c>
      <c r="F281" s="16" t="s">
        <v>135</v>
      </c>
      <c r="G281" s="16">
        <v>2012</v>
      </c>
      <c r="H281" s="16"/>
      <c r="I281" s="16" t="s">
        <v>528</v>
      </c>
    </row>
    <row r="282" spans="1:10" x14ac:dyDescent="0.35">
      <c r="A282" s="16">
        <v>75</v>
      </c>
      <c r="B282" s="16" t="s">
        <v>715</v>
      </c>
      <c r="C282" s="16" t="s">
        <v>714</v>
      </c>
      <c r="D282" s="16" t="s">
        <v>124</v>
      </c>
      <c r="E282" s="16" t="s">
        <v>2243</v>
      </c>
      <c r="F282" s="16" t="s">
        <v>135</v>
      </c>
      <c r="G282" s="16">
        <v>1995</v>
      </c>
      <c r="H282" s="16"/>
      <c r="I282" s="16" t="s">
        <v>529</v>
      </c>
    </row>
    <row r="283" spans="1:10" x14ac:dyDescent="0.35">
      <c r="A283" s="16">
        <v>75</v>
      </c>
      <c r="B283" s="16" t="s">
        <v>716</v>
      </c>
      <c r="C283" s="16" t="s">
        <v>714</v>
      </c>
      <c r="D283" s="16" t="s">
        <v>124</v>
      </c>
      <c r="E283" s="16" t="s">
        <v>2243</v>
      </c>
      <c r="F283" s="16" t="s">
        <v>135</v>
      </c>
      <c r="G283" s="16">
        <v>1995</v>
      </c>
      <c r="H283" s="16"/>
      <c r="I283" s="16" t="s">
        <v>529</v>
      </c>
    </row>
    <row r="284" spans="1:10" x14ac:dyDescent="0.35">
      <c r="A284" s="16">
        <v>75</v>
      </c>
      <c r="B284" s="16" t="s">
        <v>717</v>
      </c>
      <c r="C284" s="16" t="s">
        <v>633</v>
      </c>
      <c r="D284" s="16" t="s">
        <v>428</v>
      </c>
      <c r="E284" s="16" t="s">
        <v>1126</v>
      </c>
      <c r="F284" s="16" t="s">
        <v>135</v>
      </c>
      <c r="G284" s="16">
        <v>1995</v>
      </c>
      <c r="H284" s="16"/>
      <c r="I284" s="16" t="s">
        <v>529</v>
      </c>
    </row>
    <row r="285" spans="1:10" hidden="1" x14ac:dyDescent="0.35">
      <c r="A285" s="16">
        <v>631</v>
      </c>
      <c r="B285" s="16" t="s">
        <v>441</v>
      </c>
      <c r="D285" s="16" t="s">
        <v>124</v>
      </c>
      <c r="E285" s="16" t="s">
        <v>536</v>
      </c>
      <c r="F285" s="16" t="s">
        <v>553</v>
      </c>
      <c r="G285" s="16" t="s">
        <v>1480</v>
      </c>
      <c r="I285" s="16" t="s">
        <v>530</v>
      </c>
    </row>
    <row r="286" spans="1:10" hidden="1" x14ac:dyDescent="0.35">
      <c r="A286" s="16">
        <v>631</v>
      </c>
      <c r="B286" s="16" t="s">
        <v>442</v>
      </c>
      <c r="D286" s="16" t="s">
        <v>124</v>
      </c>
      <c r="E286" s="16" t="s">
        <v>536</v>
      </c>
      <c r="F286" s="16" t="s">
        <v>553</v>
      </c>
      <c r="G286" s="16" t="s">
        <v>1480</v>
      </c>
      <c r="I286" s="16" t="s">
        <v>530</v>
      </c>
    </row>
    <row r="287" spans="1:10" hidden="1" x14ac:dyDescent="0.35">
      <c r="A287" s="55">
        <v>634</v>
      </c>
      <c r="B287" s="16" t="s">
        <v>173</v>
      </c>
      <c r="D287" s="16" t="s">
        <v>124</v>
      </c>
      <c r="E287" s="16" t="s">
        <v>559</v>
      </c>
      <c r="F287" s="16" t="s">
        <v>413</v>
      </c>
      <c r="G287" s="16">
        <v>2002</v>
      </c>
      <c r="H287" s="16" t="s">
        <v>404</v>
      </c>
      <c r="I287" s="16" t="s">
        <v>531</v>
      </c>
    </row>
    <row r="288" spans="1:10" hidden="1" x14ac:dyDescent="0.35">
      <c r="A288" s="16">
        <v>634</v>
      </c>
      <c r="B288" s="16" t="s">
        <v>443</v>
      </c>
      <c r="D288" s="16" t="s">
        <v>124</v>
      </c>
      <c r="E288" s="16" t="s">
        <v>538</v>
      </c>
      <c r="F288" s="16" t="s">
        <v>413</v>
      </c>
      <c r="G288" s="16">
        <v>2002</v>
      </c>
      <c r="H288" s="16" t="s">
        <v>404</v>
      </c>
      <c r="I288" s="16" t="s">
        <v>531</v>
      </c>
    </row>
    <row r="289" spans="1:9" hidden="1" x14ac:dyDescent="0.35">
      <c r="A289" s="16">
        <v>647</v>
      </c>
      <c r="B289" s="16" t="s">
        <v>444</v>
      </c>
      <c r="D289" s="16" t="s">
        <v>124</v>
      </c>
      <c r="E289" s="16" t="s">
        <v>539</v>
      </c>
      <c r="F289" s="16" t="s">
        <v>553</v>
      </c>
      <c r="G289" s="16" t="s">
        <v>108</v>
      </c>
      <c r="H289" s="16" t="s">
        <v>403</v>
      </c>
      <c r="I289" s="16" t="s">
        <v>532</v>
      </c>
    </row>
    <row r="290" spans="1:9" hidden="1" x14ac:dyDescent="0.35">
      <c r="A290" s="16">
        <v>647</v>
      </c>
      <c r="B290" s="16" t="s">
        <v>445</v>
      </c>
      <c r="D290" s="16" t="s">
        <v>124</v>
      </c>
      <c r="E290" s="16" t="s">
        <v>559</v>
      </c>
      <c r="F290" s="16" t="s">
        <v>553</v>
      </c>
      <c r="G290" s="16" t="s">
        <v>108</v>
      </c>
      <c r="H290" s="16" t="s">
        <v>403</v>
      </c>
      <c r="I290" s="16" t="s">
        <v>532</v>
      </c>
    </row>
    <row r="291" spans="1:9" hidden="1" x14ac:dyDescent="0.35">
      <c r="A291" s="16">
        <v>647</v>
      </c>
      <c r="B291" s="16" t="s">
        <v>446</v>
      </c>
      <c r="D291" s="16" t="s">
        <v>124</v>
      </c>
      <c r="E291" s="16" t="s">
        <v>559</v>
      </c>
      <c r="F291" s="16" t="s">
        <v>553</v>
      </c>
      <c r="G291" s="16" t="s">
        <v>108</v>
      </c>
      <c r="H291" s="16" t="s">
        <v>403</v>
      </c>
      <c r="I291" s="16" t="s">
        <v>532</v>
      </c>
    </row>
    <row r="292" spans="1:9" hidden="1" x14ac:dyDescent="0.35">
      <c r="A292" s="16">
        <v>647</v>
      </c>
      <c r="B292" s="16" t="s">
        <v>447</v>
      </c>
      <c r="D292" s="16" t="s">
        <v>124</v>
      </c>
      <c r="E292" s="16" t="s">
        <v>559</v>
      </c>
      <c r="F292" s="16" t="s">
        <v>553</v>
      </c>
      <c r="G292" s="16" t="s">
        <v>108</v>
      </c>
      <c r="H292" s="16" t="s">
        <v>403</v>
      </c>
      <c r="I292" s="16" t="s">
        <v>532</v>
      </c>
    </row>
    <row r="293" spans="1:9" hidden="1" x14ac:dyDescent="0.35">
      <c r="A293" s="16">
        <v>647</v>
      </c>
      <c r="B293" s="16" t="s">
        <v>448</v>
      </c>
      <c r="D293" s="16" t="s">
        <v>124</v>
      </c>
      <c r="E293" s="16" t="s">
        <v>559</v>
      </c>
      <c r="F293" s="16" t="s">
        <v>553</v>
      </c>
      <c r="G293" s="16" t="s">
        <v>108</v>
      </c>
      <c r="H293" s="16" t="s">
        <v>403</v>
      </c>
      <c r="I293" s="16" t="s">
        <v>532</v>
      </c>
    </row>
    <row r="294" spans="1:9" hidden="1" x14ac:dyDescent="0.35">
      <c r="A294" s="16">
        <v>647</v>
      </c>
      <c r="B294" s="16" t="s">
        <v>174</v>
      </c>
      <c r="D294" s="16" t="s">
        <v>124</v>
      </c>
      <c r="E294" s="16" t="s">
        <v>539</v>
      </c>
      <c r="F294" s="16" t="s">
        <v>553</v>
      </c>
      <c r="G294" s="16" t="s">
        <v>108</v>
      </c>
      <c r="H294" s="16" t="s">
        <v>403</v>
      </c>
      <c r="I294" s="16" t="s">
        <v>532</v>
      </c>
    </row>
    <row r="295" spans="1:9" hidden="1" x14ac:dyDescent="0.35">
      <c r="A295" s="16">
        <v>647</v>
      </c>
      <c r="B295" s="16" t="s">
        <v>449</v>
      </c>
      <c r="D295" s="16" t="s">
        <v>124</v>
      </c>
      <c r="E295" s="16" t="s">
        <v>539</v>
      </c>
      <c r="F295" s="16" t="s">
        <v>553</v>
      </c>
      <c r="G295" s="16" t="s">
        <v>108</v>
      </c>
      <c r="H295" s="16" t="s">
        <v>403</v>
      </c>
      <c r="I295" s="16" t="s">
        <v>532</v>
      </c>
    </row>
    <row r="296" spans="1:9" hidden="1" x14ac:dyDescent="0.35">
      <c r="A296" s="16">
        <v>647</v>
      </c>
      <c r="B296" s="16" t="s">
        <v>450</v>
      </c>
      <c r="D296" s="16" t="s">
        <v>124</v>
      </c>
      <c r="E296" s="16" t="s">
        <v>539</v>
      </c>
      <c r="F296" s="16" t="s">
        <v>553</v>
      </c>
      <c r="G296" s="16" t="s">
        <v>108</v>
      </c>
      <c r="H296" s="16" t="s">
        <v>403</v>
      </c>
      <c r="I296" s="16" t="s">
        <v>532</v>
      </c>
    </row>
    <row r="297" spans="1:9" hidden="1" x14ac:dyDescent="0.35">
      <c r="A297" s="16">
        <v>647</v>
      </c>
      <c r="B297" s="16" t="s">
        <v>451</v>
      </c>
      <c r="D297" s="16" t="s">
        <v>124</v>
      </c>
      <c r="E297" s="16" t="s">
        <v>559</v>
      </c>
      <c r="F297" s="16" t="s">
        <v>553</v>
      </c>
      <c r="G297" s="16" t="s">
        <v>108</v>
      </c>
      <c r="H297" s="16" t="s">
        <v>403</v>
      </c>
      <c r="I297" s="16" t="s">
        <v>532</v>
      </c>
    </row>
    <row r="298" spans="1:9" x14ac:dyDescent="0.35">
      <c r="A298" s="16">
        <v>674</v>
      </c>
      <c r="B298" s="16" t="s">
        <v>1750</v>
      </c>
      <c r="C298" s="16" t="s">
        <v>677</v>
      </c>
      <c r="D298" s="16" t="s">
        <v>130</v>
      </c>
      <c r="E298" s="16" t="s">
        <v>813</v>
      </c>
      <c r="F298" s="16" t="s">
        <v>122</v>
      </c>
      <c r="G298" s="16" t="s">
        <v>1481</v>
      </c>
      <c r="I298" s="16" t="s">
        <v>534</v>
      </c>
    </row>
    <row r="299" spans="1:9" x14ac:dyDescent="0.35">
      <c r="A299" s="16">
        <v>674</v>
      </c>
      <c r="B299" s="16" t="s">
        <v>1110</v>
      </c>
      <c r="C299" s="16" t="s">
        <v>677</v>
      </c>
      <c r="D299" s="16" t="s">
        <v>130</v>
      </c>
      <c r="E299" s="16" t="s">
        <v>813</v>
      </c>
      <c r="F299" s="16" t="s">
        <v>122</v>
      </c>
      <c r="G299" s="16" t="s">
        <v>1481</v>
      </c>
      <c r="I299" s="16" t="s">
        <v>534</v>
      </c>
    </row>
    <row r="300" spans="1:9" x14ac:dyDescent="0.35">
      <c r="A300" s="16">
        <v>674</v>
      </c>
      <c r="B300" s="16" t="s">
        <v>1077</v>
      </c>
      <c r="C300" s="16" t="s">
        <v>1751</v>
      </c>
      <c r="D300" s="16" t="s">
        <v>130</v>
      </c>
      <c r="E300" s="16" t="s">
        <v>813</v>
      </c>
      <c r="F300" s="16" t="s">
        <v>122</v>
      </c>
      <c r="G300" s="16" t="s">
        <v>1481</v>
      </c>
      <c r="I300" s="16" t="s">
        <v>534</v>
      </c>
    </row>
    <row r="301" spans="1:9" x14ac:dyDescent="0.35">
      <c r="A301" s="16">
        <v>674</v>
      </c>
      <c r="B301" s="16" t="s">
        <v>286</v>
      </c>
      <c r="C301" s="16" t="s">
        <v>673</v>
      </c>
      <c r="D301" s="16" t="s">
        <v>130</v>
      </c>
      <c r="E301" s="16" t="s">
        <v>813</v>
      </c>
      <c r="F301" s="16" t="s">
        <v>122</v>
      </c>
      <c r="G301" s="16" t="s">
        <v>1481</v>
      </c>
      <c r="I301" s="16" t="s">
        <v>534</v>
      </c>
    </row>
    <row r="302" spans="1:9" x14ac:dyDescent="0.35">
      <c r="A302" s="16">
        <v>674</v>
      </c>
      <c r="B302" s="16" t="s">
        <v>535</v>
      </c>
      <c r="D302" s="16" t="s">
        <v>124</v>
      </c>
      <c r="E302" s="16" t="s">
        <v>559</v>
      </c>
      <c r="F302" s="16" t="s">
        <v>122</v>
      </c>
      <c r="G302" s="16">
        <v>2018</v>
      </c>
      <c r="H302" s="16" t="s">
        <v>405</v>
      </c>
      <c r="I302" s="16" t="s">
        <v>534</v>
      </c>
    </row>
    <row r="303" spans="1:9" x14ac:dyDescent="0.35">
      <c r="A303" s="16">
        <v>674</v>
      </c>
      <c r="B303" s="16" t="s">
        <v>537</v>
      </c>
      <c r="D303" s="16" t="s">
        <v>124</v>
      </c>
      <c r="E303" s="16" t="s">
        <v>536</v>
      </c>
      <c r="F303" s="16" t="s">
        <v>122</v>
      </c>
      <c r="G303" s="16">
        <v>2018</v>
      </c>
      <c r="H303" s="16" t="s">
        <v>405</v>
      </c>
      <c r="I303" s="16" t="s">
        <v>554</v>
      </c>
    </row>
    <row r="304" spans="1:9" x14ac:dyDescent="0.35">
      <c r="A304" s="16">
        <v>674</v>
      </c>
      <c r="B304" s="16" t="s">
        <v>142</v>
      </c>
      <c r="D304" s="16" t="s">
        <v>124</v>
      </c>
      <c r="E304" s="16" t="s">
        <v>538</v>
      </c>
      <c r="F304" s="16" t="s">
        <v>122</v>
      </c>
      <c r="G304" s="16">
        <v>2018</v>
      </c>
      <c r="H304" s="16" t="s">
        <v>405</v>
      </c>
      <c r="I304" s="16" t="s">
        <v>534</v>
      </c>
    </row>
    <row r="305" spans="1:9" x14ac:dyDescent="0.35">
      <c r="A305" s="16">
        <v>674</v>
      </c>
      <c r="B305" s="16" t="s">
        <v>540</v>
      </c>
      <c r="D305" s="16" t="s">
        <v>124</v>
      </c>
      <c r="E305" s="16" t="s">
        <v>539</v>
      </c>
      <c r="F305" s="16" t="s">
        <v>122</v>
      </c>
      <c r="G305" s="16">
        <v>2018</v>
      </c>
      <c r="H305" s="16" t="s">
        <v>405</v>
      </c>
      <c r="I305" s="16" t="s">
        <v>534</v>
      </c>
    </row>
    <row r="306" spans="1:9" hidden="1" x14ac:dyDescent="0.35">
      <c r="A306" s="16">
        <v>683</v>
      </c>
      <c r="B306" s="16" t="s">
        <v>560</v>
      </c>
      <c r="D306" s="16" t="s">
        <v>124</v>
      </c>
      <c r="E306" s="16" t="s">
        <v>559</v>
      </c>
      <c r="F306" s="16" t="s">
        <v>122</v>
      </c>
      <c r="G306" s="16" t="s">
        <v>108</v>
      </c>
      <c r="H306" s="16" t="s">
        <v>403</v>
      </c>
      <c r="I306" s="16" t="s">
        <v>558</v>
      </c>
    </row>
    <row r="307" spans="1:9" hidden="1" x14ac:dyDescent="0.35">
      <c r="A307" s="16">
        <v>683</v>
      </c>
      <c r="B307" s="16" t="s">
        <v>561</v>
      </c>
      <c r="D307" s="16" t="s">
        <v>124</v>
      </c>
      <c r="E307" s="16" t="s">
        <v>559</v>
      </c>
      <c r="F307" s="16" t="s">
        <v>122</v>
      </c>
      <c r="G307" s="16" t="s">
        <v>108</v>
      </c>
      <c r="H307" s="16" t="s">
        <v>403</v>
      </c>
      <c r="I307" s="16" t="s">
        <v>558</v>
      </c>
    </row>
    <row r="308" spans="1:9" hidden="1" x14ac:dyDescent="0.35">
      <c r="A308" s="16">
        <v>683</v>
      </c>
      <c r="B308" s="16" t="s">
        <v>562</v>
      </c>
      <c r="D308" s="16" t="s">
        <v>124</v>
      </c>
      <c r="E308" s="16" t="s">
        <v>559</v>
      </c>
      <c r="F308" s="16" t="s">
        <v>122</v>
      </c>
      <c r="G308" s="16" t="s">
        <v>108</v>
      </c>
      <c r="H308" s="16" t="s">
        <v>403</v>
      </c>
      <c r="I308" s="16" t="s">
        <v>558</v>
      </c>
    </row>
    <row r="309" spans="1:9" hidden="1" x14ac:dyDescent="0.35">
      <c r="A309" s="16">
        <v>683</v>
      </c>
      <c r="B309" s="16" t="s">
        <v>563</v>
      </c>
      <c r="D309" s="16" t="s">
        <v>124</v>
      </c>
      <c r="E309" s="16" t="s">
        <v>559</v>
      </c>
      <c r="F309" s="16" t="s">
        <v>122</v>
      </c>
      <c r="G309" s="16" t="s">
        <v>108</v>
      </c>
      <c r="H309" s="16" t="s">
        <v>403</v>
      </c>
      <c r="I309" s="16" t="s">
        <v>558</v>
      </c>
    </row>
    <row r="310" spans="1:9" hidden="1" x14ac:dyDescent="0.35">
      <c r="A310" s="16">
        <v>683</v>
      </c>
      <c r="B310" s="16" t="s">
        <v>564</v>
      </c>
      <c r="D310" s="16" t="s">
        <v>124</v>
      </c>
      <c r="E310" s="16" t="s">
        <v>559</v>
      </c>
      <c r="F310" s="16" t="s">
        <v>122</v>
      </c>
      <c r="G310" s="16" t="s">
        <v>108</v>
      </c>
      <c r="H310" s="16" t="s">
        <v>403</v>
      </c>
      <c r="I310" s="16" t="s">
        <v>558</v>
      </c>
    </row>
    <row r="311" spans="1:9" hidden="1" x14ac:dyDescent="0.35">
      <c r="A311" s="16">
        <v>683</v>
      </c>
      <c r="B311" s="16" t="s">
        <v>565</v>
      </c>
      <c r="D311" s="16" t="s">
        <v>124</v>
      </c>
      <c r="E311" s="16" t="s">
        <v>559</v>
      </c>
      <c r="F311" s="16" t="s">
        <v>122</v>
      </c>
      <c r="G311" s="16" t="s">
        <v>108</v>
      </c>
      <c r="H311" s="16" t="s">
        <v>403</v>
      </c>
      <c r="I311" s="16" t="s">
        <v>558</v>
      </c>
    </row>
    <row r="312" spans="1:9" hidden="1" x14ac:dyDescent="0.35">
      <c r="A312" s="16">
        <v>683</v>
      </c>
      <c r="B312" s="16" t="s">
        <v>566</v>
      </c>
      <c r="D312" s="16" t="s">
        <v>124</v>
      </c>
      <c r="E312" s="16" t="s">
        <v>536</v>
      </c>
      <c r="F312" s="16" t="s">
        <v>122</v>
      </c>
      <c r="G312" s="16" t="s">
        <v>108</v>
      </c>
      <c r="H312" s="16" t="s">
        <v>403</v>
      </c>
      <c r="I312" s="16" t="s">
        <v>558</v>
      </c>
    </row>
    <row r="313" spans="1:9" hidden="1" x14ac:dyDescent="0.35">
      <c r="A313" s="16">
        <v>683</v>
      </c>
      <c r="B313" s="16" t="s">
        <v>567</v>
      </c>
      <c r="D313" s="16" t="s">
        <v>124</v>
      </c>
      <c r="E313" s="16" t="s">
        <v>559</v>
      </c>
      <c r="F313" s="16" t="s">
        <v>122</v>
      </c>
      <c r="G313" s="16" t="s">
        <v>108</v>
      </c>
      <c r="H313" s="16" t="s">
        <v>403</v>
      </c>
      <c r="I313" s="16" t="s">
        <v>558</v>
      </c>
    </row>
    <row r="314" spans="1:9" hidden="1" x14ac:dyDescent="0.35">
      <c r="A314" s="16">
        <v>683</v>
      </c>
      <c r="B314" s="16" t="s">
        <v>568</v>
      </c>
      <c r="D314" s="16" t="s">
        <v>124</v>
      </c>
      <c r="E314" s="16" t="s">
        <v>539</v>
      </c>
      <c r="F314" s="16" t="s">
        <v>122</v>
      </c>
      <c r="G314" s="16" t="s">
        <v>108</v>
      </c>
      <c r="H314" s="16" t="s">
        <v>403</v>
      </c>
      <c r="I314" s="16" t="s">
        <v>558</v>
      </c>
    </row>
    <row r="315" spans="1:9" hidden="1" x14ac:dyDescent="0.35">
      <c r="A315" s="16">
        <v>683</v>
      </c>
      <c r="B315" s="16" t="s">
        <v>393</v>
      </c>
      <c r="D315" s="16" t="s">
        <v>124</v>
      </c>
      <c r="E315" s="16" t="s">
        <v>559</v>
      </c>
      <c r="F315" s="16" t="s">
        <v>122</v>
      </c>
      <c r="G315" s="16" t="s">
        <v>108</v>
      </c>
      <c r="H315" s="16" t="s">
        <v>403</v>
      </c>
      <c r="I315" s="16" t="s">
        <v>558</v>
      </c>
    </row>
    <row r="316" spans="1:9" hidden="1" x14ac:dyDescent="0.35">
      <c r="A316" s="16">
        <v>687</v>
      </c>
      <c r="B316" s="16" t="s">
        <v>570</v>
      </c>
      <c r="D316" s="16" t="s">
        <v>124</v>
      </c>
      <c r="E316" s="16" t="s">
        <v>559</v>
      </c>
      <c r="F316" s="16" t="s">
        <v>413</v>
      </c>
      <c r="G316" s="16" t="s">
        <v>1482</v>
      </c>
      <c r="I316" s="16" t="s">
        <v>578</v>
      </c>
    </row>
    <row r="317" spans="1:9" hidden="1" x14ac:dyDescent="0.35">
      <c r="A317" s="16">
        <v>687</v>
      </c>
      <c r="B317" s="16" t="s">
        <v>571</v>
      </c>
      <c r="D317" s="16" t="s">
        <v>124</v>
      </c>
      <c r="E317" s="16" t="s">
        <v>559</v>
      </c>
      <c r="F317" s="16" t="s">
        <v>413</v>
      </c>
      <c r="G317" s="16" t="s">
        <v>1482</v>
      </c>
      <c r="I317" s="16" t="s">
        <v>578</v>
      </c>
    </row>
    <row r="318" spans="1:9" hidden="1" x14ac:dyDescent="0.35">
      <c r="A318" s="16">
        <v>687</v>
      </c>
      <c r="B318" s="16" t="s">
        <v>572</v>
      </c>
      <c r="D318" s="16" t="s">
        <v>124</v>
      </c>
      <c r="E318" s="16" t="s">
        <v>559</v>
      </c>
      <c r="F318" s="16" t="s">
        <v>413</v>
      </c>
      <c r="G318" s="16" t="s">
        <v>1482</v>
      </c>
      <c r="I318" s="16" t="s">
        <v>578</v>
      </c>
    </row>
    <row r="319" spans="1:9" hidden="1" x14ac:dyDescent="0.35">
      <c r="A319" s="16">
        <v>687</v>
      </c>
      <c r="B319" s="16" t="s">
        <v>573</v>
      </c>
      <c r="D319" s="16" t="s">
        <v>198</v>
      </c>
      <c r="E319" s="16" t="s">
        <v>539</v>
      </c>
      <c r="F319" s="16" t="s">
        <v>413</v>
      </c>
      <c r="G319" s="16" t="s">
        <v>1482</v>
      </c>
      <c r="I319" s="16" t="s">
        <v>578</v>
      </c>
    </row>
    <row r="320" spans="1:9" hidden="1" x14ac:dyDescent="0.35">
      <c r="A320" s="16">
        <v>687</v>
      </c>
      <c r="B320" s="16" t="s">
        <v>574</v>
      </c>
      <c r="D320" s="16" t="s">
        <v>198</v>
      </c>
      <c r="E320" s="16" t="s">
        <v>539</v>
      </c>
      <c r="F320" s="16" t="s">
        <v>413</v>
      </c>
      <c r="G320" s="16" t="s">
        <v>1482</v>
      </c>
      <c r="I320" s="16" t="s">
        <v>578</v>
      </c>
    </row>
    <row r="321" spans="1:9" hidden="1" x14ac:dyDescent="0.35">
      <c r="A321" s="16">
        <v>687</v>
      </c>
      <c r="B321" s="16" t="s">
        <v>575</v>
      </c>
      <c r="D321" s="16" t="s">
        <v>198</v>
      </c>
      <c r="E321" s="16" t="s">
        <v>539</v>
      </c>
      <c r="F321" s="16" t="s">
        <v>413</v>
      </c>
      <c r="G321" s="16" t="s">
        <v>1482</v>
      </c>
      <c r="I321" s="16" t="s">
        <v>578</v>
      </c>
    </row>
    <row r="322" spans="1:9" hidden="1" x14ac:dyDescent="0.35">
      <c r="A322" s="16">
        <v>687</v>
      </c>
      <c r="B322" s="16" t="s">
        <v>576</v>
      </c>
      <c r="D322" s="16" t="s">
        <v>198</v>
      </c>
      <c r="E322" s="16" t="s">
        <v>539</v>
      </c>
      <c r="F322" s="16" t="s">
        <v>413</v>
      </c>
      <c r="G322" s="16" t="s">
        <v>1482</v>
      </c>
      <c r="I322" s="16" t="s">
        <v>578</v>
      </c>
    </row>
    <row r="323" spans="1:9" hidden="1" x14ac:dyDescent="0.35">
      <c r="A323" s="16">
        <v>687</v>
      </c>
      <c r="B323" s="16" t="s">
        <v>577</v>
      </c>
      <c r="D323" s="16" t="s">
        <v>198</v>
      </c>
      <c r="E323" s="16" t="s">
        <v>539</v>
      </c>
      <c r="F323" s="16" t="s">
        <v>413</v>
      </c>
      <c r="G323" s="16" t="s">
        <v>1482</v>
      </c>
      <c r="I323" s="16" t="s">
        <v>578</v>
      </c>
    </row>
    <row r="324" spans="1:9" hidden="1" x14ac:dyDescent="0.35">
      <c r="A324" s="16">
        <v>708</v>
      </c>
      <c r="B324" s="16" t="s">
        <v>583</v>
      </c>
      <c r="D324" s="16" t="s">
        <v>124</v>
      </c>
      <c r="E324" s="16" t="s">
        <v>559</v>
      </c>
      <c r="F324" s="16" t="s">
        <v>582</v>
      </c>
      <c r="G324" s="16" t="s">
        <v>1483</v>
      </c>
      <c r="I324" s="16" t="s">
        <v>595</v>
      </c>
    </row>
    <row r="325" spans="1:9" hidden="1" x14ac:dyDescent="0.35">
      <c r="A325" s="16">
        <v>708</v>
      </c>
      <c r="B325" s="16" t="s">
        <v>174</v>
      </c>
      <c r="D325" s="16" t="s">
        <v>124</v>
      </c>
      <c r="E325" s="16" t="s">
        <v>539</v>
      </c>
      <c r="F325" s="16" t="s">
        <v>582</v>
      </c>
      <c r="G325" s="16" t="s">
        <v>1483</v>
      </c>
      <c r="I325" s="16" t="s">
        <v>595</v>
      </c>
    </row>
    <row r="326" spans="1:9" hidden="1" x14ac:dyDescent="0.35">
      <c r="A326" s="16">
        <v>708</v>
      </c>
      <c r="B326" s="16" t="s">
        <v>584</v>
      </c>
      <c r="D326" s="16" t="s">
        <v>124</v>
      </c>
      <c r="E326" s="16" t="s">
        <v>539</v>
      </c>
      <c r="F326" s="16" t="s">
        <v>582</v>
      </c>
      <c r="G326" s="16" t="s">
        <v>1483</v>
      </c>
      <c r="I326" s="16" t="s">
        <v>595</v>
      </c>
    </row>
    <row r="327" spans="1:9" hidden="1" x14ac:dyDescent="0.35">
      <c r="A327" s="16">
        <v>708</v>
      </c>
      <c r="B327" s="16" t="s">
        <v>585</v>
      </c>
      <c r="D327" s="16" t="s">
        <v>124</v>
      </c>
      <c r="E327" s="16" t="s">
        <v>539</v>
      </c>
      <c r="F327" s="16" t="s">
        <v>582</v>
      </c>
      <c r="G327" s="16" t="s">
        <v>1483</v>
      </c>
      <c r="I327" s="16" t="s">
        <v>595</v>
      </c>
    </row>
    <row r="328" spans="1:9" hidden="1" x14ac:dyDescent="0.35">
      <c r="A328" s="16">
        <v>708</v>
      </c>
      <c r="B328" s="16" t="s">
        <v>586</v>
      </c>
      <c r="D328" s="16" t="s">
        <v>124</v>
      </c>
      <c r="E328" s="16" t="s">
        <v>538</v>
      </c>
      <c r="F328" s="16" t="s">
        <v>582</v>
      </c>
      <c r="G328" s="16" t="s">
        <v>1483</v>
      </c>
      <c r="I328" s="16" t="s">
        <v>595</v>
      </c>
    </row>
    <row r="329" spans="1:9" hidden="1" x14ac:dyDescent="0.35">
      <c r="A329" s="16">
        <v>708</v>
      </c>
      <c r="B329" s="16" t="s">
        <v>587</v>
      </c>
      <c r="D329" s="16" t="s">
        <v>124</v>
      </c>
      <c r="E329" s="16" t="s">
        <v>538</v>
      </c>
      <c r="F329" s="16" t="s">
        <v>582</v>
      </c>
      <c r="G329" s="16" t="s">
        <v>1483</v>
      </c>
      <c r="I329" s="16" t="s">
        <v>595</v>
      </c>
    </row>
    <row r="330" spans="1:9" hidden="1" x14ac:dyDescent="0.35">
      <c r="A330" s="16">
        <v>708</v>
      </c>
      <c r="B330" s="16" t="s">
        <v>588</v>
      </c>
      <c r="D330" s="16" t="s">
        <v>124</v>
      </c>
      <c r="E330" s="16" t="s">
        <v>538</v>
      </c>
      <c r="F330" s="16" t="s">
        <v>582</v>
      </c>
      <c r="G330" s="16" t="s">
        <v>1483</v>
      </c>
      <c r="I330" s="16" t="s">
        <v>595</v>
      </c>
    </row>
    <row r="331" spans="1:9" hidden="1" x14ac:dyDescent="0.35">
      <c r="A331" s="16">
        <v>708</v>
      </c>
      <c r="B331" s="16" t="s">
        <v>589</v>
      </c>
      <c r="D331" s="16" t="s">
        <v>124</v>
      </c>
      <c r="E331" s="16" t="s">
        <v>538</v>
      </c>
      <c r="F331" s="16" t="s">
        <v>582</v>
      </c>
      <c r="G331" s="16" t="s">
        <v>1483</v>
      </c>
      <c r="I331" s="16" t="s">
        <v>595</v>
      </c>
    </row>
    <row r="332" spans="1:9" hidden="1" x14ac:dyDescent="0.35">
      <c r="A332" s="16">
        <v>708</v>
      </c>
      <c r="B332" s="16" t="s">
        <v>590</v>
      </c>
      <c r="D332" s="16" t="s">
        <v>124</v>
      </c>
      <c r="E332" s="16" t="s">
        <v>539</v>
      </c>
      <c r="F332" s="16" t="s">
        <v>582</v>
      </c>
      <c r="G332" s="16" t="s">
        <v>1483</v>
      </c>
      <c r="I332" s="16" t="s">
        <v>595</v>
      </c>
    </row>
    <row r="333" spans="1:9" hidden="1" x14ac:dyDescent="0.35">
      <c r="A333" s="16">
        <v>708</v>
      </c>
      <c r="B333" s="16" t="s">
        <v>591</v>
      </c>
      <c r="D333" s="16" t="s">
        <v>124</v>
      </c>
      <c r="E333" s="16" t="s">
        <v>539</v>
      </c>
      <c r="F333" s="16" t="s">
        <v>582</v>
      </c>
      <c r="G333" s="16" t="s">
        <v>1483</v>
      </c>
      <c r="I333" s="16" t="s">
        <v>595</v>
      </c>
    </row>
    <row r="334" spans="1:9" hidden="1" x14ac:dyDescent="0.35">
      <c r="A334" s="16">
        <v>708</v>
      </c>
      <c r="B334" s="16" t="s">
        <v>592</v>
      </c>
      <c r="D334" s="16" t="s">
        <v>124</v>
      </c>
      <c r="E334" s="16" t="s">
        <v>539</v>
      </c>
      <c r="F334" s="16" t="s">
        <v>582</v>
      </c>
      <c r="G334" s="16" t="s">
        <v>1483</v>
      </c>
      <c r="I334" s="16" t="s">
        <v>595</v>
      </c>
    </row>
    <row r="335" spans="1:9" hidden="1" x14ac:dyDescent="0.35">
      <c r="A335" s="16">
        <v>708</v>
      </c>
      <c r="B335" s="16" t="s">
        <v>593</v>
      </c>
      <c r="D335" s="16" t="s">
        <v>124</v>
      </c>
      <c r="E335" s="16" t="s">
        <v>539</v>
      </c>
      <c r="F335" s="16" t="s">
        <v>582</v>
      </c>
      <c r="G335" s="16" t="s">
        <v>1483</v>
      </c>
      <c r="I335" s="16" t="s">
        <v>595</v>
      </c>
    </row>
    <row r="336" spans="1:9" hidden="1" x14ac:dyDescent="0.35">
      <c r="A336" s="16">
        <v>708</v>
      </c>
      <c r="B336" s="16" t="s">
        <v>594</v>
      </c>
      <c r="D336" s="16" t="s">
        <v>124</v>
      </c>
      <c r="E336" s="16" t="s">
        <v>559</v>
      </c>
      <c r="F336" s="16" t="s">
        <v>582</v>
      </c>
      <c r="G336" s="16" t="s">
        <v>1483</v>
      </c>
      <c r="I336" s="16" t="s">
        <v>595</v>
      </c>
    </row>
    <row r="337" spans="1:10" hidden="1" x14ac:dyDescent="0.35">
      <c r="A337" s="16">
        <v>724</v>
      </c>
      <c r="B337" s="16" t="s">
        <v>599</v>
      </c>
      <c r="D337" s="16" t="s">
        <v>124</v>
      </c>
      <c r="E337" s="16" t="s">
        <v>1329</v>
      </c>
      <c r="F337" s="16" t="s">
        <v>28</v>
      </c>
      <c r="G337" s="16">
        <v>1975</v>
      </c>
      <c r="H337" s="52"/>
      <c r="I337" s="16" t="s">
        <v>600</v>
      </c>
      <c r="J337" s="16" t="s">
        <v>2244</v>
      </c>
    </row>
    <row r="338" spans="1:10" hidden="1" x14ac:dyDescent="0.35">
      <c r="A338" s="16">
        <v>738</v>
      </c>
      <c r="B338" s="16" t="s">
        <v>602</v>
      </c>
      <c r="D338" s="16" t="s">
        <v>124</v>
      </c>
      <c r="E338" s="16" t="s">
        <v>539</v>
      </c>
      <c r="F338" s="16" t="s">
        <v>122</v>
      </c>
      <c r="G338" s="16" t="s">
        <v>1484</v>
      </c>
      <c r="I338" s="16" t="s">
        <v>389</v>
      </c>
    </row>
    <row r="339" spans="1:10" hidden="1" x14ac:dyDescent="0.35">
      <c r="A339" s="16">
        <v>738</v>
      </c>
      <c r="B339" s="16" t="s">
        <v>604</v>
      </c>
      <c r="D339" s="16" t="s">
        <v>124</v>
      </c>
      <c r="E339" s="16" t="s">
        <v>538</v>
      </c>
      <c r="F339" s="16" t="s">
        <v>122</v>
      </c>
      <c r="G339" s="16" t="s">
        <v>1484</v>
      </c>
      <c r="I339" s="16" t="s">
        <v>603</v>
      </c>
    </row>
    <row r="340" spans="1:10" hidden="1" x14ac:dyDescent="0.35">
      <c r="A340" s="16">
        <v>738</v>
      </c>
      <c r="B340" s="16" t="s">
        <v>442</v>
      </c>
      <c r="D340" s="16" t="s">
        <v>124</v>
      </c>
      <c r="E340" s="16" t="s">
        <v>536</v>
      </c>
      <c r="F340" s="16" t="s">
        <v>122</v>
      </c>
      <c r="G340" s="16" t="s">
        <v>1484</v>
      </c>
      <c r="I340" s="16" t="s">
        <v>605</v>
      </c>
    </row>
    <row r="341" spans="1:10" hidden="1" x14ac:dyDescent="0.35">
      <c r="A341" s="16">
        <v>738</v>
      </c>
      <c r="B341" s="16" t="s">
        <v>606</v>
      </c>
      <c r="D341" s="16" t="s">
        <v>124</v>
      </c>
      <c r="E341" s="16" t="s">
        <v>536</v>
      </c>
      <c r="F341" s="16" t="s">
        <v>122</v>
      </c>
      <c r="G341" s="16" t="s">
        <v>1484</v>
      </c>
      <c r="I341" s="16" t="s">
        <v>605</v>
      </c>
    </row>
    <row r="342" spans="1:10" hidden="1" x14ac:dyDescent="0.35">
      <c r="A342" s="16">
        <v>738</v>
      </c>
      <c r="B342" s="16" t="s">
        <v>608</v>
      </c>
      <c r="D342" s="16" t="s">
        <v>124</v>
      </c>
      <c r="E342" s="16" t="s">
        <v>536</v>
      </c>
      <c r="F342" s="16" t="s">
        <v>122</v>
      </c>
      <c r="G342" s="16" t="s">
        <v>1484</v>
      </c>
      <c r="I342" s="16" t="s">
        <v>607</v>
      </c>
    </row>
    <row r="343" spans="1:10" hidden="1" x14ac:dyDescent="0.35">
      <c r="A343" s="16">
        <v>738</v>
      </c>
      <c r="B343" s="16" t="s">
        <v>609</v>
      </c>
      <c r="D343" s="16" t="s">
        <v>124</v>
      </c>
      <c r="E343" s="16" t="s">
        <v>559</v>
      </c>
      <c r="F343" s="16" t="s">
        <v>122</v>
      </c>
      <c r="G343" s="16" t="s">
        <v>1484</v>
      </c>
      <c r="I343" s="16" t="s">
        <v>603</v>
      </c>
    </row>
    <row r="344" spans="1:10" hidden="1" x14ac:dyDescent="0.35">
      <c r="A344" s="16">
        <v>738</v>
      </c>
      <c r="B344" s="16" t="s">
        <v>610</v>
      </c>
      <c r="D344" s="16" t="s">
        <v>124</v>
      </c>
      <c r="E344" s="16" t="s">
        <v>559</v>
      </c>
      <c r="F344" s="16" t="s">
        <v>122</v>
      </c>
      <c r="G344" s="16" t="s">
        <v>1484</v>
      </c>
      <c r="I344" s="16" t="s">
        <v>605</v>
      </c>
    </row>
    <row r="345" spans="1:10" hidden="1" x14ac:dyDescent="0.35">
      <c r="A345" s="16">
        <v>738</v>
      </c>
      <c r="B345" s="16" t="s">
        <v>612</v>
      </c>
      <c r="C345" s="16" t="s">
        <v>633</v>
      </c>
      <c r="D345" s="16" t="s">
        <v>124</v>
      </c>
      <c r="E345" s="16" t="s">
        <v>559</v>
      </c>
      <c r="F345" s="16" t="s">
        <v>122</v>
      </c>
      <c r="G345" s="16" t="s">
        <v>1484</v>
      </c>
      <c r="I345" s="16" t="s">
        <v>611</v>
      </c>
    </row>
    <row r="346" spans="1:10" hidden="1" x14ac:dyDescent="0.35">
      <c r="A346" s="16">
        <v>743</v>
      </c>
      <c r="B346" s="16" t="s">
        <v>614</v>
      </c>
      <c r="D346" s="16" t="s">
        <v>124</v>
      </c>
      <c r="E346" s="16" t="s">
        <v>1126</v>
      </c>
      <c r="F346" s="16" t="s">
        <v>122</v>
      </c>
      <c r="G346" s="16" t="s">
        <v>1485</v>
      </c>
      <c r="I346" s="16" t="s">
        <v>613</v>
      </c>
    </row>
    <row r="347" spans="1:10" hidden="1" x14ac:dyDescent="0.35">
      <c r="A347" s="16">
        <v>743</v>
      </c>
      <c r="B347" s="16" t="s">
        <v>615</v>
      </c>
      <c r="D347" s="16" t="s">
        <v>124</v>
      </c>
      <c r="E347" s="16" t="s">
        <v>536</v>
      </c>
      <c r="F347" s="16" t="s">
        <v>122</v>
      </c>
      <c r="G347" s="16" t="s">
        <v>1485</v>
      </c>
      <c r="I347" s="16" t="s">
        <v>613</v>
      </c>
    </row>
    <row r="348" spans="1:10" hidden="1" x14ac:dyDescent="0.35">
      <c r="A348" s="16">
        <v>743</v>
      </c>
      <c r="B348" s="16" t="s">
        <v>616</v>
      </c>
      <c r="D348" s="16" t="s">
        <v>124</v>
      </c>
      <c r="E348" s="16" t="s">
        <v>539</v>
      </c>
      <c r="F348" s="16" t="s">
        <v>122</v>
      </c>
      <c r="G348" s="16" t="s">
        <v>1485</v>
      </c>
      <c r="I348" s="16" t="s">
        <v>122</v>
      </c>
    </row>
    <row r="349" spans="1:10" hidden="1" x14ac:dyDescent="0.35">
      <c r="A349" s="16">
        <v>743</v>
      </c>
      <c r="B349" s="16" t="s">
        <v>617</v>
      </c>
      <c r="D349" s="16" t="s">
        <v>124</v>
      </c>
      <c r="E349" s="16" t="s">
        <v>559</v>
      </c>
      <c r="F349" s="16" t="s">
        <v>122</v>
      </c>
      <c r="G349" s="16" t="s">
        <v>1485</v>
      </c>
      <c r="I349" s="16" t="s">
        <v>122</v>
      </c>
    </row>
    <row r="350" spans="1:10" hidden="1" x14ac:dyDescent="0.35">
      <c r="A350" s="16">
        <v>753</v>
      </c>
      <c r="B350" s="16" t="s">
        <v>746</v>
      </c>
      <c r="C350" s="16" t="s">
        <v>637</v>
      </c>
      <c r="D350" s="16" t="s">
        <v>124</v>
      </c>
      <c r="E350" s="16" t="s">
        <v>539</v>
      </c>
      <c r="F350" s="16" t="s">
        <v>122</v>
      </c>
      <c r="G350" s="16" t="s">
        <v>745</v>
      </c>
      <c r="H350" s="52" t="s">
        <v>403</v>
      </c>
      <c r="I350" s="16" t="s">
        <v>157</v>
      </c>
    </row>
    <row r="351" spans="1:10" hidden="1" x14ac:dyDescent="0.35">
      <c r="A351" s="16">
        <v>753</v>
      </c>
      <c r="B351" s="16" t="s">
        <v>747</v>
      </c>
      <c r="C351" s="16" t="s">
        <v>2654</v>
      </c>
      <c r="D351" s="16" t="s">
        <v>124</v>
      </c>
      <c r="E351" s="16" t="s">
        <v>539</v>
      </c>
      <c r="F351" s="16" t="s">
        <v>122</v>
      </c>
      <c r="G351" s="16" t="s">
        <v>745</v>
      </c>
      <c r="H351" s="52" t="s">
        <v>403</v>
      </c>
      <c r="I351" s="16" t="s">
        <v>157</v>
      </c>
    </row>
    <row r="352" spans="1:10" hidden="1" x14ac:dyDescent="0.35">
      <c r="A352" s="16">
        <v>753</v>
      </c>
      <c r="B352" s="16" t="s">
        <v>748</v>
      </c>
      <c r="C352" s="16" t="s">
        <v>2655</v>
      </c>
      <c r="D352" s="16" t="s">
        <v>124</v>
      </c>
      <c r="E352" s="16" t="s">
        <v>539</v>
      </c>
      <c r="F352" s="16" t="s">
        <v>122</v>
      </c>
      <c r="G352" s="16" t="s">
        <v>745</v>
      </c>
      <c r="H352" s="52" t="s">
        <v>403</v>
      </c>
      <c r="I352" s="16" t="s">
        <v>157</v>
      </c>
    </row>
    <row r="353" spans="1:10" hidden="1" x14ac:dyDescent="0.35">
      <c r="A353" s="16">
        <v>753</v>
      </c>
      <c r="B353" s="16" t="s">
        <v>749</v>
      </c>
      <c r="C353" s="16" t="s">
        <v>629</v>
      </c>
      <c r="D353" s="16" t="s">
        <v>124</v>
      </c>
      <c r="E353" s="16" t="s">
        <v>539</v>
      </c>
      <c r="F353" s="16" t="s">
        <v>122</v>
      </c>
      <c r="G353" s="16" t="s">
        <v>745</v>
      </c>
      <c r="H353" s="52" t="s">
        <v>403</v>
      </c>
      <c r="I353" s="16" t="s">
        <v>157</v>
      </c>
    </row>
    <row r="354" spans="1:10" hidden="1" x14ac:dyDescent="0.35">
      <c r="A354" s="16">
        <v>753</v>
      </c>
      <c r="B354" s="16" t="s">
        <v>750</v>
      </c>
      <c r="C354" s="16" t="s">
        <v>2654</v>
      </c>
      <c r="D354" s="16" t="s">
        <v>124</v>
      </c>
      <c r="E354" s="16" t="s">
        <v>539</v>
      </c>
      <c r="F354" s="16" t="s">
        <v>122</v>
      </c>
      <c r="G354" s="16" t="s">
        <v>745</v>
      </c>
      <c r="H354" s="52" t="s">
        <v>403</v>
      </c>
      <c r="I354" s="16" t="s">
        <v>157</v>
      </c>
    </row>
    <row r="355" spans="1:10" hidden="1" x14ac:dyDescent="0.35">
      <c r="A355" s="16">
        <v>753</v>
      </c>
      <c r="B355" s="16" t="s">
        <v>751</v>
      </c>
      <c r="C355" s="16" t="s">
        <v>2656</v>
      </c>
      <c r="D355" s="16" t="s">
        <v>124</v>
      </c>
      <c r="E355" s="16" t="s">
        <v>559</v>
      </c>
      <c r="F355" s="16" t="s">
        <v>122</v>
      </c>
      <c r="G355" s="16" t="s">
        <v>745</v>
      </c>
      <c r="H355" s="52" t="s">
        <v>403</v>
      </c>
      <c r="I355" s="16" t="s">
        <v>157</v>
      </c>
    </row>
    <row r="356" spans="1:10" hidden="1" x14ac:dyDescent="0.35">
      <c r="A356" s="16">
        <v>753</v>
      </c>
      <c r="B356" s="16" t="s">
        <v>753</v>
      </c>
      <c r="C356" s="16" t="s">
        <v>243</v>
      </c>
      <c r="D356" s="16" t="s">
        <v>124</v>
      </c>
      <c r="E356" s="16" t="s">
        <v>538</v>
      </c>
      <c r="F356" s="16" t="s">
        <v>122</v>
      </c>
      <c r="G356" s="16" t="s">
        <v>745</v>
      </c>
      <c r="H356" s="52" t="s">
        <v>403</v>
      </c>
      <c r="I356" s="16" t="s">
        <v>2657</v>
      </c>
    </row>
    <row r="357" spans="1:10" hidden="1" x14ac:dyDescent="0.35">
      <c r="A357" s="16">
        <v>778</v>
      </c>
      <c r="B357" s="16" t="s">
        <v>756</v>
      </c>
      <c r="C357" s="16" t="s">
        <v>757</v>
      </c>
      <c r="D357" s="16" t="s">
        <v>124</v>
      </c>
      <c r="E357" s="16" t="s">
        <v>559</v>
      </c>
      <c r="F357" s="50" t="s">
        <v>122</v>
      </c>
      <c r="G357" s="16">
        <v>2022</v>
      </c>
      <c r="H357" s="16" t="s">
        <v>754</v>
      </c>
      <c r="I357" s="16" t="s">
        <v>755</v>
      </c>
      <c r="J357" s="16" t="s">
        <v>758</v>
      </c>
    </row>
    <row r="358" spans="1:10" hidden="1" x14ac:dyDescent="0.35">
      <c r="A358" s="16">
        <v>778</v>
      </c>
      <c r="B358" s="16" t="s">
        <v>759</v>
      </c>
      <c r="C358" s="16" t="s">
        <v>760</v>
      </c>
      <c r="D358" s="16" t="s">
        <v>124</v>
      </c>
      <c r="E358" s="16" t="s">
        <v>536</v>
      </c>
      <c r="F358" s="50" t="s">
        <v>122</v>
      </c>
      <c r="G358" s="16">
        <v>2022</v>
      </c>
      <c r="H358" s="16" t="s">
        <v>754</v>
      </c>
      <c r="I358" s="16" t="s">
        <v>755</v>
      </c>
    </row>
    <row r="359" spans="1:10" hidden="1" x14ac:dyDescent="0.35">
      <c r="A359" s="16">
        <v>778</v>
      </c>
      <c r="B359" s="16" t="s">
        <v>761</v>
      </c>
      <c r="C359" s="16" t="s">
        <v>762</v>
      </c>
      <c r="D359" s="16" t="s">
        <v>124</v>
      </c>
      <c r="E359" s="16" t="s">
        <v>536</v>
      </c>
      <c r="F359" s="50" t="s">
        <v>122</v>
      </c>
      <c r="G359" s="16">
        <v>2022</v>
      </c>
      <c r="H359" s="16" t="s">
        <v>754</v>
      </c>
      <c r="I359" s="16" t="s">
        <v>755</v>
      </c>
    </row>
    <row r="360" spans="1:10" hidden="1" x14ac:dyDescent="0.35">
      <c r="A360" s="16">
        <v>778</v>
      </c>
      <c r="B360" s="16" t="s">
        <v>763</v>
      </c>
      <c r="C360" s="16" t="s">
        <v>764</v>
      </c>
      <c r="D360" s="16" t="s">
        <v>124</v>
      </c>
      <c r="E360" s="16" t="s">
        <v>536</v>
      </c>
      <c r="F360" s="50" t="s">
        <v>122</v>
      </c>
      <c r="G360" s="16">
        <v>2022</v>
      </c>
      <c r="H360" s="16" t="s">
        <v>754</v>
      </c>
      <c r="I360" s="16" t="s">
        <v>755</v>
      </c>
    </row>
    <row r="361" spans="1:10" hidden="1" x14ac:dyDescent="0.35">
      <c r="A361" s="16">
        <v>778</v>
      </c>
      <c r="B361" s="16" t="s">
        <v>765</v>
      </c>
      <c r="C361" s="16" t="s">
        <v>766</v>
      </c>
      <c r="D361" s="16" t="s">
        <v>124</v>
      </c>
      <c r="E361" s="16" t="s">
        <v>559</v>
      </c>
      <c r="F361" s="50" t="s">
        <v>122</v>
      </c>
      <c r="G361" s="16">
        <v>2022</v>
      </c>
      <c r="H361" s="16" t="s">
        <v>754</v>
      </c>
      <c r="I361" s="16" t="s">
        <v>755</v>
      </c>
    </row>
    <row r="362" spans="1:10" hidden="1" x14ac:dyDescent="0.35">
      <c r="A362" s="16">
        <v>778</v>
      </c>
      <c r="B362" s="16" t="s">
        <v>767</v>
      </c>
      <c r="C362" s="16" t="s">
        <v>768</v>
      </c>
      <c r="D362" s="16" t="s">
        <v>124</v>
      </c>
      <c r="E362" s="16" t="s">
        <v>559</v>
      </c>
      <c r="F362" s="50" t="s">
        <v>122</v>
      </c>
      <c r="G362" s="16">
        <v>2022</v>
      </c>
      <c r="H362" s="16" t="s">
        <v>754</v>
      </c>
      <c r="I362" s="16" t="s">
        <v>755</v>
      </c>
    </row>
    <row r="363" spans="1:10" hidden="1" x14ac:dyDescent="0.35">
      <c r="A363" s="16">
        <v>778</v>
      </c>
      <c r="B363" s="16" t="s">
        <v>769</v>
      </c>
      <c r="C363" s="16" t="s">
        <v>766</v>
      </c>
      <c r="D363" s="16" t="s">
        <v>124</v>
      </c>
      <c r="E363" s="16" t="s">
        <v>559</v>
      </c>
      <c r="F363" s="50" t="s">
        <v>122</v>
      </c>
      <c r="G363" s="16">
        <v>2022</v>
      </c>
      <c r="H363" s="16" t="s">
        <v>754</v>
      </c>
      <c r="I363" s="16" t="s">
        <v>755</v>
      </c>
    </row>
    <row r="364" spans="1:10" hidden="1" x14ac:dyDescent="0.35">
      <c r="A364" s="16">
        <v>778</v>
      </c>
      <c r="B364" s="16" t="s">
        <v>770</v>
      </c>
      <c r="C364" s="16" t="s">
        <v>626</v>
      </c>
      <c r="D364" s="16" t="s">
        <v>124</v>
      </c>
      <c r="E364" s="16" t="s">
        <v>559</v>
      </c>
      <c r="F364" s="50" t="s">
        <v>122</v>
      </c>
      <c r="G364" s="16">
        <v>2022</v>
      </c>
      <c r="H364" s="16" t="s">
        <v>754</v>
      </c>
      <c r="I364" s="16" t="s">
        <v>755</v>
      </c>
    </row>
    <row r="365" spans="1:10" hidden="1" x14ac:dyDescent="0.35">
      <c r="A365" s="16">
        <v>778</v>
      </c>
      <c r="B365" s="16" t="s">
        <v>771</v>
      </c>
      <c r="C365" s="16" t="s">
        <v>628</v>
      </c>
      <c r="D365" s="16" t="s">
        <v>124</v>
      </c>
      <c r="E365" s="16" t="s">
        <v>559</v>
      </c>
      <c r="F365" s="50" t="s">
        <v>122</v>
      </c>
      <c r="G365" s="16">
        <v>2022</v>
      </c>
      <c r="H365" s="16" t="s">
        <v>754</v>
      </c>
      <c r="I365" s="16" t="s">
        <v>755</v>
      </c>
    </row>
    <row r="366" spans="1:10" hidden="1" x14ac:dyDescent="0.35">
      <c r="A366" s="16">
        <v>778</v>
      </c>
      <c r="B366" s="27" t="s">
        <v>772</v>
      </c>
      <c r="C366" s="16" t="s">
        <v>633</v>
      </c>
      <c r="D366" s="16" t="s">
        <v>124</v>
      </c>
      <c r="E366" s="16" t="s">
        <v>536</v>
      </c>
      <c r="F366" s="50" t="s">
        <v>122</v>
      </c>
      <c r="G366" s="16">
        <v>2022</v>
      </c>
      <c r="H366" s="16" t="s">
        <v>754</v>
      </c>
      <c r="I366" s="16" t="s">
        <v>755</v>
      </c>
    </row>
    <row r="367" spans="1:10" hidden="1" x14ac:dyDescent="0.35">
      <c r="A367" s="16">
        <v>778</v>
      </c>
      <c r="B367" s="16" t="s">
        <v>774</v>
      </c>
      <c r="C367" s="16" t="s">
        <v>775</v>
      </c>
      <c r="D367" s="16" t="s">
        <v>124</v>
      </c>
      <c r="E367" s="16" t="s">
        <v>559</v>
      </c>
      <c r="F367" s="50" t="s">
        <v>122</v>
      </c>
      <c r="G367" s="16">
        <v>2022</v>
      </c>
      <c r="H367" s="16" t="s">
        <v>754</v>
      </c>
      <c r="I367" s="16" t="s">
        <v>773</v>
      </c>
    </row>
    <row r="368" spans="1:10" hidden="1" x14ac:dyDescent="0.35">
      <c r="A368" s="16">
        <v>778</v>
      </c>
      <c r="B368" s="16" t="s">
        <v>776</v>
      </c>
      <c r="C368" s="16" t="s">
        <v>777</v>
      </c>
      <c r="D368" s="16" t="s">
        <v>124</v>
      </c>
      <c r="E368" s="16" t="s">
        <v>559</v>
      </c>
      <c r="F368" s="50" t="s">
        <v>122</v>
      </c>
      <c r="G368" s="16">
        <v>2022</v>
      </c>
      <c r="H368" s="16" t="s">
        <v>754</v>
      </c>
      <c r="I368" s="16" t="s">
        <v>773</v>
      </c>
    </row>
    <row r="369" spans="1:10" hidden="1" x14ac:dyDescent="0.35">
      <c r="A369" s="16">
        <v>778</v>
      </c>
      <c r="B369" s="27" t="s">
        <v>779</v>
      </c>
      <c r="D369" s="16" t="s">
        <v>124</v>
      </c>
      <c r="E369" s="16" t="s">
        <v>2243</v>
      </c>
      <c r="F369" s="50" t="s">
        <v>122</v>
      </c>
      <c r="G369" s="16">
        <v>2022</v>
      </c>
      <c r="H369" s="16" t="s">
        <v>754</v>
      </c>
      <c r="I369" s="16" t="s">
        <v>778</v>
      </c>
      <c r="J369" s="16" t="s">
        <v>2253</v>
      </c>
    </row>
    <row r="370" spans="1:10" hidden="1" x14ac:dyDescent="0.35">
      <c r="A370" s="16">
        <v>778</v>
      </c>
      <c r="B370" s="27" t="s">
        <v>781</v>
      </c>
      <c r="C370" s="16" t="s">
        <v>782</v>
      </c>
      <c r="D370" s="16" t="s">
        <v>124</v>
      </c>
      <c r="E370" s="16" t="s">
        <v>2243</v>
      </c>
      <c r="F370" s="50" t="s">
        <v>28</v>
      </c>
      <c r="G370" s="16" t="s">
        <v>1486</v>
      </c>
      <c r="H370" s="16" t="s">
        <v>403</v>
      </c>
      <c r="I370" s="16" t="s">
        <v>780</v>
      </c>
      <c r="J370" s="16" t="s">
        <v>2253</v>
      </c>
    </row>
    <row r="371" spans="1:10" hidden="1" x14ac:dyDescent="0.35">
      <c r="A371" s="16">
        <v>778</v>
      </c>
      <c r="B371" s="27" t="s">
        <v>784</v>
      </c>
      <c r="C371" s="16" t="s">
        <v>785</v>
      </c>
      <c r="D371" s="16" t="s">
        <v>124</v>
      </c>
      <c r="E371" s="16" t="s">
        <v>2243</v>
      </c>
      <c r="F371" s="50" t="s">
        <v>28</v>
      </c>
      <c r="G371" s="16" t="s">
        <v>1486</v>
      </c>
      <c r="H371" s="16" t="s">
        <v>403</v>
      </c>
      <c r="I371" s="16" t="s">
        <v>783</v>
      </c>
      <c r="J371" s="16" t="s">
        <v>2253</v>
      </c>
    </row>
    <row r="372" spans="1:10" hidden="1" x14ac:dyDescent="0.35">
      <c r="A372" s="16">
        <v>778</v>
      </c>
      <c r="B372" s="27" t="s">
        <v>346</v>
      </c>
      <c r="C372" s="16" t="s">
        <v>633</v>
      </c>
      <c r="D372" s="16" t="s">
        <v>124</v>
      </c>
      <c r="E372" s="16" t="s">
        <v>559</v>
      </c>
      <c r="F372" s="50" t="s">
        <v>122</v>
      </c>
      <c r="G372" s="16">
        <v>2022</v>
      </c>
      <c r="H372" s="16" t="s">
        <v>754</v>
      </c>
      <c r="I372" s="16" t="s">
        <v>780</v>
      </c>
    </row>
    <row r="373" spans="1:10" hidden="1" x14ac:dyDescent="0.35">
      <c r="A373" s="16">
        <v>778</v>
      </c>
      <c r="B373" s="16" t="s">
        <v>134</v>
      </c>
      <c r="C373" s="16" t="s">
        <v>629</v>
      </c>
      <c r="D373" s="16" t="s">
        <v>124</v>
      </c>
      <c r="E373" s="16" t="s">
        <v>1329</v>
      </c>
      <c r="F373" s="16" t="s">
        <v>28</v>
      </c>
      <c r="G373" s="16" t="s">
        <v>1486</v>
      </c>
      <c r="H373" s="50" t="s">
        <v>403</v>
      </c>
      <c r="I373" s="16" t="s">
        <v>243</v>
      </c>
      <c r="J373" s="16" t="s">
        <v>1726</v>
      </c>
    </row>
    <row r="374" spans="1:10" hidden="1" x14ac:dyDescent="0.35">
      <c r="A374" s="16">
        <v>788</v>
      </c>
      <c r="B374" s="16" t="s">
        <v>173</v>
      </c>
      <c r="C374" s="16" t="s">
        <v>633</v>
      </c>
      <c r="D374" s="16" t="s">
        <v>124</v>
      </c>
      <c r="E374" s="16" t="s">
        <v>559</v>
      </c>
      <c r="F374" s="16" t="s">
        <v>122</v>
      </c>
      <c r="G374" s="16">
        <v>2016</v>
      </c>
      <c r="H374" s="50" t="s">
        <v>404</v>
      </c>
      <c r="I374" s="16" t="s">
        <v>786</v>
      </c>
    </row>
    <row r="375" spans="1:10" hidden="1" x14ac:dyDescent="0.35">
      <c r="A375" s="16">
        <v>788</v>
      </c>
      <c r="B375" s="16" t="s">
        <v>173</v>
      </c>
      <c r="C375" s="16" t="s">
        <v>633</v>
      </c>
      <c r="D375" s="16" t="s">
        <v>124</v>
      </c>
      <c r="E375" s="16" t="s">
        <v>559</v>
      </c>
      <c r="F375" s="16" t="s">
        <v>28</v>
      </c>
      <c r="G375" s="16">
        <v>2016</v>
      </c>
      <c r="I375" s="16" t="s">
        <v>787</v>
      </c>
    </row>
    <row r="376" spans="1:10" hidden="1" x14ac:dyDescent="0.35">
      <c r="A376" s="16">
        <v>788</v>
      </c>
      <c r="B376" s="16" t="s">
        <v>788</v>
      </c>
      <c r="C376" s="16" t="s">
        <v>789</v>
      </c>
      <c r="D376" s="16" t="s">
        <v>124</v>
      </c>
      <c r="E376" s="16" t="s">
        <v>559</v>
      </c>
      <c r="F376" s="16" t="s">
        <v>28</v>
      </c>
      <c r="G376" s="16">
        <v>2016</v>
      </c>
      <c r="I376" s="16" t="s">
        <v>2559</v>
      </c>
    </row>
    <row r="377" spans="1:10" x14ac:dyDescent="0.35">
      <c r="A377" s="16">
        <v>803</v>
      </c>
      <c r="B377" s="16" t="s">
        <v>142</v>
      </c>
      <c r="C377" s="16" t="s">
        <v>243</v>
      </c>
      <c r="D377" s="16" t="s">
        <v>124</v>
      </c>
      <c r="E377" s="16" t="s">
        <v>538</v>
      </c>
      <c r="F377" s="16" t="s">
        <v>790</v>
      </c>
      <c r="G377" s="16" t="s">
        <v>1487</v>
      </c>
      <c r="H377" s="50" t="s">
        <v>403</v>
      </c>
      <c r="I377" s="16" t="s">
        <v>791</v>
      </c>
    </row>
    <row r="378" spans="1:10" hidden="1" x14ac:dyDescent="0.35">
      <c r="A378" s="16">
        <v>803</v>
      </c>
      <c r="B378" s="16" t="s">
        <v>793</v>
      </c>
      <c r="C378" s="16" t="s">
        <v>633</v>
      </c>
      <c r="D378" s="16" t="s">
        <v>124</v>
      </c>
      <c r="E378" s="16" t="s">
        <v>538</v>
      </c>
      <c r="F378" s="16" t="s">
        <v>790</v>
      </c>
      <c r="G378" s="16" t="s">
        <v>1487</v>
      </c>
      <c r="H378" s="50" t="s">
        <v>403</v>
      </c>
      <c r="I378" s="27" t="s">
        <v>792</v>
      </c>
    </row>
    <row r="379" spans="1:10" hidden="1" x14ac:dyDescent="0.35">
      <c r="A379" s="16">
        <v>803</v>
      </c>
      <c r="B379" s="16" t="s">
        <v>794</v>
      </c>
      <c r="C379" s="16" t="s">
        <v>795</v>
      </c>
      <c r="D379" s="16" t="s">
        <v>124</v>
      </c>
      <c r="E379" s="16" t="s">
        <v>538</v>
      </c>
      <c r="F379" s="16" t="s">
        <v>790</v>
      </c>
      <c r="G379" s="16" t="s">
        <v>1487</v>
      </c>
      <c r="H379" s="50" t="s">
        <v>403</v>
      </c>
      <c r="I379" s="16" t="s">
        <v>285</v>
      </c>
    </row>
    <row r="380" spans="1:10" x14ac:dyDescent="0.35">
      <c r="A380" s="16">
        <v>803</v>
      </c>
      <c r="B380" s="16" t="s">
        <v>797</v>
      </c>
      <c r="C380" s="16" t="s">
        <v>798</v>
      </c>
      <c r="D380" s="16" t="s">
        <v>124</v>
      </c>
      <c r="E380" s="16" t="s">
        <v>536</v>
      </c>
      <c r="F380" s="16" t="s">
        <v>790</v>
      </c>
      <c r="G380" s="16" t="s">
        <v>1487</v>
      </c>
      <c r="H380" s="50" t="s">
        <v>403</v>
      </c>
      <c r="I380" s="16" t="s">
        <v>796</v>
      </c>
    </row>
    <row r="381" spans="1:10" x14ac:dyDescent="0.35">
      <c r="A381" s="16">
        <v>803</v>
      </c>
      <c r="B381" s="16" t="s">
        <v>185</v>
      </c>
      <c r="C381" s="16" t="s">
        <v>637</v>
      </c>
      <c r="D381" s="16" t="s">
        <v>124</v>
      </c>
      <c r="E381" s="16" t="s">
        <v>538</v>
      </c>
      <c r="F381" s="16" t="s">
        <v>790</v>
      </c>
      <c r="G381" s="16" t="s">
        <v>1487</v>
      </c>
      <c r="H381" s="50" t="s">
        <v>403</v>
      </c>
      <c r="I381" s="16" t="s">
        <v>534</v>
      </c>
    </row>
    <row r="382" spans="1:10" hidden="1" x14ac:dyDescent="0.35">
      <c r="A382" s="16">
        <v>811</v>
      </c>
      <c r="B382" s="16" t="s">
        <v>800</v>
      </c>
      <c r="C382" s="16" t="s">
        <v>656</v>
      </c>
      <c r="D382" s="16" t="s">
        <v>124</v>
      </c>
      <c r="E382" s="16" t="s">
        <v>536</v>
      </c>
      <c r="F382" s="16" t="s">
        <v>790</v>
      </c>
      <c r="G382" s="16" t="s">
        <v>1352</v>
      </c>
      <c r="H382" s="50" t="s">
        <v>404</v>
      </c>
      <c r="I382" s="16" t="s">
        <v>799</v>
      </c>
    </row>
    <row r="383" spans="1:10" hidden="1" x14ac:dyDescent="0.35">
      <c r="A383" s="16">
        <v>811</v>
      </c>
      <c r="B383" s="16" t="s">
        <v>801</v>
      </c>
      <c r="C383" s="16" t="s">
        <v>656</v>
      </c>
      <c r="D383" s="16" t="s">
        <v>124</v>
      </c>
      <c r="E383" s="16" t="s">
        <v>536</v>
      </c>
      <c r="F383" s="16" t="s">
        <v>790</v>
      </c>
      <c r="G383" s="16" t="s">
        <v>1352</v>
      </c>
      <c r="H383" s="50" t="s">
        <v>404</v>
      </c>
      <c r="I383" s="16" t="s">
        <v>799</v>
      </c>
    </row>
    <row r="384" spans="1:10" hidden="1" x14ac:dyDescent="0.35">
      <c r="A384" s="16">
        <v>811</v>
      </c>
      <c r="B384" s="16" t="s">
        <v>802</v>
      </c>
      <c r="C384" s="16" t="s">
        <v>656</v>
      </c>
      <c r="D384" s="16" t="s">
        <v>124</v>
      </c>
      <c r="E384" s="16" t="s">
        <v>536</v>
      </c>
      <c r="F384" s="16" t="s">
        <v>790</v>
      </c>
      <c r="G384" s="16" t="s">
        <v>1352</v>
      </c>
      <c r="H384" s="50" t="s">
        <v>404</v>
      </c>
      <c r="I384" s="16" t="s">
        <v>799</v>
      </c>
    </row>
    <row r="385" spans="1:9" hidden="1" x14ac:dyDescent="0.35">
      <c r="A385" s="16">
        <v>811</v>
      </c>
      <c r="B385" s="16" t="s">
        <v>803</v>
      </c>
      <c r="C385" s="16" t="s">
        <v>804</v>
      </c>
      <c r="D385" s="16" t="s">
        <v>124</v>
      </c>
      <c r="E385" s="16" t="s">
        <v>536</v>
      </c>
      <c r="F385" s="16" t="s">
        <v>790</v>
      </c>
      <c r="G385" s="16" t="s">
        <v>1488</v>
      </c>
      <c r="H385" s="50" t="s">
        <v>403</v>
      </c>
      <c r="I385" s="16" t="s">
        <v>799</v>
      </c>
    </row>
    <row r="386" spans="1:9" hidden="1" x14ac:dyDescent="0.35">
      <c r="A386" s="16">
        <v>811</v>
      </c>
      <c r="B386" s="16" t="s">
        <v>805</v>
      </c>
      <c r="C386" s="16" t="s">
        <v>656</v>
      </c>
      <c r="D386" s="16" t="s">
        <v>124</v>
      </c>
      <c r="E386" s="16" t="s">
        <v>536</v>
      </c>
      <c r="F386" s="16" t="s">
        <v>790</v>
      </c>
      <c r="G386" s="16" t="s">
        <v>1352</v>
      </c>
      <c r="H386" s="50" t="s">
        <v>404</v>
      </c>
      <c r="I386" s="16" t="s">
        <v>799</v>
      </c>
    </row>
    <row r="387" spans="1:9" hidden="1" x14ac:dyDescent="0.35">
      <c r="A387" s="16">
        <v>811</v>
      </c>
      <c r="B387" s="16" t="s">
        <v>806</v>
      </c>
      <c r="C387" s="16" t="s">
        <v>663</v>
      </c>
      <c r="D387" s="16" t="s">
        <v>124</v>
      </c>
      <c r="E387" s="16" t="s">
        <v>536</v>
      </c>
      <c r="F387" s="16" t="s">
        <v>790</v>
      </c>
      <c r="G387" s="16" t="s">
        <v>1352</v>
      </c>
      <c r="H387" s="50" t="s">
        <v>404</v>
      </c>
      <c r="I387" s="16" t="s">
        <v>799</v>
      </c>
    </row>
    <row r="388" spans="1:9" hidden="1" x14ac:dyDescent="0.35">
      <c r="A388" s="16">
        <v>811</v>
      </c>
      <c r="B388" s="16" t="s">
        <v>807</v>
      </c>
      <c r="C388" s="16" t="s">
        <v>663</v>
      </c>
      <c r="D388" s="16" t="s">
        <v>124</v>
      </c>
      <c r="E388" s="16" t="s">
        <v>536</v>
      </c>
      <c r="F388" s="16" t="s">
        <v>790</v>
      </c>
      <c r="G388" s="16" t="s">
        <v>1352</v>
      </c>
      <c r="H388" s="50" t="s">
        <v>404</v>
      </c>
      <c r="I388" s="16" t="s">
        <v>799</v>
      </c>
    </row>
    <row r="389" spans="1:9" hidden="1" x14ac:dyDescent="0.35">
      <c r="A389" s="16">
        <v>811</v>
      </c>
      <c r="B389" s="16" t="s">
        <v>808</v>
      </c>
      <c r="C389" s="16" t="s">
        <v>663</v>
      </c>
      <c r="D389" s="16" t="s">
        <v>124</v>
      </c>
      <c r="E389" s="16" t="s">
        <v>536</v>
      </c>
      <c r="F389" s="16" t="s">
        <v>790</v>
      </c>
      <c r="G389" s="16" t="s">
        <v>1352</v>
      </c>
      <c r="H389" s="50" t="s">
        <v>404</v>
      </c>
      <c r="I389" s="16" t="s">
        <v>799</v>
      </c>
    </row>
    <row r="390" spans="1:9" hidden="1" x14ac:dyDescent="0.35">
      <c r="A390" s="16">
        <v>811</v>
      </c>
      <c r="B390" s="16" t="s">
        <v>810</v>
      </c>
      <c r="C390" s="16" t="s">
        <v>811</v>
      </c>
      <c r="D390" s="16" t="s">
        <v>130</v>
      </c>
      <c r="E390" s="16" t="s">
        <v>809</v>
      </c>
      <c r="F390" s="16" t="s">
        <v>790</v>
      </c>
      <c r="G390" s="16" t="s">
        <v>1352</v>
      </c>
      <c r="H390" s="50" t="s">
        <v>404</v>
      </c>
      <c r="I390" s="16" t="s">
        <v>799</v>
      </c>
    </row>
    <row r="391" spans="1:9" hidden="1" x14ac:dyDescent="0.35">
      <c r="A391" s="16">
        <v>811</v>
      </c>
      <c r="B391" s="16" t="s">
        <v>812</v>
      </c>
      <c r="C391" s="16" t="s">
        <v>633</v>
      </c>
      <c r="D391" s="16" t="s">
        <v>130</v>
      </c>
      <c r="E391" s="16" t="s">
        <v>809</v>
      </c>
      <c r="F391" s="16" t="s">
        <v>790</v>
      </c>
      <c r="G391" s="16" t="s">
        <v>1489</v>
      </c>
      <c r="H391" s="50" t="s">
        <v>404</v>
      </c>
      <c r="I391" s="16" t="s">
        <v>799</v>
      </c>
    </row>
    <row r="392" spans="1:9" hidden="1" x14ac:dyDescent="0.35">
      <c r="A392" s="16">
        <v>811</v>
      </c>
      <c r="B392" s="16" t="s">
        <v>286</v>
      </c>
      <c r="C392" s="16" t="s">
        <v>673</v>
      </c>
      <c r="D392" s="16" t="s">
        <v>130</v>
      </c>
      <c r="E392" s="16" t="s">
        <v>813</v>
      </c>
      <c r="F392" s="16" t="s">
        <v>790</v>
      </c>
      <c r="G392" s="16" t="s">
        <v>1489</v>
      </c>
      <c r="H392" s="50" t="s">
        <v>404</v>
      </c>
      <c r="I392" s="16" t="s">
        <v>786</v>
      </c>
    </row>
    <row r="393" spans="1:9" hidden="1" x14ac:dyDescent="0.35">
      <c r="A393" s="16">
        <v>811</v>
      </c>
      <c r="B393" s="16" t="s">
        <v>814</v>
      </c>
      <c r="C393" s="16" t="s">
        <v>815</v>
      </c>
      <c r="D393" s="16" t="s">
        <v>130</v>
      </c>
      <c r="E393" s="16" t="s">
        <v>813</v>
      </c>
      <c r="F393" s="16" t="s">
        <v>790</v>
      </c>
      <c r="G393" s="16" t="s">
        <v>1489</v>
      </c>
      <c r="H393" s="50" t="s">
        <v>404</v>
      </c>
      <c r="I393" s="16" t="s">
        <v>786</v>
      </c>
    </row>
    <row r="394" spans="1:9" hidden="1" x14ac:dyDescent="0.35">
      <c r="A394" s="16">
        <v>811</v>
      </c>
      <c r="B394" s="16" t="s">
        <v>816</v>
      </c>
      <c r="C394" s="16" t="s">
        <v>633</v>
      </c>
      <c r="D394" s="16" t="s">
        <v>130</v>
      </c>
      <c r="E394" s="16" t="s">
        <v>813</v>
      </c>
      <c r="F394" s="16" t="s">
        <v>790</v>
      </c>
      <c r="G394" s="16" t="s">
        <v>1489</v>
      </c>
      <c r="H394" s="50" t="s">
        <v>404</v>
      </c>
      <c r="I394" s="16" t="s">
        <v>786</v>
      </c>
    </row>
    <row r="395" spans="1:9" hidden="1" x14ac:dyDescent="0.35">
      <c r="A395" s="16">
        <v>811</v>
      </c>
      <c r="B395" s="16" t="s">
        <v>817</v>
      </c>
      <c r="C395" s="16" t="s">
        <v>633</v>
      </c>
      <c r="D395" s="16" t="s">
        <v>130</v>
      </c>
      <c r="E395" s="16" t="s">
        <v>813</v>
      </c>
      <c r="F395" s="16" t="s">
        <v>790</v>
      </c>
      <c r="G395" s="16" t="s">
        <v>1489</v>
      </c>
      <c r="H395" s="50" t="s">
        <v>404</v>
      </c>
      <c r="I395" s="16" t="s">
        <v>786</v>
      </c>
    </row>
    <row r="396" spans="1:9" hidden="1" x14ac:dyDescent="0.35">
      <c r="A396" s="16">
        <v>824</v>
      </c>
      <c r="B396" s="16" t="s">
        <v>819</v>
      </c>
      <c r="C396" s="16" t="s">
        <v>633</v>
      </c>
      <c r="D396" s="16" t="s">
        <v>124</v>
      </c>
      <c r="E396" s="16" t="s">
        <v>536</v>
      </c>
      <c r="F396" s="16" t="s">
        <v>122</v>
      </c>
      <c r="G396" s="16" t="s">
        <v>1490</v>
      </c>
      <c r="H396" s="50" t="s">
        <v>403</v>
      </c>
      <c r="I396" s="16" t="s">
        <v>818</v>
      </c>
    </row>
    <row r="397" spans="1:9" hidden="1" x14ac:dyDescent="0.35">
      <c r="A397" s="16">
        <v>824</v>
      </c>
      <c r="B397" s="16" t="s">
        <v>385</v>
      </c>
      <c r="C397" s="16" t="s">
        <v>804</v>
      </c>
      <c r="D397" s="16" t="s">
        <v>124</v>
      </c>
      <c r="E397" s="16" t="s">
        <v>536</v>
      </c>
      <c r="F397" s="16" t="s">
        <v>122</v>
      </c>
      <c r="G397" s="16" t="s">
        <v>1490</v>
      </c>
      <c r="H397" s="50" t="s">
        <v>403</v>
      </c>
      <c r="I397" s="16" t="s">
        <v>818</v>
      </c>
    </row>
    <row r="398" spans="1:9" hidden="1" x14ac:dyDescent="0.35">
      <c r="A398" s="16">
        <v>824</v>
      </c>
      <c r="B398" s="16" t="s">
        <v>386</v>
      </c>
      <c r="C398" s="16" t="s">
        <v>626</v>
      </c>
      <c r="D398" s="16" t="s">
        <v>124</v>
      </c>
      <c r="E398" s="16" t="s">
        <v>536</v>
      </c>
      <c r="F398" s="16" t="s">
        <v>122</v>
      </c>
      <c r="G398" s="16" t="s">
        <v>1491</v>
      </c>
      <c r="H398" s="50" t="s">
        <v>406</v>
      </c>
      <c r="I398" s="16" t="s">
        <v>820</v>
      </c>
    </row>
    <row r="399" spans="1:9" hidden="1" x14ac:dyDescent="0.35">
      <c r="A399" s="16">
        <v>824</v>
      </c>
      <c r="B399" s="16" t="s">
        <v>821</v>
      </c>
      <c r="C399" s="16" t="s">
        <v>626</v>
      </c>
      <c r="D399" s="16" t="s">
        <v>124</v>
      </c>
      <c r="E399" s="16" t="s">
        <v>536</v>
      </c>
      <c r="F399" s="16" t="s">
        <v>122</v>
      </c>
      <c r="G399" s="16" t="s">
        <v>1491</v>
      </c>
      <c r="H399" s="50" t="s">
        <v>406</v>
      </c>
      <c r="I399" s="16" t="s">
        <v>820</v>
      </c>
    </row>
    <row r="400" spans="1:9" hidden="1" x14ac:dyDescent="0.35">
      <c r="A400" s="16">
        <v>833</v>
      </c>
      <c r="B400" s="16" t="s">
        <v>822</v>
      </c>
      <c r="C400" s="16" t="s">
        <v>823</v>
      </c>
      <c r="D400" s="16" t="s">
        <v>124</v>
      </c>
      <c r="E400" s="16" t="s">
        <v>536</v>
      </c>
      <c r="F400" s="16" t="s">
        <v>28</v>
      </c>
      <c r="G400" s="16" t="s">
        <v>1492</v>
      </c>
      <c r="H400" s="50" t="s">
        <v>404</v>
      </c>
      <c r="I400" s="16" t="s">
        <v>190</v>
      </c>
    </row>
    <row r="401" spans="1:10" hidden="1" x14ac:dyDescent="0.35">
      <c r="A401" s="16">
        <v>833</v>
      </c>
      <c r="B401" s="16" t="s">
        <v>824</v>
      </c>
      <c r="C401" s="16" t="s">
        <v>825</v>
      </c>
      <c r="D401" s="16" t="s">
        <v>124</v>
      </c>
      <c r="E401" s="16" t="s">
        <v>536</v>
      </c>
      <c r="F401" s="16" t="s">
        <v>28</v>
      </c>
      <c r="G401" s="16" t="s">
        <v>1492</v>
      </c>
      <c r="H401" s="50" t="s">
        <v>404</v>
      </c>
      <c r="I401" s="16" t="s">
        <v>190</v>
      </c>
    </row>
    <row r="402" spans="1:10" hidden="1" x14ac:dyDescent="0.35">
      <c r="A402" s="16">
        <v>833</v>
      </c>
      <c r="B402" s="16" t="s">
        <v>827</v>
      </c>
      <c r="C402" s="16" t="s">
        <v>828</v>
      </c>
      <c r="D402" s="16" t="s">
        <v>124</v>
      </c>
      <c r="E402" s="16" t="s">
        <v>536</v>
      </c>
      <c r="F402" s="16" t="s">
        <v>28</v>
      </c>
      <c r="G402" s="16" t="s">
        <v>1492</v>
      </c>
      <c r="H402" s="50" t="s">
        <v>404</v>
      </c>
      <c r="I402" s="16" t="s">
        <v>826</v>
      </c>
    </row>
    <row r="403" spans="1:10" x14ac:dyDescent="0.35">
      <c r="A403" s="16">
        <v>841</v>
      </c>
      <c r="B403" s="16" t="s">
        <v>830</v>
      </c>
      <c r="C403" s="16" t="s">
        <v>633</v>
      </c>
      <c r="D403" s="16" t="s">
        <v>130</v>
      </c>
      <c r="E403" s="16" t="s">
        <v>809</v>
      </c>
      <c r="F403" s="16" t="s">
        <v>122</v>
      </c>
      <c r="G403" s="16" t="s">
        <v>1493</v>
      </c>
      <c r="H403" s="50" t="s">
        <v>405</v>
      </c>
      <c r="I403" s="16" t="s">
        <v>829</v>
      </c>
    </row>
    <row r="404" spans="1:10" x14ac:dyDescent="0.35">
      <c r="A404" s="16">
        <v>841</v>
      </c>
      <c r="B404" s="16" t="s">
        <v>831</v>
      </c>
      <c r="C404" s="16" t="s">
        <v>832</v>
      </c>
      <c r="D404" s="16" t="s">
        <v>124</v>
      </c>
      <c r="E404" s="16" t="s">
        <v>2243</v>
      </c>
      <c r="F404" s="16" t="s">
        <v>122</v>
      </c>
      <c r="G404" s="16" t="s">
        <v>1493</v>
      </c>
      <c r="H404" s="50" t="s">
        <v>405</v>
      </c>
      <c r="I404" s="16" t="s">
        <v>829</v>
      </c>
    </row>
    <row r="405" spans="1:10" x14ac:dyDescent="0.35">
      <c r="A405" s="16">
        <v>841</v>
      </c>
      <c r="B405" s="16" t="s">
        <v>833</v>
      </c>
      <c r="C405" s="16" t="s">
        <v>834</v>
      </c>
      <c r="D405" s="16" t="s">
        <v>124</v>
      </c>
      <c r="E405" s="16" t="s">
        <v>2243</v>
      </c>
      <c r="F405" s="16" t="s">
        <v>122</v>
      </c>
      <c r="G405" s="16" t="s">
        <v>1493</v>
      </c>
      <c r="H405" s="50" t="s">
        <v>405</v>
      </c>
      <c r="I405" s="16" t="s">
        <v>829</v>
      </c>
    </row>
    <row r="406" spans="1:10" x14ac:dyDescent="0.35">
      <c r="A406" s="16">
        <v>841</v>
      </c>
      <c r="B406" s="16" t="s">
        <v>835</v>
      </c>
      <c r="C406" s="16" t="s">
        <v>836</v>
      </c>
      <c r="D406" s="16" t="s">
        <v>124</v>
      </c>
      <c r="E406" s="16" t="s">
        <v>2243</v>
      </c>
      <c r="F406" s="16" t="s">
        <v>122</v>
      </c>
      <c r="G406" s="16" t="s">
        <v>1493</v>
      </c>
      <c r="H406" s="50" t="s">
        <v>405</v>
      </c>
      <c r="I406" s="16" t="s">
        <v>829</v>
      </c>
    </row>
    <row r="407" spans="1:10" x14ac:dyDescent="0.35">
      <c r="A407" s="16">
        <v>841</v>
      </c>
      <c r="B407" s="16" t="s">
        <v>837</v>
      </c>
      <c r="C407" s="16" t="s">
        <v>838</v>
      </c>
      <c r="D407" s="16" t="s">
        <v>124</v>
      </c>
      <c r="E407" s="16" t="s">
        <v>559</v>
      </c>
      <c r="F407" s="16" t="s">
        <v>122</v>
      </c>
      <c r="G407" s="16" t="s">
        <v>1493</v>
      </c>
      <c r="H407" s="50" t="s">
        <v>405</v>
      </c>
      <c r="I407" s="16" t="s">
        <v>829</v>
      </c>
    </row>
    <row r="408" spans="1:10" x14ac:dyDescent="0.35">
      <c r="A408" s="16">
        <v>841</v>
      </c>
      <c r="B408" s="16" t="s">
        <v>343</v>
      </c>
      <c r="C408" s="16" t="s">
        <v>696</v>
      </c>
      <c r="D408" s="16" t="s">
        <v>124</v>
      </c>
      <c r="E408" s="16" t="s">
        <v>2243</v>
      </c>
      <c r="F408" s="16" t="s">
        <v>122</v>
      </c>
      <c r="G408" s="16" t="s">
        <v>1493</v>
      </c>
      <c r="H408" s="50" t="s">
        <v>405</v>
      </c>
      <c r="I408" s="16" t="s">
        <v>829</v>
      </c>
    </row>
    <row r="409" spans="1:10" hidden="1" x14ac:dyDescent="0.35">
      <c r="A409" s="16">
        <v>849</v>
      </c>
      <c r="B409" s="16" t="s">
        <v>810</v>
      </c>
      <c r="C409" s="16" t="s">
        <v>811</v>
      </c>
      <c r="D409" s="16" t="s">
        <v>130</v>
      </c>
      <c r="E409" s="16" t="s">
        <v>809</v>
      </c>
      <c r="F409" s="16" t="s">
        <v>122</v>
      </c>
      <c r="G409" s="16" t="s">
        <v>1494</v>
      </c>
      <c r="H409" s="50" t="s">
        <v>406</v>
      </c>
      <c r="I409" s="16" t="s">
        <v>839</v>
      </c>
    </row>
    <row r="410" spans="1:10" x14ac:dyDescent="0.35">
      <c r="A410" s="16">
        <v>849</v>
      </c>
      <c r="B410" s="16" t="s">
        <v>185</v>
      </c>
      <c r="C410" s="16" t="s">
        <v>637</v>
      </c>
      <c r="D410" s="16" t="s">
        <v>124</v>
      </c>
      <c r="E410" s="16" t="s">
        <v>538</v>
      </c>
      <c r="F410" s="16" t="s">
        <v>122</v>
      </c>
      <c r="G410" s="16" t="s">
        <v>1495</v>
      </c>
      <c r="H410" s="50" t="s">
        <v>405</v>
      </c>
      <c r="I410" s="16" t="s">
        <v>840</v>
      </c>
      <c r="J410" s="16" t="s">
        <v>841</v>
      </c>
    </row>
    <row r="411" spans="1:10" x14ac:dyDescent="0.35">
      <c r="A411" s="16">
        <v>849</v>
      </c>
      <c r="B411" s="16" t="s">
        <v>211</v>
      </c>
      <c r="C411" s="16" t="s">
        <v>628</v>
      </c>
      <c r="D411" s="16" t="s">
        <v>124</v>
      </c>
      <c r="E411" s="16" t="s">
        <v>559</v>
      </c>
      <c r="F411" s="16" t="s">
        <v>122</v>
      </c>
      <c r="G411" s="16" t="s">
        <v>1495</v>
      </c>
      <c r="H411" s="50" t="s">
        <v>405</v>
      </c>
      <c r="I411" s="16" t="s">
        <v>842</v>
      </c>
    </row>
    <row r="412" spans="1:10" x14ac:dyDescent="0.35">
      <c r="A412" s="16">
        <v>849</v>
      </c>
      <c r="B412" s="16" t="s">
        <v>843</v>
      </c>
      <c r="C412" s="16" t="s">
        <v>633</v>
      </c>
      <c r="D412" s="16" t="s">
        <v>124</v>
      </c>
      <c r="E412" s="16" t="s">
        <v>559</v>
      </c>
      <c r="F412" s="16" t="s">
        <v>122</v>
      </c>
      <c r="G412" s="16" t="s">
        <v>1495</v>
      </c>
      <c r="H412" s="50" t="s">
        <v>405</v>
      </c>
      <c r="I412" s="16" t="s">
        <v>842</v>
      </c>
      <c r="J412" s="16" t="s">
        <v>844</v>
      </c>
    </row>
    <row r="413" spans="1:10" x14ac:dyDescent="0.35">
      <c r="A413" s="16">
        <v>849</v>
      </c>
      <c r="B413" s="16" t="s">
        <v>845</v>
      </c>
      <c r="C413" s="16" t="s">
        <v>628</v>
      </c>
      <c r="D413" s="16" t="s">
        <v>124</v>
      </c>
      <c r="E413" s="16" t="s">
        <v>559</v>
      </c>
      <c r="F413" s="16" t="s">
        <v>122</v>
      </c>
      <c r="G413" s="16" t="s">
        <v>1495</v>
      </c>
      <c r="H413" s="50" t="s">
        <v>405</v>
      </c>
      <c r="I413" s="16" t="s">
        <v>842</v>
      </c>
    </row>
    <row r="414" spans="1:10" hidden="1" x14ac:dyDescent="0.35">
      <c r="A414" s="16">
        <v>849</v>
      </c>
      <c r="B414" s="16" t="s">
        <v>847</v>
      </c>
      <c r="C414" s="16" t="s">
        <v>811</v>
      </c>
      <c r="D414" s="16" t="s">
        <v>130</v>
      </c>
      <c r="E414" s="16" t="s">
        <v>809</v>
      </c>
      <c r="F414" s="16" t="s">
        <v>122</v>
      </c>
      <c r="G414" s="16" t="s">
        <v>1494</v>
      </c>
      <c r="H414" s="50" t="s">
        <v>406</v>
      </c>
      <c r="I414" s="16" t="s">
        <v>846</v>
      </c>
    </row>
    <row r="415" spans="1:10" hidden="1" x14ac:dyDescent="0.35">
      <c r="A415" s="16">
        <v>854</v>
      </c>
      <c r="B415" s="16" t="s">
        <v>134</v>
      </c>
      <c r="C415" s="16" t="s">
        <v>631</v>
      </c>
      <c r="D415" s="16" t="s">
        <v>124</v>
      </c>
      <c r="E415" s="16" t="s">
        <v>1329</v>
      </c>
      <c r="F415" s="16" t="s">
        <v>28</v>
      </c>
      <c r="G415" s="16" t="s">
        <v>1496</v>
      </c>
      <c r="H415" s="50" t="s">
        <v>404</v>
      </c>
      <c r="I415" s="16" t="s">
        <v>190</v>
      </c>
      <c r="J415" s="16" t="s">
        <v>2245</v>
      </c>
    </row>
    <row r="416" spans="1:10" hidden="1" x14ac:dyDescent="0.35">
      <c r="A416" s="16">
        <v>854</v>
      </c>
      <c r="B416" s="16" t="s">
        <v>848</v>
      </c>
      <c r="C416" s="16" t="s">
        <v>631</v>
      </c>
      <c r="D416" s="16" t="s">
        <v>124</v>
      </c>
      <c r="E416" s="16" t="s">
        <v>1329</v>
      </c>
      <c r="F416" s="16" t="s">
        <v>28</v>
      </c>
      <c r="G416" s="16" t="s">
        <v>1496</v>
      </c>
      <c r="H416" s="50" t="s">
        <v>404</v>
      </c>
      <c r="I416" s="16" t="s">
        <v>190</v>
      </c>
      <c r="J416" s="16" t="s">
        <v>2245</v>
      </c>
    </row>
    <row r="417" spans="1:10" hidden="1" x14ac:dyDescent="0.35">
      <c r="A417" s="16">
        <v>854</v>
      </c>
      <c r="B417" s="16" t="s">
        <v>849</v>
      </c>
      <c r="C417" s="16" t="s">
        <v>631</v>
      </c>
      <c r="D417" s="16" t="s">
        <v>428</v>
      </c>
      <c r="E417" s="16" t="s">
        <v>1329</v>
      </c>
      <c r="F417" s="16" t="s">
        <v>28</v>
      </c>
      <c r="G417" s="16" t="s">
        <v>1496</v>
      </c>
      <c r="H417" s="50" t="s">
        <v>404</v>
      </c>
      <c r="I417" s="16" t="s">
        <v>190</v>
      </c>
      <c r="J417" s="16" t="s">
        <v>2246</v>
      </c>
    </row>
    <row r="418" spans="1:10" hidden="1" x14ac:dyDescent="0.35">
      <c r="A418" s="16">
        <v>854</v>
      </c>
      <c r="B418" s="16" t="s">
        <v>850</v>
      </c>
      <c r="C418" s="16" t="s">
        <v>851</v>
      </c>
      <c r="D418" s="16" t="s">
        <v>124</v>
      </c>
      <c r="E418" s="16" t="s">
        <v>1329</v>
      </c>
      <c r="F418" s="16" t="s">
        <v>28</v>
      </c>
      <c r="G418" s="16" t="s">
        <v>1496</v>
      </c>
      <c r="H418" s="50" t="s">
        <v>404</v>
      </c>
      <c r="I418" s="16" t="s">
        <v>190</v>
      </c>
      <c r="J418" s="16" t="s">
        <v>2245</v>
      </c>
    </row>
    <row r="419" spans="1:10" hidden="1" x14ac:dyDescent="0.35">
      <c r="A419" s="16">
        <v>854</v>
      </c>
      <c r="B419" s="16" t="s">
        <v>854</v>
      </c>
      <c r="C419" s="16" t="s">
        <v>855</v>
      </c>
      <c r="D419" s="16" t="s">
        <v>428</v>
      </c>
      <c r="E419" s="16" t="s">
        <v>150</v>
      </c>
      <c r="F419" s="16" t="s">
        <v>852</v>
      </c>
      <c r="G419" s="16" t="s">
        <v>1496</v>
      </c>
      <c r="H419" s="50" t="s">
        <v>404</v>
      </c>
      <c r="I419" s="16" t="s">
        <v>853</v>
      </c>
      <c r="J419" s="16" t="s">
        <v>856</v>
      </c>
    </row>
    <row r="420" spans="1:10" x14ac:dyDescent="0.35">
      <c r="A420" s="16">
        <v>866</v>
      </c>
      <c r="B420" s="16" t="s">
        <v>858</v>
      </c>
      <c r="C420" s="16" t="s">
        <v>633</v>
      </c>
      <c r="D420" s="16" t="s">
        <v>124</v>
      </c>
      <c r="E420" s="16" t="s">
        <v>536</v>
      </c>
      <c r="F420" s="16" t="s">
        <v>122</v>
      </c>
      <c r="G420" s="16">
        <v>2023</v>
      </c>
      <c r="H420" s="50" t="s">
        <v>403</v>
      </c>
      <c r="I420" s="16" t="s">
        <v>857</v>
      </c>
    </row>
    <row r="421" spans="1:10" x14ac:dyDescent="0.35">
      <c r="A421" s="16">
        <v>866</v>
      </c>
      <c r="B421" s="16" t="s">
        <v>859</v>
      </c>
      <c r="C421" s="16" t="s">
        <v>633</v>
      </c>
      <c r="D421" s="16" t="s">
        <v>124</v>
      </c>
      <c r="E421" s="16" t="s">
        <v>536</v>
      </c>
      <c r="F421" s="16" t="s">
        <v>122</v>
      </c>
      <c r="G421" s="16">
        <v>2023</v>
      </c>
      <c r="H421" s="50" t="s">
        <v>403</v>
      </c>
      <c r="I421" s="16" t="s">
        <v>857</v>
      </c>
    </row>
    <row r="422" spans="1:10" x14ac:dyDescent="0.35">
      <c r="A422" s="16">
        <v>866</v>
      </c>
      <c r="B422" s="16" t="s">
        <v>860</v>
      </c>
      <c r="C422" s="16" t="s">
        <v>626</v>
      </c>
      <c r="D422" s="16" t="s">
        <v>124</v>
      </c>
      <c r="E422" s="16" t="s">
        <v>536</v>
      </c>
      <c r="F422" s="16" t="s">
        <v>122</v>
      </c>
      <c r="G422" s="16">
        <v>2023</v>
      </c>
      <c r="H422" s="50" t="s">
        <v>403</v>
      </c>
      <c r="I422" s="16" t="s">
        <v>857</v>
      </c>
    </row>
    <row r="423" spans="1:10" x14ac:dyDescent="0.35">
      <c r="A423" s="16">
        <v>866</v>
      </c>
      <c r="B423" s="16" t="s">
        <v>861</v>
      </c>
      <c r="C423" s="16" t="s">
        <v>626</v>
      </c>
      <c r="D423" s="16" t="s">
        <v>124</v>
      </c>
      <c r="E423" s="16" t="s">
        <v>536</v>
      </c>
      <c r="F423" s="16" t="s">
        <v>122</v>
      </c>
      <c r="G423" s="16">
        <v>2023</v>
      </c>
      <c r="H423" s="50" t="s">
        <v>403</v>
      </c>
      <c r="I423" s="16" t="s">
        <v>857</v>
      </c>
    </row>
    <row r="424" spans="1:10" x14ac:dyDescent="0.35">
      <c r="A424" s="16">
        <v>866</v>
      </c>
      <c r="B424" s="16" t="s">
        <v>862</v>
      </c>
      <c r="C424" s="16" t="s">
        <v>633</v>
      </c>
      <c r="D424" s="16" t="s">
        <v>124</v>
      </c>
      <c r="E424" s="16" t="s">
        <v>1126</v>
      </c>
      <c r="F424" s="16" t="s">
        <v>122</v>
      </c>
      <c r="G424" s="16">
        <v>2023</v>
      </c>
      <c r="H424" s="50" t="s">
        <v>403</v>
      </c>
      <c r="I424" s="16" t="s">
        <v>857</v>
      </c>
    </row>
    <row r="425" spans="1:10" x14ac:dyDescent="0.35">
      <c r="A425" s="16">
        <v>866</v>
      </c>
      <c r="B425" s="16" t="s">
        <v>863</v>
      </c>
      <c r="C425" s="16" t="s">
        <v>633</v>
      </c>
      <c r="D425" s="16" t="s">
        <v>124</v>
      </c>
      <c r="E425" s="16" t="s">
        <v>1126</v>
      </c>
      <c r="F425" s="16" t="s">
        <v>122</v>
      </c>
      <c r="G425" s="16">
        <v>2023</v>
      </c>
      <c r="H425" s="50" t="s">
        <v>403</v>
      </c>
      <c r="I425" s="16" t="s">
        <v>857</v>
      </c>
    </row>
    <row r="426" spans="1:10" x14ac:dyDescent="0.35">
      <c r="A426" s="16">
        <v>866</v>
      </c>
      <c r="B426" s="16" t="s">
        <v>864</v>
      </c>
      <c r="C426" s="16" t="s">
        <v>633</v>
      </c>
      <c r="D426" s="16" t="s">
        <v>124</v>
      </c>
      <c r="E426" s="16" t="s">
        <v>1126</v>
      </c>
      <c r="F426" s="16" t="s">
        <v>122</v>
      </c>
      <c r="G426" s="16">
        <v>2023</v>
      </c>
      <c r="H426" s="50" t="s">
        <v>403</v>
      </c>
      <c r="I426" s="16" t="s">
        <v>857</v>
      </c>
    </row>
    <row r="427" spans="1:10" x14ac:dyDescent="0.35">
      <c r="A427" s="16">
        <v>866</v>
      </c>
      <c r="B427" s="16" t="s">
        <v>865</v>
      </c>
      <c r="C427" s="16" t="s">
        <v>633</v>
      </c>
      <c r="D427" s="16" t="s">
        <v>124</v>
      </c>
      <c r="E427" s="16" t="s">
        <v>1126</v>
      </c>
      <c r="F427" s="16" t="s">
        <v>122</v>
      </c>
      <c r="G427" s="16">
        <v>2023</v>
      </c>
      <c r="H427" s="50" t="s">
        <v>403</v>
      </c>
      <c r="I427" s="16" t="s">
        <v>857</v>
      </c>
    </row>
    <row r="428" spans="1:10" hidden="1" x14ac:dyDescent="0.35">
      <c r="A428" s="17">
        <v>868</v>
      </c>
      <c r="B428" s="16" t="s">
        <v>849</v>
      </c>
      <c r="C428" s="16" t="s">
        <v>866</v>
      </c>
      <c r="D428" s="16" t="s">
        <v>124</v>
      </c>
      <c r="E428" s="16" t="s">
        <v>1329</v>
      </c>
      <c r="F428" s="16" t="s">
        <v>28</v>
      </c>
      <c r="G428" s="16" t="s">
        <v>1497</v>
      </c>
      <c r="H428" s="50" t="s">
        <v>405</v>
      </c>
      <c r="I428" s="16" t="s">
        <v>1330</v>
      </c>
      <c r="J428" s="16" t="s">
        <v>1726</v>
      </c>
    </row>
    <row r="429" spans="1:10" x14ac:dyDescent="0.35">
      <c r="A429" s="17">
        <v>868</v>
      </c>
      <c r="B429" s="16" t="s">
        <v>134</v>
      </c>
      <c r="C429" s="16" t="s">
        <v>631</v>
      </c>
      <c r="D429" s="16" t="s">
        <v>124</v>
      </c>
      <c r="E429" s="16" t="s">
        <v>1329</v>
      </c>
      <c r="F429" s="16" t="s">
        <v>28</v>
      </c>
      <c r="G429" s="16" t="s">
        <v>1498</v>
      </c>
      <c r="H429" s="50" t="s">
        <v>404</v>
      </c>
      <c r="I429" s="16" t="s">
        <v>867</v>
      </c>
      <c r="J429" s="16" t="s">
        <v>1726</v>
      </c>
    </row>
    <row r="430" spans="1:10" hidden="1" x14ac:dyDescent="0.35">
      <c r="A430" s="16">
        <v>871</v>
      </c>
      <c r="B430" s="16" t="s">
        <v>869</v>
      </c>
      <c r="C430" s="16" t="s">
        <v>870</v>
      </c>
      <c r="D430" s="16" t="s">
        <v>124</v>
      </c>
      <c r="E430" s="16" t="s">
        <v>1329</v>
      </c>
      <c r="F430" s="16" t="s">
        <v>28</v>
      </c>
      <c r="G430" s="16">
        <v>2007</v>
      </c>
      <c r="H430" s="50" t="s">
        <v>405</v>
      </c>
      <c r="I430" s="16" t="s">
        <v>868</v>
      </c>
      <c r="J430" s="16" t="s">
        <v>2247</v>
      </c>
    </row>
    <row r="431" spans="1:10" hidden="1" x14ac:dyDescent="0.35">
      <c r="A431" s="16">
        <v>871</v>
      </c>
      <c r="B431" s="16" t="s">
        <v>873</v>
      </c>
      <c r="C431" s="16" t="s">
        <v>874</v>
      </c>
      <c r="D431" s="16" t="s">
        <v>124</v>
      </c>
      <c r="E431" s="16" t="s">
        <v>1329</v>
      </c>
      <c r="F431" s="16" t="s">
        <v>871</v>
      </c>
      <c r="G431" s="16">
        <v>2007</v>
      </c>
      <c r="H431" s="50" t="s">
        <v>405</v>
      </c>
      <c r="I431" s="16" t="s">
        <v>872</v>
      </c>
      <c r="J431" s="16" t="s">
        <v>1726</v>
      </c>
    </row>
    <row r="432" spans="1:10" hidden="1" x14ac:dyDescent="0.35">
      <c r="A432" s="16">
        <v>871</v>
      </c>
      <c r="B432" s="16" t="s">
        <v>875</v>
      </c>
      <c r="C432" s="16" t="s">
        <v>629</v>
      </c>
      <c r="D432" s="16" t="s">
        <v>124</v>
      </c>
      <c r="E432" s="16" t="s">
        <v>536</v>
      </c>
      <c r="F432" s="16" t="s">
        <v>871</v>
      </c>
      <c r="G432" s="16">
        <v>2007</v>
      </c>
      <c r="H432" s="50" t="s">
        <v>405</v>
      </c>
      <c r="I432" s="16" t="s">
        <v>872</v>
      </c>
    </row>
    <row r="433" spans="1:10" x14ac:dyDescent="0.35">
      <c r="A433" s="16">
        <v>874</v>
      </c>
      <c r="B433" s="16" t="s">
        <v>134</v>
      </c>
      <c r="C433" s="16" t="s">
        <v>631</v>
      </c>
      <c r="D433" s="16" t="s">
        <v>124</v>
      </c>
      <c r="E433" s="16" t="s">
        <v>536</v>
      </c>
      <c r="F433" s="16" t="s">
        <v>28</v>
      </c>
      <c r="G433" s="16" t="s">
        <v>1499</v>
      </c>
      <c r="H433" s="50" t="s">
        <v>405</v>
      </c>
      <c r="I433" s="16" t="s">
        <v>882</v>
      </c>
    </row>
    <row r="434" spans="1:10" x14ac:dyDescent="0.35">
      <c r="A434" s="16">
        <v>874</v>
      </c>
      <c r="B434" s="16" t="s">
        <v>885</v>
      </c>
      <c r="C434" s="16" t="s">
        <v>883</v>
      </c>
      <c r="D434" s="16" t="s">
        <v>124</v>
      </c>
      <c r="E434" s="16" t="s">
        <v>559</v>
      </c>
      <c r="F434" s="16" t="s">
        <v>28</v>
      </c>
      <c r="G434" s="16" t="s">
        <v>1499</v>
      </c>
      <c r="H434" s="50" t="s">
        <v>405</v>
      </c>
      <c r="I434" s="16" t="s">
        <v>882</v>
      </c>
    </row>
    <row r="435" spans="1:10" x14ac:dyDescent="0.35">
      <c r="A435" s="16">
        <v>874</v>
      </c>
      <c r="B435" s="16" t="s">
        <v>886</v>
      </c>
      <c r="C435" s="16" t="s">
        <v>884</v>
      </c>
      <c r="D435" s="16" t="s">
        <v>124</v>
      </c>
      <c r="E435" s="16" t="s">
        <v>559</v>
      </c>
      <c r="F435" s="16" t="s">
        <v>28</v>
      </c>
      <c r="G435" s="16" t="s">
        <v>1499</v>
      </c>
      <c r="H435" s="50" t="s">
        <v>405</v>
      </c>
      <c r="I435" s="16" t="s">
        <v>882</v>
      </c>
    </row>
    <row r="436" spans="1:10" hidden="1" x14ac:dyDescent="0.35">
      <c r="A436" s="16">
        <v>875</v>
      </c>
      <c r="B436" s="16" t="s">
        <v>849</v>
      </c>
      <c r="C436" s="16" t="s">
        <v>891</v>
      </c>
      <c r="D436" s="16" t="s">
        <v>124</v>
      </c>
      <c r="E436" s="16" t="s">
        <v>2243</v>
      </c>
      <c r="F436" s="16" t="s">
        <v>28</v>
      </c>
      <c r="G436" s="16" t="s">
        <v>78</v>
      </c>
      <c r="I436" s="16" t="s">
        <v>190</v>
      </c>
    </row>
    <row r="437" spans="1:10" hidden="1" x14ac:dyDescent="0.35">
      <c r="A437" s="16">
        <v>875</v>
      </c>
      <c r="B437" s="16" t="s">
        <v>134</v>
      </c>
      <c r="C437" s="16" t="s">
        <v>631</v>
      </c>
      <c r="D437" s="16" t="s">
        <v>124</v>
      </c>
      <c r="E437" s="16" t="s">
        <v>2243</v>
      </c>
      <c r="F437" s="16" t="s">
        <v>28</v>
      </c>
      <c r="G437" s="16" t="s">
        <v>78</v>
      </c>
      <c r="I437" s="16" t="s">
        <v>190</v>
      </c>
    </row>
    <row r="438" spans="1:10" hidden="1" x14ac:dyDescent="0.35">
      <c r="A438" s="16">
        <v>875</v>
      </c>
      <c r="B438" s="16" t="s">
        <v>888</v>
      </c>
      <c r="C438" s="56" t="s">
        <v>892</v>
      </c>
      <c r="D438" s="16" t="s">
        <v>124</v>
      </c>
      <c r="E438" s="16" t="s">
        <v>2243</v>
      </c>
      <c r="F438" s="16" t="s">
        <v>28</v>
      </c>
      <c r="G438" s="16" t="s">
        <v>78</v>
      </c>
      <c r="I438" s="16" t="s">
        <v>190</v>
      </c>
    </row>
    <row r="439" spans="1:10" hidden="1" x14ac:dyDescent="0.35">
      <c r="A439" s="16">
        <v>875</v>
      </c>
      <c r="B439" s="16" t="s">
        <v>889</v>
      </c>
      <c r="C439" s="52" t="s">
        <v>893</v>
      </c>
      <c r="D439" s="16" t="s">
        <v>124</v>
      </c>
      <c r="E439" s="16" t="s">
        <v>2243</v>
      </c>
      <c r="F439" s="16" t="s">
        <v>28</v>
      </c>
      <c r="G439" s="16" t="s">
        <v>78</v>
      </c>
      <c r="I439" s="16" t="s">
        <v>190</v>
      </c>
    </row>
    <row r="440" spans="1:10" hidden="1" x14ac:dyDescent="0.35">
      <c r="A440" s="16">
        <v>875</v>
      </c>
      <c r="B440" s="16" t="s">
        <v>890</v>
      </c>
      <c r="C440" s="52" t="s">
        <v>894</v>
      </c>
      <c r="D440" s="16" t="s">
        <v>124</v>
      </c>
      <c r="E440" s="16" t="s">
        <v>2243</v>
      </c>
      <c r="F440" s="16" t="s">
        <v>28</v>
      </c>
      <c r="G440" s="16" t="s">
        <v>78</v>
      </c>
      <c r="I440" s="16" t="s">
        <v>190</v>
      </c>
    </row>
    <row r="441" spans="1:10" hidden="1" x14ac:dyDescent="0.35">
      <c r="A441" s="16">
        <v>882</v>
      </c>
      <c r="B441" s="16" t="s">
        <v>134</v>
      </c>
      <c r="C441" s="16" t="s">
        <v>631</v>
      </c>
      <c r="D441" s="16" t="s">
        <v>124</v>
      </c>
      <c r="E441" s="16" t="s">
        <v>536</v>
      </c>
      <c r="F441" s="16" t="s">
        <v>28</v>
      </c>
      <c r="G441" s="16" t="s">
        <v>1474</v>
      </c>
      <c r="H441" s="50" t="s">
        <v>405</v>
      </c>
      <c r="I441" s="16" t="s">
        <v>896</v>
      </c>
    </row>
    <row r="442" spans="1:10" hidden="1" x14ac:dyDescent="0.35">
      <c r="A442" s="16">
        <v>885</v>
      </c>
      <c r="B442" s="16" t="s">
        <v>900</v>
      </c>
      <c r="C442" s="16" t="s">
        <v>915</v>
      </c>
      <c r="D442" s="16" t="s">
        <v>124</v>
      </c>
      <c r="E442" s="16" t="s">
        <v>559</v>
      </c>
      <c r="F442" s="16" t="s">
        <v>122</v>
      </c>
      <c r="G442" s="16">
        <v>2010</v>
      </c>
      <c r="I442" s="16" t="s">
        <v>899</v>
      </c>
    </row>
    <row r="443" spans="1:10" hidden="1" x14ac:dyDescent="0.35">
      <c r="A443" s="16">
        <v>885</v>
      </c>
      <c r="B443" s="16" t="s">
        <v>901</v>
      </c>
      <c r="C443" s="16" t="s">
        <v>766</v>
      </c>
      <c r="D443" s="16" t="s">
        <v>124</v>
      </c>
      <c r="E443" s="16" t="s">
        <v>559</v>
      </c>
      <c r="F443" s="16" t="s">
        <v>122</v>
      </c>
      <c r="G443" s="16">
        <v>2010</v>
      </c>
      <c r="I443" s="16" t="s">
        <v>899</v>
      </c>
    </row>
    <row r="444" spans="1:10" hidden="1" x14ac:dyDescent="0.35">
      <c r="A444" s="16">
        <v>885</v>
      </c>
      <c r="B444" s="16" t="s">
        <v>902</v>
      </c>
      <c r="C444" s="16" t="s">
        <v>633</v>
      </c>
      <c r="D444" s="16" t="s">
        <v>124</v>
      </c>
      <c r="E444" s="16" t="s">
        <v>559</v>
      </c>
      <c r="F444" s="16" t="s">
        <v>122</v>
      </c>
      <c r="G444" s="16">
        <v>2010</v>
      </c>
      <c r="I444" s="16" t="s">
        <v>899</v>
      </c>
    </row>
    <row r="445" spans="1:10" hidden="1" x14ac:dyDescent="0.35">
      <c r="A445" s="16">
        <v>885</v>
      </c>
      <c r="B445" s="16" t="s">
        <v>903</v>
      </c>
      <c r="C445" s="16" t="s">
        <v>919</v>
      </c>
      <c r="D445" s="16" t="s">
        <v>428</v>
      </c>
      <c r="E445" s="16" t="s">
        <v>428</v>
      </c>
      <c r="F445" s="16" t="s">
        <v>28</v>
      </c>
      <c r="G445" s="16" t="s">
        <v>1500</v>
      </c>
      <c r="H445" s="52" t="s">
        <v>404</v>
      </c>
      <c r="I445" s="16" t="s">
        <v>899</v>
      </c>
      <c r="J445" s="16" t="s">
        <v>2248</v>
      </c>
    </row>
    <row r="446" spans="1:10" hidden="1" x14ac:dyDescent="0.35">
      <c r="A446" s="16">
        <v>885</v>
      </c>
      <c r="B446" s="16" t="s">
        <v>134</v>
      </c>
      <c r="C446" s="16" t="s">
        <v>919</v>
      </c>
      <c r="D446" s="16" t="s">
        <v>124</v>
      </c>
      <c r="E446" s="16" t="s">
        <v>428</v>
      </c>
      <c r="F446" s="16" t="s">
        <v>28</v>
      </c>
      <c r="G446" s="16" t="s">
        <v>1500</v>
      </c>
      <c r="H446" s="52" t="s">
        <v>404</v>
      </c>
      <c r="I446" s="16" t="s">
        <v>899</v>
      </c>
      <c r="J446" s="16" t="s">
        <v>2248</v>
      </c>
    </row>
    <row r="447" spans="1:10" hidden="1" x14ac:dyDescent="0.35">
      <c r="A447" s="16">
        <v>885</v>
      </c>
      <c r="B447" s="16" t="s">
        <v>904</v>
      </c>
      <c r="C447" s="16" t="s">
        <v>919</v>
      </c>
      <c r="D447" s="16" t="s">
        <v>124</v>
      </c>
      <c r="E447" s="16" t="s">
        <v>559</v>
      </c>
      <c r="F447" s="16" t="s">
        <v>28</v>
      </c>
      <c r="G447" s="16" t="s">
        <v>1500</v>
      </c>
      <c r="H447" s="52" t="s">
        <v>404</v>
      </c>
      <c r="I447" s="16" t="s">
        <v>899</v>
      </c>
    </row>
    <row r="448" spans="1:10" hidden="1" x14ac:dyDescent="0.35">
      <c r="A448" s="16">
        <v>885</v>
      </c>
      <c r="B448" s="16" t="s">
        <v>905</v>
      </c>
      <c r="C448" s="16" t="s">
        <v>916</v>
      </c>
      <c r="D448" s="16" t="s">
        <v>428</v>
      </c>
      <c r="E448" s="16" t="s">
        <v>428</v>
      </c>
      <c r="F448" s="16" t="s">
        <v>28</v>
      </c>
      <c r="G448" s="16" t="s">
        <v>1500</v>
      </c>
      <c r="H448" s="52" t="s">
        <v>404</v>
      </c>
      <c r="I448" s="16" t="s">
        <v>899</v>
      </c>
      <c r="J448" s="16" t="s">
        <v>2248</v>
      </c>
    </row>
    <row r="449" spans="1:10" hidden="1" x14ac:dyDescent="0.35">
      <c r="A449" s="16">
        <v>885</v>
      </c>
      <c r="B449" s="16" t="s">
        <v>906</v>
      </c>
      <c r="C449" s="16" t="s">
        <v>918</v>
      </c>
      <c r="D449" s="16" t="s">
        <v>428</v>
      </c>
      <c r="E449" s="16" t="s">
        <v>559</v>
      </c>
      <c r="F449" s="16" t="s">
        <v>28</v>
      </c>
      <c r="G449" s="16" t="s">
        <v>1500</v>
      </c>
      <c r="H449" s="52" t="s">
        <v>404</v>
      </c>
      <c r="I449" s="16" t="s">
        <v>899</v>
      </c>
    </row>
    <row r="450" spans="1:10" hidden="1" x14ac:dyDescent="0.35">
      <c r="A450" s="16">
        <v>885</v>
      </c>
      <c r="B450" s="16" t="s">
        <v>907</v>
      </c>
      <c r="C450" s="16" t="s">
        <v>917</v>
      </c>
      <c r="D450" s="16" t="s">
        <v>428</v>
      </c>
      <c r="E450" s="16" t="s">
        <v>428</v>
      </c>
      <c r="F450" s="16" t="s">
        <v>28</v>
      </c>
      <c r="G450" s="16" t="s">
        <v>1500</v>
      </c>
      <c r="H450" s="52" t="s">
        <v>404</v>
      </c>
      <c r="I450" s="16" t="s">
        <v>899</v>
      </c>
      <c r="J450" s="16" t="s">
        <v>2248</v>
      </c>
    </row>
    <row r="451" spans="1:10" hidden="1" x14ac:dyDescent="0.35">
      <c r="A451" s="16">
        <v>885</v>
      </c>
      <c r="B451" s="16" t="s">
        <v>908</v>
      </c>
      <c r="C451" s="16" t="s">
        <v>917</v>
      </c>
      <c r="D451" s="16" t="s">
        <v>130</v>
      </c>
      <c r="E451" s="16" t="s">
        <v>428</v>
      </c>
      <c r="F451" s="16" t="s">
        <v>28</v>
      </c>
      <c r="G451" s="16" t="s">
        <v>1500</v>
      </c>
      <c r="H451" s="52" t="s">
        <v>404</v>
      </c>
      <c r="I451" s="16" t="s">
        <v>899</v>
      </c>
      <c r="J451" s="16" t="s">
        <v>2248</v>
      </c>
    </row>
    <row r="452" spans="1:10" hidden="1" x14ac:dyDescent="0.35">
      <c r="A452" s="16">
        <v>885</v>
      </c>
      <c r="B452" s="16" t="s">
        <v>909</v>
      </c>
      <c r="C452" s="16" t="s">
        <v>917</v>
      </c>
      <c r="D452" s="16" t="s">
        <v>428</v>
      </c>
      <c r="E452" s="16" t="s">
        <v>428</v>
      </c>
      <c r="F452" s="16" t="s">
        <v>28</v>
      </c>
      <c r="G452" s="16" t="s">
        <v>1500</v>
      </c>
      <c r="H452" s="52" t="s">
        <v>404</v>
      </c>
      <c r="I452" s="16" t="s">
        <v>899</v>
      </c>
      <c r="J452" s="16" t="s">
        <v>2248</v>
      </c>
    </row>
    <row r="453" spans="1:10" hidden="1" x14ac:dyDescent="0.35">
      <c r="A453" s="16">
        <v>885</v>
      </c>
      <c r="B453" s="16" t="s">
        <v>910</v>
      </c>
      <c r="C453" s="16" t="s">
        <v>917</v>
      </c>
      <c r="D453" s="16" t="s">
        <v>428</v>
      </c>
      <c r="E453" s="16" t="s">
        <v>428</v>
      </c>
      <c r="F453" s="16" t="s">
        <v>28</v>
      </c>
      <c r="G453" s="16" t="s">
        <v>1500</v>
      </c>
      <c r="H453" s="52" t="s">
        <v>404</v>
      </c>
      <c r="I453" s="16" t="s">
        <v>899</v>
      </c>
      <c r="J453" s="16" t="s">
        <v>2248</v>
      </c>
    </row>
    <row r="454" spans="1:10" hidden="1" x14ac:dyDescent="0.35">
      <c r="A454" s="16">
        <v>885</v>
      </c>
      <c r="B454" s="16" t="s">
        <v>911</v>
      </c>
      <c r="C454" s="16" t="s">
        <v>917</v>
      </c>
      <c r="D454" s="16" t="s">
        <v>428</v>
      </c>
      <c r="E454" s="16" t="s">
        <v>428</v>
      </c>
      <c r="F454" s="16" t="s">
        <v>28</v>
      </c>
      <c r="G454" s="16" t="s">
        <v>1500</v>
      </c>
      <c r="H454" s="52" t="s">
        <v>404</v>
      </c>
      <c r="I454" s="16" t="s">
        <v>899</v>
      </c>
      <c r="J454" s="16" t="s">
        <v>2248</v>
      </c>
    </row>
    <row r="455" spans="1:10" hidden="1" x14ac:dyDescent="0.35">
      <c r="A455" s="16">
        <v>885</v>
      </c>
      <c r="B455" s="16" t="s">
        <v>912</v>
      </c>
      <c r="C455" s="16" t="s">
        <v>917</v>
      </c>
      <c r="D455" s="16" t="s">
        <v>428</v>
      </c>
      <c r="E455" s="16" t="s">
        <v>428</v>
      </c>
      <c r="F455" s="16" t="s">
        <v>28</v>
      </c>
      <c r="G455" s="16" t="s">
        <v>1500</v>
      </c>
      <c r="H455" s="52" t="s">
        <v>404</v>
      </c>
      <c r="I455" s="16" t="s">
        <v>899</v>
      </c>
      <c r="J455" s="16" t="s">
        <v>2248</v>
      </c>
    </row>
    <row r="456" spans="1:10" hidden="1" x14ac:dyDescent="0.35">
      <c r="A456" s="16">
        <v>885</v>
      </c>
      <c r="B456" s="16" t="s">
        <v>913</v>
      </c>
      <c r="C456" s="16" t="s">
        <v>917</v>
      </c>
      <c r="D456" s="16" t="s">
        <v>428</v>
      </c>
      <c r="E456" s="16" t="s">
        <v>428</v>
      </c>
      <c r="F456" s="16" t="s">
        <v>28</v>
      </c>
      <c r="G456" s="16" t="s">
        <v>1500</v>
      </c>
      <c r="H456" s="52" t="s">
        <v>404</v>
      </c>
      <c r="I456" s="16" t="s">
        <v>899</v>
      </c>
      <c r="J456" s="16" t="s">
        <v>2248</v>
      </c>
    </row>
    <row r="457" spans="1:10" hidden="1" x14ac:dyDescent="0.35">
      <c r="A457" s="16">
        <v>892</v>
      </c>
      <c r="B457" s="16" t="s">
        <v>924</v>
      </c>
      <c r="C457" s="16" t="s">
        <v>931</v>
      </c>
      <c r="D457" s="16" t="s">
        <v>124</v>
      </c>
      <c r="E457" s="16" t="s">
        <v>536</v>
      </c>
      <c r="F457" s="16" t="s">
        <v>923</v>
      </c>
      <c r="G457" s="16">
        <v>2023</v>
      </c>
      <c r="I457" s="16" t="s">
        <v>930</v>
      </c>
    </row>
    <row r="458" spans="1:10" hidden="1" x14ac:dyDescent="0.35">
      <c r="A458" s="16">
        <v>892</v>
      </c>
      <c r="B458" s="16" t="s">
        <v>926</v>
      </c>
      <c r="C458" s="16" t="s">
        <v>243</v>
      </c>
      <c r="D458" s="16" t="s">
        <v>124</v>
      </c>
      <c r="E458" s="16" t="s">
        <v>536</v>
      </c>
      <c r="F458" s="16" t="s">
        <v>923</v>
      </c>
      <c r="G458" s="16">
        <v>2023</v>
      </c>
      <c r="I458" s="16" t="s">
        <v>930</v>
      </c>
    </row>
    <row r="459" spans="1:10" hidden="1" x14ac:dyDescent="0.35">
      <c r="A459" s="16">
        <v>892</v>
      </c>
      <c r="B459" s="16" t="s">
        <v>925</v>
      </c>
      <c r="C459" s="16" t="s">
        <v>626</v>
      </c>
      <c r="D459" s="16" t="s">
        <v>124</v>
      </c>
      <c r="E459" s="16" t="s">
        <v>536</v>
      </c>
      <c r="F459" s="16" t="s">
        <v>923</v>
      </c>
      <c r="G459" s="16">
        <v>2023</v>
      </c>
      <c r="I459" s="16" t="s">
        <v>932</v>
      </c>
    </row>
    <row r="460" spans="1:10" hidden="1" x14ac:dyDescent="0.35">
      <c r="A460" s="16">
        <v>892</v>
      </c>
      <c r="B460" s="16" t="s">
        <v>927</v>
      </c>
      <c r="C460" s="16" t="s">
        <v>656</v>
      </c>
      <c r="D460" s="16" t="s">
        <v>124</v>
      </c>
      <c r="E460" s="16" t="s">
        <v>536</v>
      </c>
      <c r="F460" s="16" t="s">
        <v>923</v>
      </c>
      <c r="G460" s="16">
        <v>2023</v>
      </c>
      <c r="I460" s="16" t="s">
        <v>932</v>
      </c>
    </row>
    <row r="461" spans="1:10" hidden="1" x14ac:dyDescent="0.35">
      <c r="A461" s="16">
        <v>892</v>
      </c>
      <c r="B461" s="16" t="s">
        <v>928</v>
      </c>
      <c r="C461" s="16" t="s">
        <v>626</v>
      </c>
      <c r="D461" s="16" t="s">
        <v>124</v>
      </c>
      <c r="E461" s="16" t="s">
        <v>559</v>
      </c>
      <c r="F461" s="16" t="s">
        <v>923</v>
      </c>
      <c r="G461" s="16">
        <v>2023</v>
      </c>
      <c r="I461" s="16" t="s">
        <v>930</v>
      </c>
    </row>
    <row r="462" spans="1:10" hidden="1" x14ac:dyDescent="0.35">
      <c r="A462" s="16">
        <v>892</v>
      </c>
      <c r="B462" s="16" t="s">
        <v>929</v>
      </c>
      <c r="C462" s="16" t="s">
        <v>628</v>
      </c>
      <c r="D462" s="16" t="s">
        <v>124</v>
      </c>
      <c r="E462" s="16" t="s">
        <v>559</v>
      </c>
      <c r="F462" s="16" t="s">
        <v>923</v>
      </c>
      <c r="G462" s="16">
        <v>2023</v>
      </c>
      <c r="I462" s="16" t="s">
        <v>930</v>
      </c>
    </row>
    <row r="463" spans="1:10" hidden="1" x14ac:dyDescent="0.35">
      <c r="A463" s="16">
        <v>892</v>
      </c>
      <c r="B463" s="16" t="s">
        <v>286</v>
      </c>
      <c r="C463" s="16" t="s">
        <v>673</v>
      </c>
      <c r="D463" s="16" t="s">
        <v>130</v>
      </c>
      <c r="E463" s="16" t="s">
        <v>813</v>
      </c>
      <c r="F463" s="16" t="s">
        <v>923</v>
      </c>
      <c r="G463" s="16">
        <v>2023</v>
      </c>
      <c r="I463" s="16" t="s">
        <v>930</v>
      </c>
    </row>
    <row r="464" spans="1:10" hidden="1" x14ac:dyDescent="0.35">
      <c r="A464" s="16">
        <v>892</v>
      </c>
      <c r="B464" s="16" t="s">
        <v>816</v>
      </c>
      <c r="C464" s="16" t="s">
        <v>633</v>
      </c>
      <c r="D464" s="16" t="s">
        <v>130</v>
      </c>
      <c r="E464" s="16" t="s">
        <v>813</v>
      </c>
      <c r="F464" s="16" t="s">
        <v>923</v>
      </c>
      <c r="G464" s="16">
        <v>2023</v>
      </c>
      <c r="I464" s="16" t="s">
        <v>930</v>
      </c>
    </row>
    <row r="465" spans="1:10" hidden="1" x14ac:dyDescent="0.35">
      <c r="A465" s="16">
        <v>892</v>
      </c>
      <c r="B465" s="16" t="s">
        <v>138</v>
      </c>
      <c r="C465" s="16" t="s">
        <v>634</v>
      </c>
      <c r="D465" s="16" t="s">
        <v>130</v>
      </c>
      <c r="E465" s="16" t="s">
        <v>809</v>
      </c>
      <c r="F465" s="16" t="s">
        <v>923</v>
      </c>
      <c r="G465" s="16">
        <v>2023</v>
      </c>
      <c r="I465" s="16" t="s">
        <v>930</v>
      </c>
    </row>
    <row r="466" spans="1:10" hidden="1" x14ac:dyDescent="0.35">
      <c r="A466" s="16">
        <v>904</v>
      </c>
      <c r="B466" s="16" t="s">
        <v>942</v>
      </c>
      <c r="C466" s="16" t="s">
        <v>627</v>
      </c>
      <c r="D466" s="16" t="s">
        <v>124</v>
      </c>
      <c r="E466" s="16" t="s">
        <v>536</v>
      </c>
      <c r="F466" s="16" t="s">
        <v>122</v>
      </c>
      <c r="G466" s="16">
        <v>2004</v>
      </c>
      <c r="H466" s="50" t="s">
        <v>404</v>
      </c>
      <c r="I466" s="16" t="s">
        <v>930</v>
      </c>
    </row>
    <row r="467" spans="1:10" hidden="1" x14ac:dyDescent="0.35">
      <c r="A467" s="16">
        <v>904</v>
      </c>
      <c r="B467" s="16" t="s">
        <v>765</v>
      </c>
      <c r="C467" s="16" t="s">
        <v>766</v>
      </c>
      <c r="D467" s="16" t="s">
        <v>124</v>
      </c>
      <c r="E467" s="16" t="s">
        <v>559</v>
      </c>
      <c r="F467" s="16" t="s">
        <v>122</v>
      </c>
      <c r="G467" s="16">
        <v>2004</v>
      </c>
      <c r="H467" s="50" t="s">
        <v>404</v>
      </c>
      <c r="I467" s="16" t="s">
        <v>930</v>
      </c>
    </row>
    <row r="468" spans="1:10" hidden="1" x14ac:dyDescent="0.35">
      <c r="A468" s="16">
        <v>904</v>
      </c>
      <c r="B468" s="16" t="s">
        <v>943</v>
      </c>
      <c r="C468" s="16" t="s">
        <v>627</v>
      </c>
      <c r="D468" s="16" t="s">
        <v>124</v>
      </c>
      <c r="E468" s="16" t="s">
        <v>536</v>
      </c>
      <c r="F468" s="16" t="s">
        <v>122</v>
      </c>
      <c r="G468" s="16">
        <v>2004</v>
      </c>
      <c r="H468" s="50" t="s">
        <v>404</v>
      </c>
      <c r="I468" s="16" t="s">
        <v>930</v>
      </c>
    </row>
    <row r="469" spans="1:10" hidden="1" x14ac:dyDescent="0.35">
      <c r="A469" s="16">
        <v>904</v>
      </c>
      <c r="B469" s="16" t="s">
        <v>944</v>
      </c>
      <c r="C469" s="16" t="s">
        <v>766</v>
      </c>
      <c r="D469" s="16" t="s">
        <v>124</v>
      </c>
      <c r="E469" s="16" t="s">
        <v>559</v>
      </c>
      <c r="F469" s="16" t="s">
        <v>122</v>
      </c>
      <c r="G469" s="16">
        <v>2004</v>
      </c>
      <c r="H469" s="50" t="s">
        <v>404</v>
      </c>
      <c r="I469" s="16" t="s">
        <v>930</v>
      </c>
    </row>
    <row r="470" spans="1:10" hidden="1" x14ac:dyDescent="0.35">
      <c r="A470" s="16">
        <v>904</v>
      </c>
      <c r="B470" s="16" t="s">
        <v>395</v>
      </c>
      <c r="C470" s="16" t="s">
        <v>945</v>
      </c>
      <c r="D470" s="16" t="s">
        <v>124</v>
      </c>
      <c r="E470" s="16" t="s">
        <v>536</v>
      </c>
      <c r="F470" s="16" t="s">
        <v>122</v>
      </c>
      <c r="G470" s="16">
        <v>2004</v>
      </c>
      <c r="H470" s="50" t="s">
        <v>404</v>
      </c>
      <c r="I470" s="16" t="s">
        <v>930</v>
      </c>
    </row>
    <row r="471" spans="1:10" hidden="1" x14ac:dyDescent="0.35">
      <c r="A471" s="16">
        <v>904</v>
      </c>
      <c r="B471" s="16" t="s">
        <v>946</v>
      </c>
      <c r="C471" s="16" t="s">
        <v>947</v>
      </c>
      <c r="D471" s="16" t="s">
        <v>124</v>
      </c>
      <c r="E471" s="16" t="s">
        <v>536</v>
      </c>
      <c r="F471" s="16" t="s">
        <v>122</v>
      </c>
      <c r="G471" s="16">
        <v>2004</v>
      </c>
      <c r="H471" s="50" t="s">
        <v>404</v>
      </c>
      <c r="I471" s="16" t="s">
        <v>930</v>
      </c>
    </row>
    <row r="472" spans="1:10" hidden="1" x14ac:dyDescent="0.35">
      <c r="A472" s="16">
        <v>904</v>
      </c>
      <c r="B472" s="16" t="s">
        <v>948</v>
      </c>
      <c r="C472" s="16" t="s">
        <v>949</v>
      </c>
      <c r="D472" s="16" t="s">
        <v>124</v>
      </c>
      <c r="E472" s="16" t="s">
        <v>536</v>
      </c>
      <c r="F472" s="16" t="s">
        <v>122</v>
      </c>
      <c r="G472" s="16">
        <v>2004</v>
      </c>
      <c r="H472" s="50" t="s">
        <v>404</v>
      </c>
      <c r="I472" s="16" t="s">
        <v>930</v>
      </c>
    </row>
    <row r="473" spans="1:10" hidden="1" x14ac:dyDescent="0.35">
      <c r="A473" s="16">
        <v>904</v>
      </c>
      <c r="B473" s="16" t="s">
        <v>185</v>
      </c>
      <c r="C473" s="16" t="s">
        <v>637</v>
      </c>
      <c r="D473" s="16" t="s">
        <v>124</v>
      </c>
      <c r="E473" s="16" t="s">
        <v>539</v>
      </c>
      <c r="F473" s="16" t="s">
        <v>122</v>
      </c>
      <c r="G473" s="16">
        <v>2004</v>
      </c>
      <c r="H473" s="50" t="s">
        <v>404</v>
      </c>
      <c r="I473" s="16" t="s">
        <v>930</v>
      </c>
    </row>
    <row r="474" spans="1:10" hidden="1" x14ac:dyDescent="0.35">
      <c r="A474" s="16">
        <v>904</v>
      </c>
      <c r="B474" s="16" t="s">
        <v>936</v>
      </c>
      <c r="C474" s="16" t="s">
        <v>950</v>
      </c>
      <c r="D474" s="16" t="s">
        <v>124</v>
      </c>
      <c r="E474" s="16" t="s">
        <v>539</v>
      </c>
      <c r="F474" s="16" t="s">
        <v>122</v>
      </c>
      <c r="G474" s="16">
        <v>2004</v>
      </c>
      <c r="H474" s="50" t="s">
        <v>404</v>
      </c>
      <c r="I474" s="16" t="s">
        <v>930</v>
      </c>
    </row>
    <row r="475" spans="1:10" hidden="1" x14ac:dyDescent="0.35">
      <c r="A475" s="16">
        <v>904</v>
      </c>
      <c r="B475" s="16" t="s">
        <v>937</v>
      </c>
      <c r="C475" s="16" t="s">
        <v>629</v>
      </c>
      <c r="D475" s="16" t="s">
        <v>124</v>
      </c>
      <c r="E475" s="16" t="s">
        <v>539</v>
      </c>
      <c r="F475" s="16" t="s">
        <v>122</v>
      </c>
      <c r="G475" s="16">
        <v>2004</v>
      </c>
      <c r="H475" s="50" t="s">
        <v>404</v>
      </c>
      <c r="I475" s="16" t="s">
        <v>930</v>
      </c>
    </row>
    <row r="476" spans="1:10" hidden="1" x14ac:dyDescent="0.35">
      <c r="A476" s="16">
        <v>904</v>
      </c>
      <c r="B476" s="16" t="s">
        <v>935</v>
      </c>
      <c r="C476" s="16" t="s">
        <v>951</v>
      </c>
      <c r="D476" s="16" t="s">
        <v>124</v>
      </c>
      <c r="E476" s="16" t="s">
        <v>559</v>
      </c>
      <c r="F476" s="16" t="s">
        <v>122</v>
      </c>
      <c r="G476" s="16">
        <v>2004</v>
      </c>
      <c r="H476" s="50" t="s">
        <v>404</v>
      </c>
      <c r="I476" s="16" t="s">
        <v>930</v>
      </c>
      <c r="J476" s="16" t="s">
        <v>2249</v>
      </c>
    </row>
    <row r="477" spans="1:10" hidden="1" x14ac:dyDescent="0.35">
      <c r="A477" s="16">
        <v>904</v>
      </c>
      <c r="B477" s="16" t="s">
        <v>938</v>
      </c>
      <c r="C477" s="16" t="s">
        <v>951</v>
      </c>
      <c r="D477" s="16" t="s">
        <v>124</v>
      </c>
      <c r="E477" s="16" t="s">
        <v>559</v>
      </c>
      <c r="F477" s="16" t="s">
        <v>122</v>
      </c>
      <c r="G477" s="16">
        <v>2004</v>
      </c>
      <c r="H477" s="50" t="s">
        <v>404</v>
      </c>
      <c r="I477" s="16" t="s">
        <v>930</v>
      </c>
      <c r="J477" s="16" t="s">
        <v>2249</v>
      </c>
    </row>
    <row r="478" spans="1:10" hidden="1" x14ac:dyDescent="0.35">
      <c r="A478" s="16">
        <v>904</v>
      </c>
      <c r="B478" s="16" t="s">
        <v>939</v>
      </c>
      <c r="C478" s="16" t="s">
        <v>951</v>
      </c>
      <c r="D478" s="16" t="s">
        <v>124</v>
      </c>
      <c r="E478" s="16" t="s">
        <v>559</v>
      </c>
      <c r="F478" s="16" t="s">
        <v>122</v>
      </c>
      <c r="G478" s="16">
        <v>2004</v>
      </c>
      <c r="H478" s="50" t="s">
        <v>404</v>
      </c>
      <c r="I478" s="16" t="s">
        <v>930</v>
      </c>
      <c r="J478" s="16" t="s">
        <v>2249</v>
      </c>
    </row>
    <row r="479" spans="1:10" hidden="1" x14ac:dyDescent="0.35">
      <c r="A479" s="16">
        <v>904</v>
      </c>
      <c r="B479" s="16" t="s">
        <v>940</v>
      </c>
      <c r="C479" s="16" t="s">
        <v>951</v>
      </c>
      <c r="D479" s="16" t="s">
        <v>124</v>
      </c>
      <c r="E479" s="16" t="s">
        <v>559</v>
      </c>
      <c r="F479" s="16" t="s">
        <v>122</v>
      </c>
      <c r="G479" s="16">
        <v>2004</v>
      </c>
      <c r="H479" s="50" t="s">
        <v>404</v>
      </c>
      <c r="I479" s="16" t="s">
        <v>930</v>
      </c>
      <c r="J479" s="16" t="s">
        <v>2249</v>
      </c>
    </row>
    <row r="480" spans="1:10" hidden="1" x14ac:dyDescent="0.35">
      <c r="A480" s="16">
        <v>904</v>
      </c>
      <c r="B480" s="16" t="s">
        <v>941</v>
      </c>
      <c r="C480" s="16" t="s">
        <v>629</v>
      </c>
      <c r="D480" s="16" t="s">
        <v>124</v>
      </c>
      <c r="E480" s="16" t="s">
        <v>559</v>
      </c>
      <c r="F480" s="16" t="s">
        <v>122</v>
      </c>
      <c r="G480" s="16">
        <v>2004</v>
      </c>
      <c r="H480" s="50" t="s">
        <v>404</v>
      </c>
      <c r="I480" s="16" t="s">
        <v>930</v>
      </c>
      <c r="J480" s="16" t="s">
        <v>2249</v>
      </c>
    </row>
    <row r="481" spans="1:10" x14ac:dyDescent="0.35">
      <c r="A481" s="16">
        <v>911</v>
      </c>
      <c r="B481" s="16" t="s">
        <v>185</v>
      </c>
      <c r="C481" s="16" t="s">
        <v>637</v>
      </c>
      <c r="D481" s="16" t="s">
        <v>124</v>
      </c>
      <c r="E481" s="16" t="s">
        <v>539</v>
      </c>
      <c r="F481" s="16" t="s">
        <v>122</v>
      </c>
      <c r="G481" s="16" t="s">
        <v>1501</v>
      </c>
      <c r="H481" s="50" t="s">
        <v>403</v>
      </c>
      <c r="I481" s="16" t="s">
        <v>954</v>
      </c>
    </row>
    <row r="482" spans="1:10" x14ac:dyDescent="0.35">
      <c r="A482" s="16">
        <v>911</v>
      </c>
      <c r="B482" s="16" t="s">
        <v>955</v>
      </c>
      <c r="C482" s="16" t="s">
        <v>637</v>
      </c>
      <c r="D482" s="16" t="s">
        <v>124</v>
      </c>
      <c r="E482" s="16" t="s">
        <v>539</v>
      </c>
      <c r="F482" s="16" t="s">
        <v>122</v>
      </c>
      <c r="G482" s="16" t="s">
        <v>1501</v>
      </c>
      <c r="H482" s="50" t="s">
        <v>403</v>
      </c>
      <c r="I482" s="16" t="s">
        <v>956</v>
      </c>
    </row>
    <row r="483" spans="1:10" x14ac:dyDescent="0.35">
      <c r="A483" s="16">
        <v>911</v>
      </c>
      <c r="B483" s="16" t="s">
        <v>957</v>
      </c>
      <c r="C483" s="16" t="s">
        <v>637</v>
      </c>
      <c r="D483" s="16" t="s">
        <v>124</v>
      </c>
      <c r="E483" s="16" t="s">
        <v>539</v>
      </c>
      <c r="F483" s="16" t="s">
        <v>122</v>
      </c>
      <c r="G483" s="16" t="s">
        <v>1501</v>
      </c>
      <c r="H483" s="50" t="s">
        <v>403</v>
      </c>
      <c r="I483" s="16" t="s">
        <v>956</v>
      </c>
      <c r="J483" s="16" t="s">
        <v>958</v>
      </c>
    </row>
    <row r="484" spans="1:10" x14ac:dyDescent="0.35">
      <c r="A484" s="16">
        <v>911</v>
      </c>
      <c r="B484" s="16" t="s">
        <v>167</v>
      </c>
      <c r="C484" s="16" t="s">
        <v>959</v>
      </c>
      <c r="D484" s="16" t="s">
        <v>124</v>
      </c>
      <c r="E484" s="16" t="s">
        <v>539</v>
      </c>
      <c r="F484" s="16" t="s">
        <v>122</v>
      </c>
      <c r="G484" s="16" t="s">
        <v>1501</v>
      </c>
      <c r="H484" s="50" t="s">
        <v>403</v>
      </c>
      <c r="I484" s="16" t="s">
        <v>956</v>
      </c>
    </row>
    <row r="485" spans="1:10" x14ac:dyDescent="0.35">
      <c r="A485" s="16">
        <v>911</v>
      </c>
      <c r="B485" s="16" t="s">
        <v>173</v>
      </c>
      <c r="C485" s="16" t="s">
        <v>633</v>
      </c>
      <c r="D485" s="16" t="s">
        <v>124</v>
      </c>
      <c r="E485" s="16" t="s">
        <v>559</v>
      </c>
      <c r="F485" s="16" t="s">
        <v>122</v>
      </c>
      <c r="G485" s="16" t="s">
        <v>1501</v>
      </c>
      <c r="H485" s="50" t="s">
        <v>403</v>
      </c>
      <c r="I485" s="16" t="s">
        <v>956</v>
      </c>
    </row>
    <row r="486" spans="1:10" x14ac:dyDescent="0.35">
      <c r="A486" s="16">
        <v>911</v>
      </c>
      <c r="B486" s="16" t="s">
        <v>953</v>
      </c>
      <c r="C486" s="16" t="s">
        <v>931</v>
      </c>
      <c r="D486" s="16" t="s">
        <v>124</v>
      </c>
      <c r="E486" s="16" t="s">
        <v>536</v>
      </c>
      <c r="F486" s="16" t="s">
        <v>122</v>
      </c>
      <c r="G486" s="16" t="s">
        <v>1502</v>
      </c>
      <c r="H486" s="50" t="s">
        <v>405</v>
      </c>
      <c r="I486" s="16" t="s">
        <v>956</v>
      </c>
    </row>
    <row r="487" spans="1:10" hidden="1" x14ac:dyDescent="0.35">
      <c r="A487" s="16">
        <v>913</v>
      </c>
      <c r="B487" s="16" t="s">
        <v>185</v>
      </c>
      <c r="C487" s="16" t="s">
        <v>637</v>
      </c>
      <c r="D487" s="16" t="s">
        <v>124</v>
      </c>
      <c r="E487" s="16" t="s">
        <v>539</v>
      </c>
      <c r="F487" s="16" t="s">
        <v>122</v>
      </c>
      <c r="G487" s="16" t="s">
        <v>1503</v>
      </c>
      <c r="H487" s="50" t="s">
        <v>405</v>
      </c>
      <c r="I487" s="16" t="s">
        <v>962</v>
      </c>
    </row>
    <row r="488" spans="1:10" hidden="1" x14ac:dyDescent="0.35">
      <c r="A488" s="16">
        <v>913</v>
      </c>
      <c r="B488" s="16" t="s">
        <v>957</v>
      </c>
      <c r="C488" s="16" t="s">
        <v>637</v>
      </c>
      <c r="D488" s="16" t="s">
        <v>124</v>
      </c>
      <c r="E488" s="16" t="s">
        <v>539</v>
      </c>
      <c r="F488" s="16" t="s">
        <v>122</v>
      </c>
      <c r="G488" s="16" t="s">
        <v>1503</v>
      </c>
      <c r="H488" s="50" t="s">
        <v>405</v>
      </c>
      <c r="I488" s="16" t="s">
        <v>962</v>
      </c>
    </row>
    <row r="489" spans="1:10" hidden="1" x14ac:dyDescent="0.35">
      <c r="A489" s="16">
        <v>913</v>
      </c>
      <c r="B489" s="16" t="s">
        <v>961</v>
      </c>
      <c r="C489" s="16" t="s">
        <v>633</v>
      </c>
      <c r="D489" s="16" t="s">
        <v>124</v>
      </c>
      <c r="E489" s="16" t="s">
        <v>559</v>
      </c>
      <c r="F489" s="16" t="s">
        <v>122</v>
      </c>
      <c r="G489" s="16" t="s">
        <v>1503</v>
      </c>
      <c r="H489" s="50" t="s">
        <v>405</v>
      </c>
      <c r="I489" s="16" t="s">
        <v>962</v>
      </c>
    </row>
    <row r="490" spans="1:10" hidden="1" x14ac:dyDescent="0.35">
      <c r="A490" s="16">
        <v>913</v>
      </c>
      <c r="B490" s="16" t="s">
        <v>215</v>
      </c>
      <c r="C490" s="16" t="s">
        <v>626</v>
      </c>
      <c r="D490" s="16" t="s">
        <v>124</v>
      </c>
      <c r="E490" s="16" t="s">
        <v>559</v>
      </c>
      <c r="F490" s="16" t="s">
        <v>122</v>
      </c>
      <c r="G490" s="16" t="s">
        <v>1503</v>
      </c>
      <c r="H490" s="50" t="s">
        <v>405</v>
      </c>
      <c r="I490" s="16" t="s">
        <v>962</v>
      </c>
    </row>
    <row r="491" spans="1:10" hidden="1" x14ac:dyDescent="0.35">
      <c r="A491" s="16">
        <v>914</v>
      </c>
      <c r="B491" s="16" t="s">
        <v>2230</v>
      </c>
      <c r="C491" s="16" t="s">
        <v>2232</v>
      </c>
      <c r="D491" s="16" t="s">
        <v>124</v>
      </c>
      <c r="E491" s="16" t="s">
        <v>536</v>
      </c>
      <c r="F491" s="16" t="s">
        <v>205</v>
      </c>
      <c r="G491" s="16" t="s">
        <v>1330</v>
      </c>
      <c r="I491" s="16" t="s">
        <v>965</v>
      </c>
      <c r="J491" s="16" t="s">
        <v>2231</v>
      </c>
    </row>
    <row r="492" spans="1:10" hidden="1" x14ac:dyDescent="0.35">
      <c r="A492" s="16">
        <v>916</v>
      </c>
      <c r="B492" s="16" t="s">
        <v>185</v>
      </c>
      <c r="C492" s="16" t="s">
        <v>637</v>
      </c>
      <c r="D492" s="16" t="s">
        <v>124</v>
      </c>
      <c r="E492" s="16" t="s">
        <v>539</v>
      </c>
      <c r="F492" s="16" t="s">
        <v>122</v>
      </c>
      <c r="G492" s="16" t="s">
        <v>1491</v>
      </c>
      <c r="H492" s="50" t="s">
        <v>404</v>
      </c>
      <c r="I492" s="16" t="s">
        <v>1330</v>
      </c>
    </row>
    <row r="493" spans="1:10" hidden="1" x14ac:dyDescent="0.35">
      <c r="A493" s="16">
        <v>916</v>
      </c>
      <c r="B493" s="16" t="s">
        <v>134</v>
      </c>
      <c r="D493" s="16" t="s">
        <v>124</v>
      </c>
      <c r="E493" s="16" t="s">
        <v>559</v>
      </c>
      <c r="F493" s="16" t="s">
        <v>28</v>
      </c>
      <c r="G493" s="16" t="s">
        <v>967</v>
      </c>
      <c r="I493" s="16" t="s">
        <v>1330</v>
      </c>
    </row>
    <row r="494" spans="1:10" hidden="1" x14ac:dyDescent="0.35">
      <c r="A494" s="16">
        <v>934</v>
      </c>
      <c r="B494" s="16" t="s">
        <v>192</v>
      </c>
      <c r="C494" s="16" t="s">
        <v>972</v>
      </c>
      <c r="D494" s="16" t="s">
        <v>124</v>
      </c>
      <c r="E494" s="16" t="s">
        <v>536</v>
      </c>
      <c r="F494" s="16" t="s">
        <v>122</v>
      </c>
      <c r="G494" s="16" t="s">
        <v>1504</v>
      </c>
      <c r="H494" s="50" t="s">
        <v>403</v>
      </c>
      <c r="I494" s="16" t="s">
        <v>1330</v>
      </c>
    </row>
    <row r="495" spans="1:10" hidden="1" x14ac:dyDescent="0.35">
      <c r="A495" s="16">
        <v>934</v>
      </c>
      <c r="B495" s="16" t="s">
        <v>973</v>
      </c>
      <c r="C495" s="16" t="s">
        <v>656</v>
      </c>
      <c r="D495" s="16" t="s">
        <v>124</v>
      </c>
      <c r="E495" s="16" t="s">
        <v>536</v>
      </c>
      <c r="F495" s="16" t="s">
        <v>122</v>
      </c>
      <c r="G495" s="16" t="s">
        <v>1504</v>
      </c>
      <c r="H495" s="50" t="s">
        <v>403</v>
      </c>
      <c r="I495" s="16" t="s">
        <v>1330</v>
      </c>
    </row>
    <row r="496" spans="1:10" hidden="1" x14ac:dyDescent="0.35">
      <c r="A496" s="16">
        <v>934</v>
      </c>
      <c r="B496" s="16" t="s">
        <v>211</v>
      </c>
      <c r="C496" s="16" t="s">
        <v>626</v>
      </c>
      <c r="D496" s="16" t="s">
        <v>124</v>
      </c>
      <c r="E496" s="16" t="s">
        <v>536</v>
      </c>
      <c r="F496" s="16" t="s">
        <v>122</v>
      </c>
      <c r="G496" s="16" t="s">
        <v>1504</v>
      </c>
      <c r="H496" s="50" t="s">
        <v>403</v>
      </c>
      <c r="I496" s="16" t="s">
        <v>1330</v>
      </c>
    </row>
    <row r="497" spans="1:9" hidden="1" x14ac:dyDescent="0.35">
      <c r="A497" s="16">
        <v>934</v>
      </c>
      <c r="B497" s="16" t="s">
        <v>974</v>
      </c>
      <c r="C497" s="16" t="s">
        <v>975</v>
      </c>
      <c r="D497" s="16" t="s">
        <v>124</v>
      </c>
      <c r="E497" s="16" t="s">
        <v>536</v>
      </c>
      <c r="F497" s="16" t="s">
        <v>122</v>
      </c>
      <c r="G497" s="16" t="s">
        <v>1504</v>
      </c>
      <c r="H497" s="50" t="s">
        <v>403</v>
      </c>
      <c r="I497" s="16" t="s">
        <v>1330</v>
      </c>
    </row>
    <row r="498" spans="1:9" hidden="1" x14ac:dyDescent="0.35">
      <c r="A498" s="16">
        <v>934</v>
      </c>
      <c r="B498" s="16" t="s">
        <v>976</v>
      </c>
      <c r="C498" s="16" t="s">
        <v>626</v>
      </c>
      <c r="D498" s="16" t="s">
        <v>124</v>
      </c>
      <c r="E498" s="16" t="s">
        <v>536</v>
      </c>
      <c r="F498" s="16" t="s">
        <v>122</v>
      </c>
      <c r="G498" s="16" t="s">
        <v>1504</v>
      </c>
      <c r="H498" s="50" t="s">
        <v>403</v>
      </c>
      <c r="I498" s="16" t="s">
        <v>1330</v>
      </c>
    </row>
    <row r="499" spans="1:9" hidden="1" x14ac:dyDescent="0.35">
      <c r="A499" s="16">
        <v>934</v>
      </c>
      <c r="B499" s="16" t="s">
        <v>977</v>
      </c>
      <c r="C499" s="16" t="s">
        <v>663</v>
      </c>
      <c r="D499" s="16" t="s">
        <v>124</v>
      </c>
      <c r="E499" s="16" t="s">
        <v>536</v>
      </c>
      <c r="F499" s="16" t="s">
        <v>122</v>
      </c>
      <c r="G499" s="16" t="s">
        <v>1504</v>
      </c>
      <c r="H499" s="50" t="s">
        <v>403</v>
      </c>
      <c r="I499" s="16" t="s">
        <v>1330</v>
      </c>
    </row>
    <row r="500" spans="1:9" hidden="1" x14ac:dyDescent="0.35">
      <c r="A500" s="16">
        <v>934</v>
      </c>
      <c r="B500" s="16" t="s">
        <v>978</v>
      </c>
      <c r="C500" s="16" t="s">
        <v>663</v>
      </c>
      <c r="D500" s="16" t="s">
        <v>124</v>
      </c>
      <c r="E500" s="16" t="s">
        <v>536</v>
      </c>
      <c r="F500" s="16" t="s">
        <v>122</v>
      </c>
      <c r="G500" s="16" t="s">
        <v>1504</v>
      </c>
      <c r="H500" s="50" t="s">
        <v>403</v>
      </c>
      <c r="I500" s="16" t="s">
        <v>1330</v>
      </c>
    </row>
    <row r="501" spans="1:9" hidden="1" x14ac:dyDescent="0.35">
      <c r="A501" s="16">
        <v>934</v>
      </c>
      <c r="B501" s="16" t="s">
        <v>979</v>
      </c>
      <c r="C501" s="16" t="s">
        <v>663</v>
      </c>
      <c r="D501" s="16" t="s">
        <v>124</v>
      </c>
      <c r="E501" s="16" t="s">
        <v>536</v>
      </c>
      <c r="F501" s="16" t="s">
        <v>122</v>
      </c>
      <c r="G501" s="16" t="s">
        <v>1504</v>
      </c>
      <c r="H501" s="50" t="s">
        <v>403</v>
      </c>
      <c r="I501" s="16" t="s">
        <v>1330</v>
      </c>
    </row>
    <row r="502" spans="1:9" hidden="1" x14ac:dyDescent="0.35">
      <c r="A502" s="16">
        <v>934</v>
      </c>
      <c r="B502" s="16" t="s">
        <v>980</v>
      </c>
      <c r="C502" s="16" t="s">
        <v>663</v>
      </c>
      <c r="D502" s="16" t="s">
        <v>124</v>
      </c>
      <c r="E502" s="16" t="s">
        <v>536</v>
      </c>
      <c r="F502" s="16" t="s">
        <v>122</v>
      </c>
      <c r="G502" s="16" t="s">
        <v>1504</v>
      </c>
      <c r="H502" s="50" t="s">
        <v>403</v>
      </c>
      <c r="I502" s="16" t="s">
        <v>1330</v>
      </c>
    </row>
    <row r="503" spans="1:9" x14ac:dyDescent="0.35">
      <c r="A503" s="16">
        <v>939</v>
      </c>
      <c r="B503" s="16" t="s">
        <v>988</v>
      </c>
      <c r="C503" s="16" t="s">
        <v>633</v>
      </c>
      <c r="D503" s="16" t="s">
        <v>124</v>
      </c>
      <c r="E503" s="16" t="s">
        <v>536</v>
      </c>
      <c r="F503" s="16" t="s">
        <v>982</v>
      </c>
      <c r="G503" s="16" t="s">
        <v>1505</v>
      </c>
      <c r="H503" s="50" t="s">
        <v>406</v>
      </c>
      <c r="I503" s="16" t="s">
        <v>989</v>
      </c>
    </row>
    <row r="504" spans="1:9" x14ac:dyDescent="0.35">
      <c r="A504" s="16">
        <v>939</v>
      </c>
      <c r="B504" s="16" t="s">
        <v>987</v>
      </c>
      <c r="C504" s="16" t="s">
        <v>633</v>
      </c>
      <c r="D504" s="16" t="s">
        <v>124</v>
      </c>
      <c r="E504" s="16" t="s">
        <v>536</v>
      </c>
      <c r="F504" s="16" t="s">
        <v>982</v>
      </c>
      <c r="G504" s="16" t="s">
        <v>1505</v>
      </c>
      <c r="H504" s="50" t="s">
        <v>406</v>
      </c>
      <c r="I504" s="16" t="s">
        <v>990</v>
      </c>
    </row>
    <row r="505" spans="1:9" x14ac:dyDescent="0.35">
      <c r="A505" s="16">
        <v>939</v>
      </c>
      <c r="B505" s="16" t="s">
        <v>984</v>
      </c>
      <c r="C505" s="16" t="s">
        <v>983</v>
      </c>
      <c r="D505" s="16" t="s">
        <v>124</v>
      </c>
      <c r="E505" s="16" t="s">
        <v>1126</v>
      </c>
      <c r="F505" s="16" t="s">
        <v>982</v>
      </c>
      <c r="G505" s="16" t="s">
        <v>1505</v>
      </c>
      <c r="H505" s="50" t="s">
        <v>406</v>
      </c>
      <c r="I505" s="16" t="s">
        <v>534</v>
      </c>
    </row>
    <row r="506" spans="1:9" x14ac:dyDescent="0.35">
      <c r="A506" s="16">
        <v>939</v>
      </c>
      <c r="B506" s="16" t="s">
        <v>986</v>
      </c>
      <c r="C506" s="16" t="s">
        <v>985</v>
      </c>
      <c r="D506" s="16" t="s">
        <v>124</v>
      </c>
      <c r="E506" s="16" t="s">
        <v>536</v>
      </c>
      <c r="F506" s="16" t="s">
        <v>982</v>
      </c>
      <c r="G506" s="16" t="s">
        <v>1505</v>
      </c>
      <c r="H506" s="50" t="s">
        <v>406</v>
      </c>
      <c r="I506" s="16" t="s">
        <v>534</v>
      </c>
    </row>
    <row r="507" spans="1:9" hidden="1" x14ac:dyDescent="0.35">
      <c r="A507" s="16">
        <v>992</v>
      </c>
      <c r="B507" s="16" t="s">
        <v>992</v>
      </c>
      <c r="C507" s="16" t="s">
        <v>633</v>
      </c>
      <c r="D507" s="16" t="s">
        <v>124</v>
      </c>
      <c r="E507" s="16" t="s">
        <v>559</v>
      </c>
      <c r="F507" s="16" t="s">
        <v>122</v>
      </c>
      <c r="G507" s="16" t="s">
        <v>1503</v>
      </c>
      <c r="H507" s="50" t="s">
        <v>405</v>
      </c>
      <c r="I507" s="16" t="s">
        <v>962</v>
      </c>
    </row>
    <row r="508" spans="1:9" hidden="1" x14ac:dyDescent="0.35">
      <c r="A508" s="16">
        <v>992</v>
      </c>
      <c r="B508" s="16" t="s">
        <v>993</v>
      </c>
      <c r="C508" s="16" t="s">
        <v>649</v>
      </c>
      <c r="D508" s="16" t="s">
        <v>124</v>
      </c>
      <c r="E508" s="16" t="s">
        <v>536</v>
      </c>
      <c r="F508" s="16" t="s">
        <v>122</v>
      </c>
      <c r="G508" s="16" t="s">
        <v>1503</v>
      </c>
      <c r="H508" s="50" t="s">
        <v>405</v>
      </c>
      <c r="I508" s="16" t="s">
        <v>962</v>
      </c>
    </row>
    <row r="509" spans="1:9" hidden="1" x14ac:dyDescent="0.35">
      <c r="A509" s="16">
        <v>992</v>
      </c>
      <c r="B509" s="16" t="s">
        <v>994</v>
      </c>
      <c r="C509" s="16" t="s">
        <v>995</v>
      </c>
      <c r="D509" s="16" t="s">
        <v>124</v>
      </c>
      <c r="E509" s="16" t="s">
        <v>536</v>
      </c>
      <c r="F509" s="16" t="s">
        <v>122</v>
      </c>
      <c r="G509" s="16" t="s">
        <v>1506</v>
      </c>
      <c r="H509" s="50" t="s">
        <v>403</v>
      </c>
      <c r="I509" s="16" t="s">
        <v>996</v>
      </c>
    </row>
    <row r="510" spans="1:9" hidden="1" x14ac:dyDescent="0.35">
      <c r="A510" s="16">
        <v>1008</v>
      </c>
      <c r="B510" s="16" t="s">
        <v>1000</v>
      </c>
      <c r="C510" s="16" t="s">
        <v>243</v>
      </c>
      <c r="D510" s="16" t="s">
        <v>124</v>
      </c>
      <c r="E510" s="16" t="s">
        <v>538</v>
      </c>
      <c r="F510" s="16" t="s">
        <v>122</v>
      </c>
      <c r="G510" s="16" t="s">
        <v>1507</v>
      </c>
      <c r="H510" s="50" t="s">
        <v>405</v>
      </c>
      <c r="I510" s="16" t="s">
        <v>1002</v>
      </c>
    </row>
    <row r="511" spans="1:9" hidden="1" x14ac:dyDescent="0.35">
      <c r="A511" s="16">
        <v>1008</v>
      </c>
      <c r="B511" s="16" t="s">
        <v>1001</v>
      </c>
      <c r="C511" s="16" t="s">
        <v>633</v>
      </c>
      <c r="D511" s="16" t="s">
        <v>124</v>
      </c>
      <c r="E511" s="16" t="s">
        <v>559</v>
      </c>
      <c r="F511" s="16" t="s">
        <v>122</v>
      </c>
      <c r="G511" s="16" t="s">
        <v>1507</v>
      </c>
      <c r="H511" s="50" t="s">
        <v>405</v>
      </c>
      <c r="I511" s="16" t="s">
        <v>1002</v>
      </c>
    </row>
    <row r="512" spans="1:9" hidden="1" x14ac:dyDescent="0.35">
      <c r="A512" s="16">
        <v>1008</v>
      </c>
      <c r="B512" s="16" t="s">
        <v>1004</v>
      </c>
      <c r="C512" s="16" t="s">
        <v>626</v>
      </c>
      <c r="D512" s="16" t="s">
        <v>124</v>
      </c>
      <c r="E512" s="16" t="s">
        <v>536</v>
      </c>
      <c r="F512" s="16" t="s">
        <v>122</v>
      </c>
      <c r="G512" s="16" t="s">
        <v>1507</v>
      </c>
      <c r="H512" s="50" t="s">
        <v>405</v>
      </c>
      <c r="I512" s="16" t="s">
        <v>1002</v>
      </c>
    </row>
    <row r="513" spans="1:10" hidden="1" x14ac:dyDescent="0.35">
      <c r="A513" s="16">
        <v>1008</v>
      </c>
      <c r="B513" s="16" t="s">
        <v>1003</v>
      </c>
      <c r="C513" s="16" t="s">
        <v>705</v>
      </c>
      <c r="D513" s="16" t="s">
        <v>124</v>
      </c>
      <c r="E513" s="16" t="s">
        <v>536</v>
      </c>
      <c r="F513" s="16" t="s">
        <v>122</v>
      </c>
      <c r="G513" s="16" t="s">
        <v>1507</v>
      </c>
      <c r="H513" s="50" t="s">
        <v>405</v>
      </c>
      <c r="I513" s="16" t="s">
        <v>1002</v>
      </c>
    </row>
    <row r="514" spans="1:10" hidden="1" x14ac:dyDescent="0.35">
      <c r="A514" s="16">
        <v>1008</v>
      </c>
      <c r="B514" s="16" t="s">
        <v>998</v>
      </c>
      <c r="C514" s="16" t="s">
        <v>1005</v>
      </c>
      <c r="D514" s="16" t="s">
        <v>124</v>
      </c>
      <c r="E514" s="16" t="s">
        <v>536</v>
      </c>
      <c r="F514" s="16" t="s">
        <v>122</v>
      </c>
      <c r="G514" s="16" t="s">
        <v>1507</v>
      </c>
      <c r="H514" s="50" t="s">
        <v>405</v>
      </c>
      <c r="I514" s="16" t="s">
        <v>1002</v>
      </c>
    </row>
    <row r="515" spans="1:10" hidden="1" x14ac:dyDescent="0.35">
      <c r="A515" s="16">
        <v>1008</v>
      </c>
      <c r="B515" s="16" t="s">
        <v>999</v>
      </c>
      <c r="C515" s="16" t="s">
        <v>633</v>
      </c>
      <c r="D515" s="16" t="s">
        <v>124</v>
      </c>
      <c r="E515" s="16" t="s">
        <v>536</v>
      </c>
      <c r="F515" s="16" t="s">
        <v>122</v>
      </c>
      <c r="G515" s="16" t="s">
        <v>1507</v>
      </c>
      <c r="H515" s="50" t="s">
        <v>405</v>
      </c>
      <c r="I515" s="16" t="s">
        <v>190</v>
      </c>
    </row>
    <row r="516" spans="1:10" hidden="1" x14ac:dyDescent="0.35">
      <c r="A516" s="16">
        <v>98</v>
      </c>
      <c r="B516" s="16" t="s">
        <v>306</v>
      </c>
      <c r="C516" s="16" t="s">
        <v>1020</v>
      </c>
      <c r="D516" s="16" t="s">
        <v>124</v>
      </c>
      <c r="E516" s="16" t="s">
        <v>536</v>
      </c>
      <c r="F516" s="16" t="s">
        <v>122</v>
      </c>
      <c r="G516" s="16">
        <v>1999</v>
      </c>
      <c r="I516" s="16" t="s">
        <v>1013</v>
      </c>
    </row>
    <row r="517" spans="1:10" hidden="1" x14ac:dyDescent="0.35">
      <c r="A517" s="16">
        <v>98</v>
      </c>
      <c r="B517" s="16" t="s">
        <v>1008</v>
      </c>
      <c r="C517" s="16" t="s">
        <v>626</v>
      </c>
      <c r="D517" s="16" t="s">
        <v>124</v>
      </c>
      <c r="E517" s="16" t="s">
        <v>536</v>
      </c>
      <c r="F517" s="16" t="s">
        <v>122</v>
      </c>
      <c r="G517" s="16">
        <v>1999</v>
      </c>
      <c r="I517" s="16" t="s">
        <v>1013</v>
      </c>
    </row>
    <row r="518" spans="1:10" hidden="1" x14ac:dyDescent="0.35">
      <c r="A518" s="16">
        <v>98</v>
      </c>
      <c r="B518" s="16" t="s">
        <v>268</v>
      </c>
      <c r="C518" s="16" t="s">
        <v>626</v>
      </c>
      <c r="D518" s="16" t="s">
        <v>124</v>
      </c>
      <c r="E518" s="16" t="s">
        <v>536</v>
      </c>
      <c r="F518" s="16" t="s">
        <v>122</v>
      </c>
      <c r="G518" s="16">
        <v>1999</v>
      </c>
      <c r="I518" s="16" t="s">
        <v>1013</v>
      </c>
    </row>
    <row r="519" spans="1:10" hidden="1" x14ac:dyDescent="0.35">
      <c r="A519" s="16">
        <v>98</v>
      </c>
      <c r="B519" s="16" t="s">
        <v>1009</v>
      </c>
      <c r="C519" s="16" t="s">
        <v>626</v>
      </c>
      <c r="D519" s="16" t="s">
        <v>124</v>
      </c>
      <c r="E519" s="16" t="s">
        <v>536</v>
      </c>
      <c r="F519" s="16" t="s">
        <v>122</v>
      </c>
      <c r="G519" s="16">
        <v>1999</v>
      </c>
      <c r="I519" s="16" t="s">
        <v>1013</v>
      </c>
    </row>
    <row r="520" spans="1:10" hidden="1" x14ac:dyDescent="0.35">
      <c r="A520" s="16">
        <v>98</v>
      </c>
      <c r="B520" s="16" t="s">
        <v>1017</v>
      </c>
      <c r="C520" s="16" t="s">
        <v>684</v>
      </c>
      <c r="D520" s="16" t="s">
        <v>124</v>
      </c>
      <c r="E520" s="16" t="s">
        <v>150</v>
      </c>
      <c r="F520" s="16" t="s">
        <v>122</v>
      </c>
      <c r="G520" s="16">
        <v>1999</v>
      </c>
      <c r="I520" s="16" t="s">
        <v>1013</v>
      </c>
      <c r="J520" s="16" t="s">
        <v>2256</v>
      </c>
    </row>
    <row r="521" spans="1:10" hidden="1" x14ac:dyDescent="0.35">
      <c r="A521" s="16">
        <v>98</v>
      </c>
      <c r="B521" s="16" t="s">
        <v>1010</v>
      </c>
      <c r="C521" s="16" t="s">
        <v>682</v>
      </c>
      <c r="D521" s="16" t="s">
        <v>124</v>
      </c>
      <c r="E521" s="16" t="s">
        <v>150</v>
      </c>
      <c r="F521" s="16" t="s">
        <v>122</v>
      </c>
      <c r="G521" s="16">
        <v>1999</v>
      </c>
      <c r="I521" s="16" t="s">
        <v>1013</v>
      </c>
      <c r="J521" s="16" t="s">
        <v>2256</v>
      </c>
    </row>
    <row r="522" spans="1:10" hidden="1" x14ac:dyDescent="0.35">
      <c r="A522" s="16">
        <v>98</v>
      </c>
      <c r="B522" s="16" t="s">
        <v>1011</v>
      </c>
      <c r="C522" s="16" t="s">
        <v>682</v>
      </c>
      <c r="D522" s="16" t="s">
        <v>124</v>
      </c>
      <c r="E522" s="16" t="s">
        <v>150</v>
      </c>
      <c r="F522" s="16" t="s">
        <v>122</v>
      </c>
      <c r="G522" s="16">
        <v>1999</v>
      </c>
      <c r="I522" s="16" t="s">
        <v>1013</v>
      </c>
      <c r="J522" s="16" t="s">
        <v>2256</v>
      </c>
    </row>
    <row r="523" spans="1:10" hidden="1" x14ac:dyDescent="0.35">
      <c r="A523" s="16">
        <v>98</v>
      </c>
      <c r="B523" s="16" t="s">
        <v>1015</v>
      </c>
      <c r="C523" s="16" t="s">
        <v>975</v>
      </c>
      <c r="D523" s="16" t="s">
        <v>124</v>
      </c>
      <c r="E523" s="16" t="s">
        <v>150</v>
      </c>
      <c r="F523" s="16" t="s">
        <v>122</v>
      </c>
      <c r="G523" s="16">
        <v>1999</v>
      </c>
      <c r="I523" s="16" t="s">
        <v>1013</v>
      </c>
      <c r="J523" s="16" t="s">
        <v>2256</v>
      </c>
    </row>
    <row r="524" spans="1:10" hidden="1" x14ac:dyDescent="0.35">
      <c r="A524" s="16">
        <v>98</v>
      </c>
      <c r="B524" s="16" t="s">
        <v>1012</v>
      </c>
      <c r="C524" s="16" t="s">
        <v>682</v>
      </c>
      <c r="D524" s="16" t="s">
        <v>124</v>
      </c>
      <c r="E524" s="16" t="s">
        <v>150</v>
      </c>
      <c r="F524" s="16" t="s">
        <v>122</v>
      </c>
      <c r="G524" s="16">
        <v>1999</v>
      </c>
      <c r="I524" s="16" t="s">
        <v>1013</v>
      </c>
      <c r="J524" s="16" t="s">
        <v>2256</v>
      </c>
    </row>
    <row r="525" spans="1:10" hidden="1" x14ac:dyDescent="0.35">
      <c r="A525" s="16">
        <v>98</v>
      </c>
      <c r="B525" s="16" t="s">
        <v>1019</v>
      </c>
      <c r="C525" s="16" t="s">
        <v>975</v>
      </c>
      <c r="D525" s="16" t="s">
        <v>124</v>
      </c>
      <c r="E525" s="16" t="s">
        <v>150</v>
      </c>
      <c r="F525" s="16" t="s">
        <v>122</v>
      </c>
      <c r="G525" s="16">
        <v>1999</v>
      </c>
      <c r="I525" s="16" t="s">
        <v>1014</v>
      </c>
      <c r="J525" s="16" t="s">
        <v>2256</v>
      </c>
    </row>
    <row r="526" spans="1:10" hidden="1" x14ac:dyDescent="0.35">
      <c r="A526" s="16">
        <v>98</v>
      </c>
      <c r="B526" s="16" t="s">
        <v>1016</v>
      </c>
      <c r="C526" s="16" t="s">
        <v>682</v>
      </c>
      <c r="D526" s="16" t="s">
        <v>124</v>
      </c>
      <c r="E526" s="16" t="s">
        <v>150</v>
      </c>
      <c r="F526" s="16" t="s">
        <v>122</v>
      </c>
      <c r="G526" s="16">
        <v>1999</v>
      </c>
      <c r="I526" s="16" t="s">
        <v>1014</v>
      </c>
      <c r="J526" s="16" t="s">
        <v>2256</v>
      </c>
    </row>
    <row r="527" spans="1:10" hidden="1" x14ac:dyDescent="0.35">
      <c r="A527" s="16">
        <v>98</v>
      </c>
      <c r="B527" s="16" t="s">
        <v>1018</v>
      </c>
      <c r="C527" s="16" t="s">
        <v>975</v>
      </c>
      <c r="D527" s="16" t="s">
        <v>124</v>
      </c>
      <c r="E527" s="16" t="s">
        <v>150</v>
      </c>
      <c r="F527" s="16" t="s">
        <v>122</v>
      </c>
      <c r="G527" s="16">
        <v>1999</v>
      </c>
      <c r="I527" s="16" t="s">
        <v>1014</v>
      </c>
      <c r="J527" s="16" t="s">
        <v>2256</v>
      </c>
    </row>
    <row r="528" spans="1:10" hidden="1" x14ac:dyDescent="0.35">
      <c r="A528" s="16">
        <v>273</v>
      </c>
      <c r="B528" s="16" t="s">
        <v>185</v>
      </c>
      <c r="C528" s="16" t="s">
        <v>637</v>
      </c>
      <c r="D528" s="16" t="s">
        <v>124</v>
      </c>
      <c r="E528" s="16" t="s">
        <v>539</v>
      </c>
      <c r="F528" s="16" t="s">
        <v>982</v>
      </c>
      <c r="G528" s="16" t="s">
        <v>1508</v>
      </c>
      <c r="H528" s="50" t="s">
        <v>405</v>
      </c>
      <c r="I528" s="16" t="s">
        <v>1024</v>
      </c>
    </row>
    <row r="529" spans="1:10" hidden="1" x14ac:dyDescent="0.35">
      <c r="A529" s="16">
        <v>273</v>
      </c>
      <c r="B529" s="16" t="s">
        <v>1025</v>
      </c>
      <c r="C529" s="16" t="s">
        <v>1037</v>
      </c>
      <c r="D529" s="16" t="s">
        <v>124</v>
      </c>
      <c r="E529" s="16" t="s">
        <v>539</v>
      </c>
      <c r="F529" s="16" t="s">
        <v>982</v>
      </c>
      <c r="G529" s="16" t="s">
        <v>1508</v>
      </c>
      <c r="H529" s="50" t="s">
        <v>405</v>
      </c>
      <c r="I529" s="16" t="s">
        <v>1024</v>
      </c>
    </row>
    <row r="530" spans="1:10" hidden="1" x14ac:dyDescent="0.35">
      <c r="A530" s="16">
        <v>273</v>
      </c>
      <c r="B530" s="16" t="s">
        <v>1026</v>
      </c>
      <c r="C530" s="16" t="s">
        <v>629</v>
      </c>
      <c r="D530" s="16" t="s">
        <v>124</v>
      </c>
      <c r="E530" s="16" t="s">
        <v>539</v>
      </c>
      <c r="F530" s="16" t="s">
        <v>982</v>
      </c>
      <c r="G530" s="16" t="s">
        <v>1508</v>
      </c>
      <c r="H530" s="50" t="s">
        <v>405</v>
      </c>
      <c r="I530" s="16" t="s">
        <v>1024</v>
      </c>
    </row>
    <row r="531" spans="1:10" hidden="1" x14ac:dyDescent="0.35">
      <c r="A531" s="16">
        <v>273</v>
      </c>
      <c r="B531" s="16" t="s">
        <v>443</v>
      </c>
      <c r="C531" s="16" t="s">
        <v>243</v>
      </c>
      <c r="D531" s="16" t="s">
        <v>124</v>
      </c>
      <c r="E531" s="16" t="s">
        <v>538</v>
      </c>
      <c r="F531" s="16" t="s">
        <v>982</v>
      </c>
      <c r="G531" s="16" t="s">
        <v>1508</v>
      </c>
      <c r="H531" s="50" t="s">
        <v>405</v>
      </c>
      <c r="I531" s="16" t="s">
        <v>1027</v>
      </c>
    </row>
    <row r="532" spans="1:10" hidden="1" x14ac:dyDescent="0.35">
      <c r="A532" s="16">
        <v>273</v>
      </c>
      <c r="B532" s="16" t="s">
        <v>1028</v>
      </c>
      <c r="C532" s="16" t="s">
        <v>1036</v>
      </c>
      <c r="D532" s="16" t="s">
        <v>124</v>
      </c>
      <c r="E532" s="16" t="s">
        <v>539</v>
      </c>
      <c r="F532" s="16" t="s">
        <v>982</v>
      </c>
      <c r="G532" s="16" t="s">
        <v>1508</v>
      </c>
      <c r="H532" s="50" t="s">
        <v>405</v>
      </c>
      <c r="I532" s="16" t="s">
        <v>1029</v>
      </c>
    </row>
    <row r="533" spans="1:10" hidden="1" x14ac:dyDescent="0.35">
      <c r="A533" s="16">
        <v>273</v>
      </c>
      <c r="B533" s="16" t="s">
        <v>1030</v>
      </c>
      <c r="C533" s="16" t="s">
        <v>1034</v>
      </c>
      <c r="D533" s="16" t="s">
        <v>124</v>
      </c>
      <c r="E533" s="16" t="s">
        <v>559</v>
      </c>
      <c r="F533" s="16" t="s">
        <v>982</v>
      </c>
      <c r="G533" s="16" t="s">
        <v>1508</v>
      </c>
      <c r="H533" s="50" t="s">
        <v>405</v>
      </c>
      <c r="I533" s="16" t="s">
        <v>1029</v>
      </c>
    </row>
    <row r="534" spans="1:10" hidden="1" x14ac:dyDescent="0.35">
      <c r="A534" s="16">
        <v>273</v>
      </c>
      <c r="B534" s="16" t="s">
        <v>1031</v>
      </c>
      <c r="C534" s="16" t="s">
        <v>633</v>
      </c>
      <c r="D534" s="16" t="s">
        <v>124</v>
      </c>
      <c r="E534" s="16" t="s">
        <v>559</v>
      </c>
      <c r="F534" s="16" t="s">
        <v>982</v>
      </c>
      <c r="G534" s="16" t="s">
        <v>1508</v>
      </c>
      <c r="H534" s="50" t="s">
        <v>405</v>
      </c>
      <c r="I534" s="16" t="s">
        <v>1029</v>
      </c>
    </row>
    <row r="535" spans="1:10" hidden="1" x14ac:dyDescent="0.35">
      <c r="A535" s="16">
        <v>273</v>
      </c>
      <c r="B535" s="16" t="s">
        <v>1032</v>
      </c>
      <c r="C535" s="16" t="s">
        <v>1033</v>
      </c>
      <c r="D535" s="16" t="s">
        <v>124</v>
      </c>
      <c r="E535" s="16" t="s">
        <v>559</v>
      </c>
      <c r="F535" s="16" t="s">
        <v>553</v>
      </c>
      <c r="G535" s="16" t="s">
        <v>1508</v>
      </c>
      <c r="H535" s="50" t="s">
        <v>405</v>
      </c>
      <c r="I535" s="16" t="s">
        <v>1029</v>
      </c>
    </row>
    <row r="536" spans="1:10" hidden="1" x14ac:dyDescent="0.35">
      <c r="A536" s="16">
        <v>273</v>
      </c>
      <c r="B536" s="16" t="s">
        <v>1035</v>
      </c>
      <c r="C536" s="16" t="s">
        <v>766</v>
      </c>
      <c r="D536" s="16" t="s">
        <v>124</v>
      </c>
      <c r="E536" s="16" t="s">
        <v>559</v>
      </c>
      <c r="F536" s="16" t="s">
        <v>553</v>
      </c>
      <c r="G536" s="16" t="s">
        <v>1508</v>
      </c>
      <c r="H536" s="50" t="s">
        <v>405</v>
      </c>
      <c r="I536" s="16" t="s">
        <v>2617</v>
      </c>
      <c r="J536" s="16" t="s">
        <v>2618</v>
      </c>
    </row>
    <row r="537" spans="1:10" hidden="1" x14ac:dyDescent="0.35">
      <c r="A537" s="16">
        <v>275</v>
      </c>
      <c r="B537" s="16" t="s">
        <v>1043</v>
      </c>
      <c r="C537" s="16" t="s">
        <v>1048</v>
      </c>
      <c r="D537" s="16" t="s">
        <v>124</v>
      </c>
      <c r="E537" s="16" t="s">
        <v>536</v>
      </c>
      <c r="F537" s="16" t="s">
        <v>122</v>
      </c>
      <c r="G537" s="16">
        <v>2005</v>
      </c>
      <c r="H537" s="50" t="s">
        <v>403</v>
      </c>
      <c r="I537" s="16" t="s">
        <v>1047</v>
      </c>
    </row>
    <row r="538" spans="1:10" hidden="1" x14ac:dyDescent="0.35">
      <c r="A538" s="16">
        <v>275</v>
      </c>
      <c r="B538" s="16" t="s">
        <v>1044</v>
      </c>
      <c r="C538" s="16" t="s">
        <v>633</v>
      </c>
      <c r="D538" s="16" t="s">
        <v>124</v>
      </c>
      <c r="E538" s="16" t="s">
        <v>536</v>
      </c>
      <c r="F538" s="16" t="s">
        <v>122</v>
      </c>
      <c r="G538" s="16">
        <v>2005</v>
      </c>
      <c r="H538" s="50" t="s">
        <v>403</v>
      </c>
      <c r="I538" s="16" t="s">
        <v>1047</v>
      </c>
    </row>
    <row r="539" spans="1:10" hidden="1" x14ac:dyDescent="0.35">
      <c r="A539" s="16">
        <v>275</v>
      </c>
      <c r="B539" s="16" t="s">
        <v>1045</v>
      </c>
      <c r="C539" s="16" t="s">
        <v>633</v>
      </c>
      <c r="D539" s="16" t="s">
        <v>124</v>
      </c>
      <c r="E539" s="16" t="s">
        <v>536</v>
      </c>
      <c r="F539" s="16" t="s">
        <v>122</v>
      </c>
      <c r="G539" s="16">
        <v>2005</v>
      </c>
      <c r="H539" s="50" t="s">
        <v>403</v>
      </c>
      <c r="I539" s="16" t="s">
        <v>1047</v>
      </c>
    </row>
    <row r="540" spans="1:10" hidden="1" x14ac:dyDescent="0.35">
      <c r="A540" s="16">
        <v>275</v>
      </c>
      <c r="B540" s="16" t="s">
        <v>1046</v>
      </c>
      <c r="C540" s="16" t="s">
        <v>633</v>
      </c>
      <c r="D540" s="16" t="s">
        <v>124</v>
      </c>
      <c r="E540" s="16" t="s">
        <v>536</v>
      </c>
      <c r="F540" s="16" t="s">
        <v>122</v>
      </c>
      <c r="G540" s="16">
        <v>2005</v>
      </c>
      <c r="H540" s="50" t="s">
        <v>403</v>
      </c>
      <c r="I540" s="16" t="s">
        <v>1047</v>
      </c>
    </row>
    <row r="541" spans="1:10" hidden="1" x14ac:dyDescent="0.35">
      <c r="A541" s="16">
        <v>275</v>
      </c>
      <c r="B541" s="16" t="s">
        <v>1038</v>
      </c>
      <c r="C541" s="16" t="s">
        <v>626</v>
      </c>
      <c r="D541" s="16" t="s">
        <v>124</v>
      </c>
      <c r="E541" s="16" t="s">
        <v>559</v>
      </c>
      <c r="F541" s="16" t="s">
        <v>122</v>
      </c>
      <c r="G541" s="16" t="s">
        <v>108</v>
      </c>
      <c r="H541" s="50" t="s">
        <v>406</v>
      </c>
      <c r="I541" s="16" t="s">
        <v>1049</v>
      </c>
    </row>
    <row r="542" spans="1:10" hidden="1" x14ac:dyDescent="0.35">
      <c r="A542" s="16">
        <v>275</v>
      </c>
      <c r="B542" s="16" t="s">
        <v>1039</v>
      </c>
      <c r="C542" s="16" t="s">
        <v>656</v>
      </c>
      <c r="D542" s="16" t="s">
        <v>124</v>
      </c>
      <c r="E542" s="16" t="s">
        <v>559</v>
      </c>
      <c r="F542" s="16" t="s">
        <v>122</v>
      </c>
      <c r="G542" s="16" t="s">
        <v>108</v>
      </c>
      <c r="H542" s="50" t="s">
        <v>406</v>
      </c>
      <c r="I542" s="16" t="s">
        <v>1049</v>
      </c>
    </row>
    <row r="543" spans="1:10" hidden="1" x14ac:dyDescent="0.35">
      <c r="A543" s="16">
        <v>275</v>
      </c>
      <c r="B543" s="16" t="s">
        <v>1040</v>
      </c>
      <c r="C543" s="16" t="s">
        <v>656</v>
      </c>
      <c r="D543" s="16" t="s">
        <v>124</v>
      </c>
      <c r="E543" s="16" t="s">
        <v>559</v>
      </c>
      <c r="F543" s="16" t="s">
        <v>122</v>
      </c>
      <c r="G543" s="16" t="s">
        <v>108</v>
      </c>
      <c r="H543" s="50" t="s">
        <v>406</v>
      </c>
      <c r="I543" s="16" t="s">
        <v>1014</v>
      </c>
    </row>
    <row r="544" spans="1:10" hidden="1" x14ac:dyDescent="0.35">
      <c r="A544" s="16">
        <v>275</v>
      </c>
      <c r="B544" s="16" t="s">
        <v>238</v>
      </c>
      <c r="C544" s="16" t="s">
        <v>1050</v>
      </c>
      <c r="D544" s="16" t="s">
        <v>124</v>
      </c>
      <c r="E544" s="16" t="s">
        <v>536</v>
      </c>
      <c r="F544" s="16" t="s">
        <v>122</v>
      </c>
      <c r="G544" s="16">
        <v>2005</v>
      </c>
      <c r="H544" s="50" t="s">
        <v>403</v>
      </c>
      <c r="I544" s="16" t="s">
        <v>1014</v>
      </c>
    </row>
    <row r="545" spans="1:9" hidden="1" x14ac:dyDescent="0.35">
      <c r="A545" s="16">
        <v>275</v>
      </c>
      <c r="B545" s="16" t="s">
        <v>1041</v>
      </c>
      <c r="C545" s="16" t="s">
        <v>1052</v>
      </c>
      <c r="D545" s="16" t="s">
        <v>124</v>
      </c>
      <c r="E545" s="16" t="s">
        <v>536</v>
      </c>
      <c r="F545" s="16" t="s">
        <v>122</v>
      </c>
      <c r="G545" s="16">
        <v>2005</v>
      </c>
      <c r="H545" s="50" t="s">
        <v>403</v>
      </c>
      <c r="I545" s="16" t="s">
        <v>1051</v>
      </c>
    </row>
    <row r="546" spans="1:9" hidden="1" x14ac:dyDescent="0.35">
      <c r="A546" s="16">
        <v>275</v>
      </c>
      <c r="B546" s="16" t="s">
        <v>1042</v>
      </c>
      <c r="C546" s="16" t="s">
        <v>1052</v>
      </c>
      <c r="D546" s="16" t="s">
        <v>124</v>
      </c>
      <c r="E546" s="16" t="s">
        <v>536</v>
      </c>
      <c r="F546" s="16" t="s">
        <v>122</v>
      </c>
      <c r="G546" s="16">
        <v>2006</v>
      </c>
      <c r="H546" s="50" t="s">
        <v>404</v>
      </c>
      <c r="I546" s="16" t="s">
        <v>1054</v>
      </c>
    </row>
    <row r="547" spans="1:9" hidden="1" x14ac:dyDescent="0.35">
      <c r="A547" s="16">
        <v>275</v>
      </c>
      <c r="B547" s="16" t="s">
        <v>1053</v>
      </c>
      <c r="C547" s="16" t="s">
        <v>633</v>
      </c>
      <c r="D547" s="16" t="s">
        <v>124</v>
      </c>
      <c r="E547" s="16" t="s">
        <v>536</v>
      </c>
      <c r="F547" s="16" t="s">
        <v>122</v>
      </c>
      <c r="G547" s="16">
        <v>2005</v>
      </c>
      <c r="H547" s="50" t="s">
        <v>403</v>
      </c>
      <c r="I547" s="16" t="s">
        <v>1014</v>
      </c>
    </row>
    <row r="548" spans="1:9" hidden="1" x14ac:dyDescent="0.35">
      <c r="A548" s="16">
        <v>275</v>
      </c>
      <c r="B548" s="16" t="s">
        <v>1055</v>
      </c>
      <c r="C548" s="16" t="s">
        <v>983</v>
      </c>
      <c r="D548" s="16" t="s">
        <v>124</v>
      </c>
      <c r="E548" s="16" t="s">
        <v>536</v>
      </c>
      <c r="F548" s="16" t="s">
        <v>122</v>
      </c>
      <c r="G548" s="16">
        <v>2005</v>
      </c>
      <c r="H548" s="50" t="s">
        <v>403</v>
      </c>
      <c r="I548" s="16" t="s">
        <v>1014</v>
      </c>
    </row>
    <row r="549" spans="1:9" hidden="1" x14ac:dyDescent="0.35">
      <c r="A549" s="16">
        <v>19</v>
      </c>
      <c r="B549" s="16" t="s">
        <v>1061</v>
      </c>
      <c r="C549" s="16" t="s">
        <v>677</v>
      </c>
      <c r="D549" s="16" t="s">
        <v>130</v>
      </c>
      <c r="E549" s="16" t="s">
        <v>813</v>
      </c>
      <c r="F549" s="16" t="s">
        <v>1060</v>
      </c>
      <c r="G549" s="16" t="s">
        <v>1509</v>
      </c>
      <c r="H549" s="50" t="s">
        <v>406</v>
      </c>
      <c r="I549" s="16" t="s">
        <v>1066</v>
      </c>
    </row>
    <row r="550" spans="1:9" hidden="1" x14ac:dyDescent="0.35">
      <c r="A550" s="16">
        <v>19</v>
      </c>
      <c r="B550" s="16" t="s">
        <v>415</v>
      </c>
      <c r="C550" s="16" t="s">
        <v>677</v>
      </c>
      <c r="D550" s="16" t="s">
        <v>130</v>
      </c>
      <c r="E550" s="16" t="s">
        <v>813</v>
      </c>
      <c r="F550" s="16" t="s">
        <v>1060</v>
      </c>
      <c r="G550" s="16" t="s">
        <v>1509</v>
      </c>
      <c r="H550" s="50" t="s">
        <v>406</v>
      </c>
      <c r="I550" s="16" t="s">
        <v>1066</v>
      </c>
    </row>
    <row r="551" spans="1:9" hidden="1" x14ac:dyDescent="0.35">
      <c r="A551" s="16">
        <v>19</v>
      </c>
      <c r="B551" s="16" t="s">
        <v>416</v>
      </c>
      <c r="C551" s="16" t="s">
        <v>975</v>
      </c>
      <c r="D551" s="16" t="s">
        <v>130</v>
      </c>
      <c r="E551" s="16" t="s">
        <v>813</v>
      </c>
      <c r="F551" s="16" t="s">
        <v>1060</v>
      </c>
      <c r="G551" s="16" t="s">
        <v>1509</v>
      </c>
      <c r="H551" s="50" t="s">
        <v>406</v>
      </c>
      <c r="I551" s="16" t="s">
        <v>1066</v>
      </c>
    </row>
    <row r="552" spans="1:9" hidden="1" x14ac:dyDescent="0.35">
      <c r="A552" s="16">
        <v>19</v>
      </c>
      <c r="B552" s="16" t="s">
        <v>1062</v>
      </c>
      <c r="C552" s="16" t="s">
        <v>633</v>
      </c>
      <c r="D552" s="16" t="s">
        <v>130</v>
      </c>
      <c r="E552" s="16" t="s">
        <v>813</v>
      </c>
      <c r="F552" s="16" t="s">
        <v>1060</v>
      </c>
      <c r="G552" s="16" t="s">
        <v>1509</v>
      </c>
      <c r="H552" s="50" t="s">
        <v>406</v>
      </c>
      <c r="I552" s="16" t="s">
        <v>1066</v>
      </c>
    </row>
    <row r="553" spans="1:9" hidden="1" x14ac:dyDescent="0.35">
      <c r="A553" s="16">
        <v>19</v>
      </c>
      <c r="B553" s="16" t="s">
        <v>1063</v>
      </c>
      <c r="C553" s="16" t="s">
        <v>1071</v>
      </c>
      <c r="D553" s="16" t="s">
        <v>130</v>
      </c>
      <c r="E553" s="16" t="s">
        <v>1118</v>
      </c>
      <c r="F553" s="16" t="s">
        <v>1060</v>
      </c>
      <c r="G553" s="16" t="s">
        <v>1509</v>
      </c>
      <c r="H553" s="50" t="s">
        <v>406</v>
      </c>
      <c r="I553" s="16" t="s">
        <v>1073</v>
      </c>
    </row>
    <row r="554" spans="1:9" hidden="1" x14ac:dyDescent="0.35">
      <c r="A554" s="16">
        <v>19</v>
      </c>
      <c r="B554" s="16" t="s">
        <v>1069</v>
      </c>
      <c r="C554" s="16" t="s">
        <v>1067</v>
      </c>
      <c r="D554" s="16" t="s">
        <v>130</v>
      </c>
      <c r="E554" s="16" t="s">
        <v>1126</v>
      </c>
      <c r="F554" s="16" t="s">
        <v>1060</v>
      </c>
      <c r="G554" s="16" t="s">
        <v>1509</v>
      </c>
      <c r="H554" s="50" t="s">
        <v>406</v>
      </c>
      <c r="I554" s="16" t="s">
        <v>1066</v>
      </c>
    </row>
    <row r="555" spans="1:9" hidden="1" x14ac:dyDescent="0.35">
      <c r="A555" s="16">
        <v>19</v>
      </c>
      <c r="B555" s="16" t="s">
        <v>1070</v>
      </c>
      <c r="C555" s="16" t="s">
        <v>1067</v>
      </c>
      <c r="D555" s="16" t="s">
        <v>130</v>
      </c>
      <c r="E555" s="16" t="s">
        <v>1126</v>
      </c>
      <c r="F555" s="16" t="s">
        <v>1060</v>
      </c>
      <c r="G555" s="16" t="s">
        <v>1509</v>
      </c>
      <c r="H555" s="50" t="s">
        <v>406</v>
      </c>
      <c r="I555" s="16" t="s">
        <v>1073</v>
      </c>
    </row>
    <row r="556" spans="1:9" hidden="1" x14ac:dyDescent="0.35">
      <c r="A556" s="16">
        <v>19</v>
      </c>
      <c r="B556" s="16" t="s">
        <v>1064</v>
      </c>
      <c r="D556" s="16" t="s">
        <v>130</v>
      </c>
      <c r="E556" s="16" t="s">
        <v>1118</v>
      </c>
      <c r="F556" s="16" t="s">
        <v>1060</v>
      </c>
      <c r="G556" s="16" t="s">
        <v>1509</v>
      </c>
      <c r="H556" s="50" t="s">
        <v>406</v>
      </c>
      <c r="I556" s="16" t="s">
        <v>1074</v>
      </c>
    </row>
    <row r="557" spans="1:9" hidden="1" x14ac:dyDescent="0.35">
      <c r="A557" s="16">
        <v>19</v>
      </c>
      <c r="B557" s="16" t="s">
        <v>1065</v>
      </c>
      <c r="C557" s="16" t="s">
        <v>1072</v>
      </c>
      <c r="D557" s="16" t="s">
        <v>130</v>
      </c>
      <c r="E557" s="16" t="s">
        <v>1126</v>
      </c>
      <c r="F557" s="16" t="s">
        <v>1060</v>
      </c>
      <c r="G557" s="16" t="s">
        <v>1509</v>
      </c>
      <c r="H557" s="50" t="s">
        <v>406</v>
      </c>
      <c r="I557" s="16" t="s">
        <v>1073</v>
      </c>
    </row>
    <row r="558" spans="1:9" hidden="1" x14ac:dyDescent="0.35">
      <c r="A558" s="16">
        <v>19</v>
      </c>
      <c r="B558" s="16" t="s">
        <v>1068</v>
      </c>
      <c r="C558" s="16" t="s">
        <v>1067</v>
      </c>
      <c r="D558" s="16" t="s">
        <v>130</v>
      </c>
      <c r="E558" s="16" t="s">
        <v>813</v>
      </c>
      <c r="F558" s="16" t="s">
        <v>1060</v>
      </c>
      <c r="G558" s="16" t="s">
        <v>1509</v>
      </c>
      <c r="H558" s="50" t="s">
        <v>406</v>
      </c>
      <c r="I558" s="16" t="s">
        <v>1066</v>
      </c>
    </row>
    <row r="559" spans="1:9" hidden="1" x14ac:dyDescent="0.35">
      <c r="A559" s="16">
        <v>66</v>
      </c>
      <c r="B559" s="16" t="s">
        <v>1081</v>
      </c>
      <c r="C559" s="16" t="s">
        <v>1082</v>
      </c>
      <c r="D559" s="16" t="s">
        <v>130</v>
      </c>
      <c r="E559" s="16" t="s">
        <v>813</v>
      </c>
      <c r="F559" s="16" t="s">
        <v>1060</v>
      </c>
      <c r="G559" s="16" t="s">
        <v>1510</v>
      </c>
      <c r="H559" s="50" t="s">
        <v>404</v>
      </c>
      <c r="I559" s="16" t="s">
        <v>962</v>
      </c>
    </row>
    <row r="560" spans="1:9" hidden="1" x14ac:dyDescent="0.35">
      <c r="A560" s="16">
        <v>66</v>
      </c>
      <c r="B560" s="16" t="s">
        <v>1076</v>
      </c>
      <c r="C560" s="16" t="s">
        <v>1080</v>
      </c>
      <c r="D560" s="16" t="s">
        <v>130</v>
      </c>
      <c r="E560" s="16" t="s">
        <v>813</v>
      </c>
      <c r="F560" s="16" t="s">
        <v>1060</v>
      </c>
      <c r="G560" s="16" t="s">
        <v>1510</v>
      </c>
      <c r="H560" s="50" t="s">
        <v>404</v>
      </c>
      <c r="I560" s="16" t="s">
        <v>962</v>
      </c>
    </row>
    <row r="561" spans="1:9" hidden="1" x14ac:dyDescent="0.35">
      <c r="A561" s="16">
        <v>66</v>
      </c>
      <c r="B561" s="16" t="s">
        <v>1077</v>
      </c>
      <c r="C561" s="16" t="s">
        <v>975</v>
      </c>
      <c r="D561" s="16" t="s">
        <v>130</v>
      </c>
      <c r="E561" s="16" t="s">
        <v>813</v>
      </c>
      <c r="F561" s="16" t="s">
        <v>1060</v>
      </c>
      <c r="G561" s="16" t="s">
        <v>1510</v>
      </c>
      <c r="H561" s="50" t="s">
        <v>404</v>
      </c>
      <c r="I561" s="16" t="s">
        <v>962</v>
      </c>
    </row>
    <row r="562" spans="1:9" hidden="1" x14ac:dyDescent="0.35">
      <c r="A562" s="16">
        <v>66</v>
      </c>
      <c r="B562" s="16" t="s">
        <v>1078</v>
      </c>
      <c r="C562" s="16" t="s">
        <v>1082</v>
      </c>
      <c r="D562" s="16" t="s">
        <v>130</v>
      </c>
      <c r="E562" s="16" t="s">
        <v>813</v>
      </c>
      <c r="F562" s="16" t="s">
        <v>1060</v>
      </c>
      <c r="G562" s="16" t="s">
        <v>1510</v>
      </c>
      <c r="H562" s="50" t="s">
        <v>404</v>
      </c>
      <c r="I562" s="16" t="s">
        <v>962</v>
      </c>
    </row>
    <row r="563" spans="1:9" hidden="1" x14ac:dyDescent="0.35">
      <c r="A563" s="16">
        <v>66</v>
      </c>
      <c r="B563" s="16" t="s">
        <v>1079</v>
      </c>
      <c r="C563" s="16" t="s">
        <v>1087</v>
      </c>
      <c r="D563" s="16" t="s">
        <v>130</v>
      </c>
      <c r="E563" s="16" t="s">
        <v>813</v>
      </c>
      <c r="F563" s="16" t="s">
        <v>1060</v>
      </c>
      <c r="G563" s="16" t="s">
        <v>1510</v>
      </c>
      <c r="H563" s="50" t="s">
        <v>404</v>
      </c>
      <c r="I563" s="16" t="s">
        <v>962</v>
      </c>
    </row>
    <row r="564" spans="1:9" hidden="1" x14ac:dyDescent="0.35">
      <c r="A564" s="16">
        <v>66</v>
      </c>
      <c r="B564" s="16" t="s">
        <v>286</v>
      </c>
      <c r="C564" s="16" t="s">
        <v>673</v>
      </c>
      <c r="D564" s="16" t="s">
        <v>130</v>
      </c>
      <c r="E564" s="16" t="s">
        <v>813</v>
      </c>
      <c r="F564" s="16" t="s">
        <v>1060</v>
      </c>
      <c r="G564" s="16" t="s">
        <v>1510</v>
      </c>
      <c r="H564" s="50" t="s">
        <v>404</v>
      </c>
      <c r="I564" s="16" t="s">
        <v>962</v>
      </c>
    </row>
    <row r="565" spans="1:9" hidden="1" x14ac:dyDescent="0.35">
      <c r="A565" s="16">
        <v>66</v>
      </c>
      <c r="B565" s="16" t="s">
        <v>1083</v>
      </c>
      <c r="C565" s="16" t="s">
        <v>1088</v>
      </c>
      <c r="D565" s="16" t="s">
        <v>130</v>
      </c>
      <c r="E565" s="16" t="s">
        <v>1118</v>
      </c>
      <c r="F565" s="16" t="s">
        <v>1060</v>
      </c>
      <c r="G565" s="16" t="s">
        <v>1510</v>
      </c>
      <c r="H565" s="50" t="s">
        <v>404</v>
      </c>
      <c r="I565" s="16" t="s">
        <v>962</v>
      </c>
    </row>
    <row r="566" spans="1:9" hidden="1" x14ac:dyDescent="0.35">
      <c r="A566" s="16">
        <v>66</v>
      </c>
      <c r="B566" s="16" t="s">
        <v>1084</v>
      </c>
      <c r="C566" s="16" t="s">
        <v>1086</v>
      </c>
      <c r="D566" s="16" t="s">
        <v>130</v>
      </c>
      <c r="E566" s="16" t="s">
        <v>1126</v>
      </c>
      <c r="F566" s="16" t="s">
        <v>1060</v>
      </c>
      <c r="G566" s="16" t="s">
        <v>1510</v>
      </c>
      <c r="H566" s="50" t="s">
        <v>404</v>
      </c>
      <c r="I566" s="16" t="s">
        <v>962</v>
      </c>
    </row>
    <row r="567" spans="1:9" hidden="1" x14ac:dyDescent="0.35">
      <c r="A567" s="16">
        <v>66</v>
      </c>
      <c r="B567" s="16" t="s">
        <v>1129</v>
      </c>
      <c r="C567" s="16" t="s">
        <v>1085</v>
      </c>
      <c r="D567" s="16" t="s">
        <v>130</v>
      </c>
      <c r="E567" s="16" t="s">
        <v>538</v>
      </c>
      <c r="F567" s="16" t="s">
        <v>1060</v>
      </c>
      <c r="G567" s="16" t="s">
        <v>1510</v>
      </c>
      <c r="H567" s="50" t="s">
        <v>404</v>
      </c>
      <c r="I567" s="16" t="s">
        <v>962</v>
      </c>
    </row>
    <row r="568" spans="1:9" hidden="1" x14ac:dyDescent="0.35">
      <c r="A568" s="16">
        <v>119</v>
      </c>
      <c r="B568" s="16" t="s">
        <v>1092</v>
      </c>
      <c r="C568" s="16" t="s">
        <v>637</v>
      </c>
      <c r="D568" s="16" t="s">
        <v>198</v>
      </c>
      <c r="E568" s="16" t="s">
        <v>539</v>
      </c>
      <c r="F568" s="16" t="s">
        <v>1091</v>
      </c>
      <c r="G568" s="16" t="s">
        <v>1511</v>
      </c>
      <c r="H568" s="50" t="s">
        <v>403</v>
      </c>
      <c r="I568" s="16" t="s">
        <v>1097</v>
      </c>
    </row>
    <row r="569" spans="1:9" hidden="1" x14ac:dyDescent="0.35">
      <c r="A569" s="16">
        <v>119</v>
      </c>
      <c r="B569" s="16" t="s">
        <v>1093</v>
      </c>
      <c r="C569" s="16" t="s">
        <v>1094</v>
      </c>
      <c r="D569" s="16" t="s">
        <v>198</v>
      </c>
      <c r="E569" s="16" t="s">
        <v>559</v>
      </c>
      <c r="F569" s="16" t="s">
        <v>1091</v>
      </c>
      <c r="G569" s="16" t="s">
        <v>1511</v>
      </c>
      <c r="H569" s="50" t="s">
        <v>403</v>
      </c>
      <c r="I569" s="16" t="s">
        <v>1097</v>
      </c>
    </row>
    <row r="570" spans="1:9" hidden="1" x14ac:dyDescent="0.35">
      <c r="A570" s="16">
        <v>119</v>
      </c>
      <c r="B570" s="16" t="s">
        <v>1095</v>
      </c>
      <c r="C570" s="16" t="s">
        <v>243</v>
      </c>
      <c r="D570" s="16" t="s">
        <v>198</v>
      </c>
      <c r="E570" s="16" t="s">
        <v>538</v>
      </c>
      <c r="F570" s="16" t="s">
        <v>1091</v>
      </c>
      <c r="G570" s="16" t="s">
        <v>1511</v>
      </c>
      <c r="H570" s="50" t="s">
        <v>403</v>
      </c>
      <c r="I570" s="16" t="s">
        <v>1330</v>
      </c>
    </row>
    <row r="571" spans="1:9" hidden="1" x14ac:dyDescent="0.35">
      <c r="A571" s="16">
        <v>119</v>
      </c>
      <c r="B571" s="16" t="s">
        <v>1096</v>
      </c>
      <c r="C571" s="16" t="s">
        <v>1094</v>
      </c>
      <c r="D571" s="16" t="s">
        <v>198</v>
      </c>
      <c r="E571" s="16" t="s">
        <v>559</v>
      </c>
      <c r="F571" s="16" t="s">
        <v>1091</v>
      </c>
      <c r="G571" s="16" t="s">
        <v>1511</v>
      </c>
      <c r="H571" s="50" t="s">
        <v>403</v>
      </c>
      <c r="I571" s="16" t="s">
        <v>1097</v>
      </c>
    </row>
    <row r="572" spans="1:9" x14ac:dyDescent="0.35">
      <c r="A572" s="16">
        <v>137</v>
      </c>
      <c r="B572" s="16" t="s">
        <v>1103</v>
      </c>
      <c r="C572" s="16" t="s">
        <v>243</v>
      </c>
      <c r="D572" s="16" t="s">
        <v>130</v>
      </c>
      <c r="E572" s="16" t="s">
        <v>538</v>
      </c>
      <c r="F572" s="16" t="s">
        <v>1102</v>
      </c>
      <c r="G572" s="16" t="s">
        <v>1512</v>
      </c>
      <c r="H572" s="50" t="s">
        <v>403</v>
      </c>
      <c r="I572" s="16" t="s">
        <v>1120</v>
      </c>
    </row>
    <row r="573" spans="1:9" x14ac:dyDescent="0.35">
      <c r="A573" s="16">
        <v>137</v>
      </c>
      <c r="B573" s="16" t="s">
        <v>1124</v>
      </c>
      <c r="C573" s="16" t="s">
        <v>629</v>
      </c>
      <c r="D573" s="16" t="s">
        <v>130</v>
      </c>
      <c r="E573" s="16" t="s">
        <v>538</v>
      </c>
      <c r="F573" s="16" t="s">
        <v>1102</v>
      </c>
      <c r="G573" s="16" t="s">
        <v>1512</v>
      </c>
      <c r="H573" s="50" t="s">
        <v>403</v>
      </c>
      <c r="I573" s="16" t="s">
        <v>1120</v>
      </c>
    </row>
    <row r="574" spans="1:9" x14ac:dyDescent="0.35">
      <c r="A574" s="16">
        <v>137</v>
      </c>
      <c r="B574" s="16" t="s">
        <v>1104</v>
      </c>
      <c r="C574" s="16" t="s">
        <v>637</v>
      </c>
      <c r="D574" s="16" t="s">
        <v>130</v>
      </c>
      <c r="E574" s="16" t="s">
        <v>539</v>
      </c>
      <c r="F574" s="16" t="s">
        <v>1102</v>
      </c>
      <c r="G574" s="16" t="s">
        <v>1512</v>
      </c>
      <c r="H574" s="50" t="s">
        <v>403</v>
      </c>
      <c r="I574" s="16" t="s">
        <v>1120</v>
      </c>
    </row>
    <row r="575" spans="1:9" x14ac:dyDescent="0.35">
      <c r="A575" s="16">
        <v>137</v>
      </c>
      <c r="B575" s="16" t="s">
        <v>1105</v>
      </c>
      <c r="C575" s="16" t="s">
        <v>629</v>
      </c>
      <c r="D575" s="16" t="s">
        <v>130</v>
      </c>
      <c r="E575" s="16" t="s">
        <v>539</v>
      </c>
      <c r="F575" s="16" t="s">
        <v>1102</v>
      </c>
      <c r="G575" s="16" t="s">
        <v>1512</v>
      </c>
      <c r="H575" s="50" t="s">
        <v>403</v>
      </c>
      <c r="I575" s="16" t="s">
        <v>1120</v>
      </c>
    </row>
    <row r="576" spans="1:9" x14ac:dyDescent="0.35">
      <c r="A576" s="16">
        <v>137</v>
      </c>
      <c r="B576" s="16" t="s">
        <v>228</v>
      </c>
      <c r="C576" s="16" t="s">
        <v>1115</v>
      </c>
      <c r="D576" s="16" t="s">
        <v>130</v>
      </c>
      <c r="E576" s="16" t="s">
        <v>1126</v>
      </c>
      <c r="F576" s="16" t="s">
        <v>1102</v>
      </c>
      <c r="G576" s="16" t="s">
        <v>1512</v>
      </c>
      <c r="H576" s="50" t="s">
        <v>403</v>
      </c>
      <c r="I576" s="16" t="s">
        <v>1119</v>
      </c>
    </row>
    <row r="577" spans="1:9" x14ac:dyDescent="0.35">
      <c r="A577" s="16">
        <v>137</v>
      </c>
      <c r="B577" s="16" t="s">
        <v>1106</v>
      </c>
      <c r="C577" s="16" t="s">
        <v>671</v>
      </c>
      <c r="D577" s="16" t="s">
        <v>130</v>
      </c>
      <c r="E577" s="16" t="s">
        <v>809</v>
      </c>
      <c r="F577" s="16" t="s">
        <v>1102</v>
      </c>
      <c r="G577" s="16" t="s">
        <v>1512</v>
      </c>
      <c r="H577" s="50" t="s">
        <v>403</v>
      </c>
      <c r="I577" s="16" t="s">
        <v>1120</v>
      </c>
    </row>
    <row r="578" spans="1:9" x14ac:dyDescent="0.35">
      <c r="A578" s="16">
        <v>137</v>
      </c>
      <c r="B578" s="16" t="s">
        <v>1122</v>
      </c>
      <c r="C578" s="16" t="s">
        <v>636</v>
      </c>
      <c r="D578" s="16" t="s">
        <v>130</v>
      </c>
      <c r="E578" s="16" t="s">
        <v>809</v>
      </c>
      <c r="F578" s="16" t="s">
        <v>1102</v>
      </c>
      <c r="G578" s="16" t="s">
        <v>1512</v>
      </c>
      <c r="H578" s="50" t="s">
        <v>403</v>
      </c>
      <c r="I578" s="16" t="s">
        <v>1120</v>
      </c>
    </row>
    <row r="579" spans="1:9" x14ac:dyDescent="0.35">
      <c r="A579" s="16">
        <v>137</v>
      </c>
      <c r="B579" s="16" t="s">
        <v>1107</v>
      </c>
      <c r="C579" s="16" t="s">
        <v>673</v>
      </c>
      <c r="D579" s="16" t="s">
        <v>130</v>
      </c>
      <c r="E579" s="16" t="s">
        <v>813</v>
      </c>
      <c r="F579" s="16" t="s">
        <v>1102</v>
      </c>
      <c r="G579" s="16" t="s">
        <v>1512</v>
      </c>
      <c r="H579" s="50" t="s">
        <v>403</v>
      </c>
      <c r="I579" s="16" t="s">
        <v>1119</v>
      </c>
    </row>
    <row r="580" spans="1:9" x14ac:dyDescent="0.35">
      <c r="A580" s="16">
        <v>137</v>
      </c>
      <c r="B580" s="16" t="s">
        <v>814</v>
      </c>
      <c r="C580" s="16" t="s">
        <v>1108</v>
      </c>
      <c r="D580" s="16" t="s">
        <v>130</v>
      </c>
      <c r="E580" s="16" t="s">
        <v>813</v>
      </c>
      <c r="F580" s="16" t="s">
        <v>1102</v>
      </c>
      <c r="G580" s="16" t="s">
        <v>1512</v>
      </c>
      <c r="H580" s="50" t="s">
        <v>403</v>
      </c>
      <c r="I580" s="16" t="s">
        <v>1120</v>
      </c>
    </row>
    <row r="581" spans="1:9" x14ac:dyDescent="0.35">
      <c r="A581" s="16">
        <v>137</v>
      </c>
      <c r="B581" s="16" t="s">
        <v>1109</v>
      </c>
      <c r="C581" s="16" t="s">
        <v>1111</v>
      </c>
      <c r="D581" s="16" t="s">
        <v>130</v>
      </c>
      <c r="E581" s="16" t="s">
        <v>813</v>
      </c>
      <c r="F581" s="16" t="s">
        <v>1102</v>
      </c>
      <c r="G581" s="16" t="s">
        <v>1512</v>
      </c>
      <c r="H581" s="50" t="s">
        <v>403</v>
      </c>
      <c r="I581" s="16" t="s">
        <v>1120</v>
      </c>
    </row>
    <row r="582" spans="1:9" x14ac:dyDescent="0.35">
      <c r="A582" s="16">
        <v>137</v>
      </c>
      <c r="B582" s="16" t="s">
        <v>1110</v>
      </c>
      <c r="C582" s="16" t="s">
        <v>633</v>
      </c>
      <c r="D582" s="16" t="s">
        <v>130</v>
      </c>
      <c r="E582" s="16" t="s">
        <v>813</v>
      </c>
      <c r="F582" s="16" t="s">
        <v>1102</v>
      </c>
      <c r="G582" s="16" t="s">
        <v>1512</v>
      </c>
      <c r="H582" s="50" t="s">
        <v>403</v>
      </c>
      <c r="I582" s="16" t="s">
        <v>1120</v>
      </c>
    </row>
    <row r="583" spans="1:9" x14ac:dyDescent="0.35">
      <c r="A583" s="16">
        <v>137</v>
      </c>
      <c r="B583" s="16" t="s">
        <v>1112</v>
      </c>
      <c r="C583" s="16" t="s">
        <v>676</v>
      </c>
      <c r="D583" s="16" t="s">
        <v>130</v>
      </c>
      <c r="E583" s="16" t="s">
        <v>813</v>
      </c>
      <c r="F583" s="16" t="s">
        <v>1102</v>
      </c>
      <c r="G583" s="16" t="s">
        <v>1512</v>
      </c>
      <c r="H583" s="50" t="s">
        <v>403</v>
      </c>
      <c r="I583" s="16" t="s">
        <v>1120</v>
      </c>
    </row>
    <row r="584" spans="1:9" x14ac:dyDescent="0.35">
      <c r="A584" s="16">
        <v>137</v>
      </c>
      <c r="B584" s="16" t="s">
        <v>1113</v>
      </c>
      <c r="C584" s="16" t="s">
        <v>633</v>
      </c>
      <c r="D584" s="16" t="s">
        <v>130</v>
      </c>
      <c r="E584" s="16" t="s">
        <v>813</v>
      </c>
      <c r="F584" s="16" t="s">
        <v>1102</v>
      </c>
      <c r="G584" s="16" t="s">
        <v>1512</v>
      </c>
      <c r="H584" s="50" t="s">
        <v>403</v>
      </c>
      <c r="I584" s="16" t="s">
        <v>1120</v>
      </c>
    </row>
    <row r="585" spans="1:9" x14ac:dyDescent="0.35">
      <c r="A585" s="16">
        <v>137</v>
      </c>
      <c r="B585" s="16" t="s">
        <v>1083</v>
      </c>
      <c r="C585" s="16" t="s">
        <v>1114</v>
      </c>
      <c r="D585" s="16" t="s">
        <v>130</v>
      </c>
      <c r="E585" s="16" t="s">
        <v>1118</v>
      </c>
      <c r="F585" s="16" t="s">
        <v>1102</v>
      </c>
      <c r="G585" s="16" t="s">
        <v>1512</v>
      </c>
      <c r="H585" s="50" t="s">
        <v>403</v>
      </c>
      <c r="I585" s="16" t="s">
        <v>1119</v>
      </c>
    </row>
    <row r="586" spans="1:9" x14ac:dyDescent="0.35">
      <c r="A586" s="16">
        <v>137</v>
      </c>
      <c r="B586" s="16" t="s">
        <v>1116</v>
      </c>
      <c r="C586" s="16" t="s">
        <v>1117</v>
      </c>
      <c r="D586" s="16" t="s">
        <v>130</v>
      </c>
      <c r="E586" s="16" t="s">
        <v>1126</v>
      </c>
      <c r="F586" s="16" t="s">
        <v>1102</v>
      </c>
      <c r="G586" s="16" t="s">
        <v>1512</v>
      </c>
      <c r="H586" s="50" t="s">
        <v>403</v>
      </c>
      <c r="I586" s="16" t="s">
        <v>1119</v>
      </c>
    </row>
    <row r="587" spans="1:9" x14ac:dyDescent="0.35">
      <c r="A587" s="16">
        <v>137</v>
      </c>
      <c r="B587" s="16" t="s">
        <v>1125</v>
      </c>
      <c r="C587" s="16" t="s">
        <v>1121</v>
      </c>
      <c r="D587" s="16" t="s">
        <v>130</v>
      </c>
      <c r="E587" s="16" t="s">
        <v>813</v>
      </c>
      <c r="F587" s="16" t="s">
        <v>1102</v>
      </c>
      <c r="G587" s="16" t="s">
        <v>1512</v>
      </c>
      <c r="H587" s="50" t="s">
        <v>403</v>
      </c>
      <c r="I587" s="16" t="s">
        <v>1120</v>
      </c>
    </row>
    <row r="588" spans="1:9" x14ac:dyDescent="0.35">
      <c r="A588" s="16">
        <v>137</v>
      </c>
      <c r="B588" s="16" t="s">
        <v>1123</v>
      </c>
      <c r="C588" s="16" t="s">
        <v>1121</v>
      </c>
      <c r="D588" s="16" t="s">
        <v>130</v>
      </c>
      <c r="E588" s="16" t="s">
        <v>813</v>
      </c>
      <c r="F588" s="16" t="s">
        <v>1102</v>
      </c>
      <c r="G588" s="16" t="s">
        <v>1512</v>
      </c>
      <c r="H588" s="50" t="s">
        <v>403</v>
      </c>
      <c r="I588" s="16" t="s">
        <v>1120</v>
      </c>
    </row>
    <row r="589" spans="1:9" hidden="1" x14ac:dyDescent="0.35">
      <c r="A589" s="16">
        <v>155</v>
      </c>
      <c r="B589" s="16" t="s">
        <v>1109</v>
      </c>
      <c r="C589" s="16" t="s">
        <v>633</v>
      </c>
      <c r="D589" s="16" t="s">
        <v>130</v>
      </c>
      <c r="E589" s="16" t="s">
        <v>813</v>
      </c>
      <c r="F589" s="16" t="s">
        <v>1138</v>
      </c>
      <c r="G589" s="16" t="s">
        <v>1330</v>
      </c>
      <c r="I589" s="16" t="s">
        <v>1140</v>
      </c>
    </row>
    <row r="590" spans="1:9" hidden="1" x14ac:dyDescent="0.35">
      <c r="A590" s="16">
        <v>155</v>
      </c>
      <c r="B590" s="16" t="s">
        <v>1137</v>
      </c>
      <c r="C590" s="16" t="s">
        <v>633</v>
      </c>
      <c r="D590" s="16" t="s">
        <v>130</v>
      </c>
      <c r="E590" s="16" t="s">
        <v>813</v>
      </c>
      <c r="F590" s="16" t="s">
        <v>1138</v>
      </c>
      <c r="G590" s="16" t="s">
        <v>1330</v>
      </c>
      <c r="I590" s="16" t="s">
        <v>1140</v>
      </c>
    </row>
    <row r="591" spans="1:9" hidden="1" x14ac:dyDescent="0.35">
      <c r="A591" s="16">
        <v>155</v>
      </c>
      <c r="B591" s="16" t="s">
        <v>1139</v>
      </c>
      <c r="C591" s="16" t="s">
        <v>633</v>
      </c>
      <c r="D591" s="16" t="s">
        <v>130</v>
      </c>
      <c r="E591" s="16" t="s">
        <v>813</v>
      </c>
      <c r="F591" s="16" t="s">
        <v>1138</v>
      </c>
      <c r="G591" s="16" t="s">
        <v>1330</v>
      </c>
      <c r="I591" s="16" t="s">
        <v>1140</v>
      </c>
    </row>
    <row r="592" spans="1:9" hidden="1" x14ac:dyDescent="0.35">
      <c r="A592" s="16">
        <v>155</v>
      </c>
      <c r="B592" s="16" t="s">
        <v>415</v>
      </c>
      <c r="C592" s="16" t="s">
        <v>633</v>
      </c>
      <c r="D592" s="16" t="s">
        <v>130</v>
      </c>
      <c r="E592" s="16" t="s">
        <v>813</v>
      </c>
      <c r="F592" s="16" t="s">
        <v>1138</v>
      </c>
      <c r="G592" s="16" t="s">
        <v>1330</v>
      </c>
      <c r="I592" s="16" t="s">
        <v>1140</v>
      </c>
    </row>
    <row r="593" spans="1:9" hidden="1" x14ac:dyDescent="0.35">
      <c r="A593" s="16">
        <v>155</v>
      </c>
      <c r="B593" s="16" t="s">
        <v>1077</v>
      </c>
      <c r="C593" s="16" t="s">
        <v>975</v>
      </c>
      <c r="D593" s="16" t="s">
        <v>130</v>
      </c>
      <c r="E593" s="16" t="s">
        <v>813</v>
      </c>
      <c r="F593" s="16" t="s">
        <v>1138</v>
      </c>
      <c r="G593" s="16" t="s">
        <v>1330</v>
      </c>
      <c r="I593" s="16" t="s">
        <v>1140</v>
      </c>
    </row>
    <row r="594" spans="1:9" hidden="1" x14ac:dyDescent="0.35">
      <c r="A594" s="16">
        <v>155</v>
      </c>
      <c r="B594" s="16" t="s">
        <v>286</v>
      </c>
      <c r="C594" s="16" t="s">
        <v>673</v>
      </c>
      <c r="D594" s="16" t="s">
        <v>130</v>
      </c>
      <c r="E594" s="16" t="s">
        <v>813</v>
      </c>
      <c r="F594" s="16" t="s">
        <v>1138</v>
      </c>
      <c r="G594" s="16" t="s">
        <v>1330</v>
      </c>
      <c r="I594" s="16" t="s">
        <v>1140</v>
      </c>
    </row>
    <row r="595" spans="1:9" hidden="1" x14ac:dyDescent="0.35">
      <c r="A595" s="16">
        <v>155</v>
      </c>
      <c r="B595" s="16" t="s">
        <v>814</v>
      </c>
      <c r="C595" s="16" t="s">
        <v>1108</v>
      </c>
      <c r="D595" s="16" t="s">
        <v>130</v>
      </c>
      <c r="E595" s="16" t="s">
        <v>813</v>
      </c>
      <c r="F595" s="16" t="s">
        <v>1138</v>
      </c>
      <c r="G595" s="16" t="s">
        <v>1330</v>
      </c>
      <c r="I595" s="16" t="s">
        <v>1140</v>
      </c>
    </row>
    <row r="596" spans="1:9" hidden="1" x14ac:dyDescent="0.35">
      <c r="A596" s="16">
        <v>155</v>
      </c>
      <c r="B596" s="16" t="s">
        <v>1125</v>
      </c>
      <c r="C596" s="16" t="s">
        <v>1067</v>
      </c>
      <c r="D596" s="16" t="s">
        <v>130</v>
      </c>
      <c r="E596" s="16" t="s">
        <v>813</v>
      </c>
      <c r="F596" s="16" t="s">
        <v>1138</v>
      </c>
      <c r="G596" s="16" t="s">
        <v>1330</v>
      </c>
      <c r="I596" s="16" t="s">
        <v>1140</v>
      </c>
    </row>
    <row r="597" spans="1:9" hidden="1" x14ac:dyDescent="0.35">
      <c r="A597" s="16">
        <v>169</v>
      </c>
      <c r="B597" s="16" t="s">
        <v>1139</v>
      </c>
      <c r="C597" s="16" t="s">
        <v>633</v>
      </c>
      <c r="D597" s="16" t="s">
        <v>130</v>
      </c>
      <c r="E597" s="16" t="s">
        <v>813</v>
      </c>
      <c r="F597" s="16" t="s">
        <v>1144</v>
      </c>
      <c r="G597" s="16" t="s">
        <v>1513</v>
      </c>
      <c r="I597" s="16" t="s">
        <v>786</v>
      </c>
    </row>
    <row r="598" spans="1:9" hidden="1" x14ac:dyDescent="0.35">
      <c r="A598" s="16">
        <v>169</v>
      </c>
      <c r="B598" s="16" t="s">
        <v>415</v>
      </c>
      <c r="C598" s="16" t="s">
        <v>633</v>
      </c>
      <c r="D598" s="16" t="s">
        <v>130</v>
      </c>
      <c r="E598" s="16" t="s">
        <v>813</v>
      </c>
      <c r="F598" s="16" t="s">
        <v>1144</v>
      </c>
      <c r="G598" s="16" t="s">
        <v>1513</v>
      </c>
      <c r="I598" s="16" t="s">
        <v>786</v>
      </c>
    </row>
    <row r="599" spans="1:9" hidden="1" x14ac:dyDescent="0.35">
      <c r="A599" s="16">
        <v>169</v>
      </c>
      <c r="B599" s="16" t="s">
        <v>1079</v>
      </c>
      <c r="C599" s="16" t="s">
        <v>1067</v>
      </c>
      <c r="D599" s="16" t="s">
        <v>130</v>
      </c>
      <c r="E599" s="16" t="s">
        <v>813</v>
      </c>
      <c r="F599" s="16" t="s">
        <v>1144</v>
      </c>
      <c r="G599" s="16" t="s">
        <v>1513</v>
      </c>
      <c r="I599" s="16" t="s">
        <v>786</v>
      </c>
    </row>
    <row r="600" spans="1:9" hidden="1" x14ac:dyDescent="0.35">
      <c r="A600" s="16">
        <v>169</v>
      </c>
      <c r="B600" s="16" t="s">
        <v>286</v>
      </c>
      <c r="C600" s="16" t="s">
        <v>673</v>
      </c>
      <c r="D600" s="16" t="s">
        <v>130</v>
      </c>
      <c r="E600" s="16" t="s">
        <v>813</v>
      </c>
      <c r="F600" s="16" t="s">
        <v>1144</v>
      </c>
      <c r="G600" s="16" t="s">
        <v>1513</v>
      </c>
      <c r="I600" s="16" t="s">
        <v>786</v>
      </c>
    </row>
    <row r="601" spans="1:9" hidden="1" x14ac:dyDescent="0.35">
      <c r="A601" s="16">
        <v>169</v>
      </c>
      <c r="B601" s="16" t="s">
        <v>814</v>
      </c>
      <c r="C601" s="16" t="s">
        <v>1108</v>
      </c>
      <c r="D601" s="16" t="s">
        <v>130</v>
      </c>
      <c r="E601" s="16" t="s">
        <v>813</v>
      </c>
      <c r="F601" s="16" t="s">
        <v>1144</v>
      </c>
      <c r="G601" s="16" t="s">
        <v>1513</v>
      </c>
      <c r="I601" s="16" t="s">
        <v>786</v>
      </c>
    </row>
    <row r="602" spans="1:9" hidden="1" x14ac:dyDescent="0.35">
      <c r="A602" s="16">
        <v>169</v>
      </c>
      <c r="B602" s="16" t="s">
        <v>1145</v>
      </c>
      <c r="C602" s="16" t="s">
        <v>1067</v>
      </c>
      <c r="D602" s="16" t="s">
        <v>130</v>
      </c>
      <c r="E602" s="16" t="s">
        <v>813</v>
      </c>
      <c r="F602" s="16" t="s">
        <v>1144</v>
      </c>
      <c r="G602" s="16" t="s">
        <v>1513</v>
      </c>
      <c r="I602" s="16" t="s">
        <v>786</v>
      </c>
    </row>
    <row r="603" spans="1:9" hidden="1" x14ac:dyDescent="0.35">
      <c r="A603" s="16">
        <v>169</v>
      </c>
      <c r="B603" s="16" t="s">
        <v>1146</v>
      </c>
      <c r="C603" s="16" t="s">
        <v>1067</v>
      </c>
      <c r="D603" s="16" t="s">
        <v>130</v>
      </c>
      <c r="E603" s="16" t="s">
        <v>813</v>
      </c>
      <c r="F603" s="16" t="s">
        <v>1144</v>
      </c>
      <c r="G603" s="16" t="s">
        <v>1513</v>
      </c>
      <c r="I603" s="16" t="s">
        <v>786</v>
      </c>
    </row>
    <row r="604" spans="1:9" hidden="1" x14ac:dyDescent="0.35">
      <c r="A604" s="16">
        <v>169</v>
      </c>
      <c r="B604" s="16" t="s">
        <v>1149</v>
      </c>
      <c r="C604" s="16" t="s">
        <v>1067</v>
      </c>
      <c r="D604" s="16" t="s">
        <v>130</v>
      </c>
      <c r="E604" s="16" t="s">
        <v>813</v>
      </c>
      <c r="F604" s="16" t="s">
        <v>1144</v>
      </c>
      <c r="G604" s="16" t="s">
        <v>1513</v>
      </c>
      <c r="I604" s="16" t="s">
        <v>786</v>
      </c>
    </row>
    <row r="605" spans="1:9" hidden="1" x14ac:dyDescent="0.35">
      <c r="A605" s="16">
        <v>169</v>
      </c>
      <c r="B605" s="16" t="s">
        <v>1147</v>
      </c>
      <c r="C605" s="16" t="s">
        <v>1150</v>
      </c>
      <c r="D605" s="16" t="s">
        <v>130</v>
      </c>
      <c r="E605" s="16" t="s">
        <v>1126</v>
      </c>
      <c r="F605" s="16" t="s">
        <v>1144</v>
      </c>
      <c r="G605" s="16" t="s">
        <v>1513</v>
      </c>
      <c r="I605" s="16" t="s">
        <v>1148</v>
      </c>
    </row>
    <row r="606" spans="1:9" hidden="1" x14ac:dyDescent="0.35">
      <c r="A606" s="16">
        <v>169</v>
      </c>
      <c r="B606" s="16" t="s">
        <v>1063</v>
      </c>
      <c r="C606" s="16" t="s">
        <v>1151</v>
      </c>
      <c r="D606" s="16" t="s">
        <v>130</v>
      </c>
      <c r="E606" s="16" t="s">
        <v>1118</v>
      </c>
      <c r="F606" s="16" t="s">
        <v>1144</v>
      </c>
      <c r="G606" s="16" t="s">
        <v>1513</v>
      </c>
      <c r="I606" s="16" t="s">
        <v>1148</v>
      </c>
    </row>
    <row r="607" spans="1:9" hidden="1" x14ac:dyDescent="0.35">
      <c r="A607" s="16">
        <v>169</v>
      </c>
      <c r="B607" s="16" t="s">
        <v>1153</v>
      </c>
      <c r="C607" s="16" t="s">
        <v>1152</v>
      </c>
      <c r="D607" s="16" t="s">
        <v>130</v>
      </c>
      <c r="E607" s="16" t="s">
        <v>1126</v>
      </c>
      <c r="F607" s="16" t="s">
        <v>1144</v>
      </c>
      <c r="G607" s="16" t="s">
        <v>1513</v>
      </c>
      <c r="I607" s="16" t="s">
        <v>1148</v>
      </c>
    </row>
    <row r="608" spans="1:9" hidden="1" x14ac:dyDescent="0.35">
      <c r="A608" s="16">
        <v>169</v>
      </c>
      <c r="B608" s="16" t="s">
        <v>1154</v>
      </c>
      <c r="C608" s="16" t="s">
        <v>629</v>
      </c>
      <c r="D608" s="16" t="s">
        <v>130</v>
      </c>
      <c r="E608" s="16" t="s">
        <v>1126</v>
      </c>
      <c r="F608" s="16" t="s">
        <v>1144</v>
      </c>
      <c r="G608" s="16" t="s">
        <v>1513</v>
      </c>
      <c r="I608" s="16" t="s">
        <v>1148</v>
      </c>
    </row>
    <row r="609" spans="1:10" hidden="1" x14ac:dyDescent="0.35">
      <c r="A609" s="16">
        <v>218</v>
      </c>
      <c r="B609" s="16" t="s">
        <v>1163</v>
      </c>
      <c r="C609" s="16" t="s">
        <v>1166</v>
      </c>
      <c r="D609" s="16" t="s">
        <v>198</v>
      </c>
      <c r="E609" s="16" t="s">
        <v>559</v>
      </c>
      <c r="F609" s="16" t="s">
        <v>413</v>
      </c>
      <c r="G609" s="16" t="s">
        <v>1506</v>
      </c>
      <c r="I609" s="16" t="s">
        <v>1253</v>
      </c>
    </row>
    <row r="610" spans="1:10" hidden="1" x14ac:dyDescent="0.35">
      <c r="A610" s="16">
        <v>218</v>
      </c>
      <c r="B610" s="16" t="s">
        <v>1164</v>
      </c>
      <c r="C610" s="16" t="s">
        <v>1167</v>
      </c>
      <c r="D610" s="16" t="s">
        <v>198</v>
      </c>
      <c r="E610" s="16" t="s">
        <v>539</v>
      </c>
      <c r="F610" s="16" t="s">
        <v>413</v>
      </c>
      <c r="G610" s="16" t="s">
        <v>1506</v>
      </c>
      <c r="I610" s="16" t="s">
        <v>1253</v>
      </c>
    </row>
    <row r="611" spans="1:10" hidden="1" x14ac:dyDescent="0.35">
      <c r="A611" s="16">
        <v>218</v>
      </c>
      <c r="B611" s="16" t="s">
        <v>1165</v>
      </c>
      <c r="C611" s="16" t="s">
        <v>1167</v>
      </c>
      <c r="D611" s="16" t="s">
        <v>124</v>
      </c>
      <c r="E611" s="16" t="s">
        <v>539</v>
      </c>
      <c r="F611" s="16" t="s">
        <v>413</v>
      </c>
      <c r="G611" s="16" t="s">
        <v>1506</v>
      </c>
      <c r="I611" s="16" t="s">
        <v>1253</v>
      </c>
    </row>
    <row r="612" spans="1:10" hidden="1" x14ac:dyDescent="0.35">
      <c r="A612" s="16">
        <v>218</v>
      </c>
      <c r="B612" s="16" t="s">
        <v>1168</v>
      </c>
      <c r="C612" s="16" t="s">
        <v>1169</v>
      </c>
      <c r="D612" s="16" t="s">
        <v>124</v>
      </c>
      <c r="E612" s="16" t="s">
        <v>559</v>
      </c>
      <c r="F612" s="16" t="s">
        <v>413</v>
      </c>
      <c r="G612" s="16" t="s">
        <v>1506</v>
      </c>
      <c r="I612" s="16" t="s">
        <v>1253</v>
      </c>
    </row>
    <row r="613" spans="1:10" hidden="1" x14ac:dyDescent="0.35">
      <c r="A613" s="16">
        <v>218</v>
      </c>
      <c r="B613" s="16" t="s">
        <v>1156</v>
      </c>
      <c r="C613" s="16" t="s">
        <v>1170</v>
      </c>
      <c r="D613" s="16" t="s">
        <v>124</v>
      </c>
      <c r="E613" s="16" t="s">
        <v>1022</v>
      </c>
      <c r="F613" s="16" t="s">
        <v>413</v>
      </c>
      <c r="G613" s="16" t="s">
        <v>1506</v>
      </c>
      <c r="I613" s="16" t="s">
        <v>1253</v>
      </c>
      <c r="J613" s="16" t="s">
        <v>1254</v>
      </c>
    </row>
    <row r="614" spans="1:10" hidden="1" x14ac:dyDescent="0.35">
      <c r="A614" s="16">
        <v>218</v>
      </c>
      <c r="B614" s="16" t="s">
        <v>1157</v>
      </c>
      <c r="C614" s="16" t="s">
        <v>1171</v>
      </c>
      <c r="D614" s="16" t="s">
        <v>124</v>
      </c>
      <c r="E614" s="16" t="s">
        <v>1022</v>
      </c>
      <c r="F614" s="16" t="s">
        <v>1160</v>
      </c>
      <c r="G614" s="16" t="s">
        <v>1506</v>
      </c>
      <c r="I614" s="16" t="s">
        <v>1253</v>
      </c>
      <c r="J614" s="16" t="s">
        <v>1254</v>
      </c>
    </row>
    <row r="615" spans="1:10" hidden="1" x14ac:dyDescent="0.35">
      <c r="A615" s="16">
        <v>218</v>
      </c>
      <c r="B615" s="16" t="s">
        <v>1158</v>
      </c>
      <c r="C615" s="16" t="s">
        <v>1172</v>
      </c>
      <c r="D615" s="16" t="s">
        <v>124</v>
      </c>
      <c r="E615" s="16" t="s">
        <v>1022</v>
      </c>
      <c r="F615" s="16" t="s">
        <v>1160</v>
      </c>
      <c r="G615" s="16" t="s">
        <v>1506</v>
      </c>
      <c r="I615" s="16" t="s">
        <v>1253</v>
      </c>
      <c r="J615" s="16" t="s">
        <v>1254</v>
      </c>
    </row>
    <row r="616" spans="1:10" hidden="1" x14ac:dyDescent="0.35">
      <c r="A616" s="16">
        <v>218</v>
      </c>
      <c r="B616" s="16" t="s">
        <v>1159</v>
      </c>
      <c r="C616" s="16" t="s">
        <v>1173</v>
      </c>
      <c r="D616" s="16" t="s">
        <v>124</v>
      </c>
      <c r="E616" s="16" t="s">
        <v>1022</v>
      </c>
      <c r="F616" s="16" t="s">
        <v>1160</v>
      </c>
      <c r="G616" s="16" t="s">
        <v>1506</v>
      </c>
      <c r="I616" s="16" t="s">
        <v>1253</v>
      </c>
      <c r="J616" s="16" t="s">
        <v>1254</v>
      </c>
    </row>
    <row r="617" spans="1:10" hidden="1" x14ac:dyDescent="0.35">
      <c r="A617" s="16">
        <v>218</v>
      </c>
      <c r="B617" s="16" t="s">
        <v>1161</v>
      </c>
      <c r="C617" s="16" t="s">
        <v>1176</v>
      </c>
      <c r="D617" s="16" t="s">
        <v>124</v>
      </c>
      <c r="E617" s="16" t="s">
        <v>1022</v>
      </c>
      <c r="F617" s="16" t="s">
        <v>1160</v>
      </c>
      <c r="G617" s="16" t="s">
        <v>1506</v>
      </c>
      <c r="I617" s="16" t="s">
        <v>1253</v>
      </c>
      <c r="J617" s="16" t="s">
        <v>1254</v>
      </c>
    </row>
    <row r="618" spans="1:10" hidden="1" x14ac:dyDescent="0.35">
      <c r="A618" s="16">
        <v>218</v>
      </c>
      <c r="B618" s="16" t="s">
        <v>1175</v>
      </c>
      <c r="C618" s="16" t="s">
        <v>1174</v>
      </c>
      <c r="D618" s="16" t="s">
        <v>124</v>
      </c>
      <c r="E618" s="16" t="s">
        <v>150</v>
      </c>
      <c r="F618" s="16" t="s">
        <v>1162</v>
      </c>
      <c r="G618" s="16" t="s">
        <v>1506</v>
      </c>
      <c r="I618" s="16" t="s">
        <v>1253</v>
      </c>
      <c r="J618" s="16" t="s">
        <v>1254</v>
      </c>
    </row>
    <row r="619" spans="1:10" hidden="1" x14ac:dyDescent="0.35">
      <c r="A619" s="16">
        <v>220</v>
      </c>
      <c r="B619" s="16" t="s">
        <v>1185</v>
      </c>
      <c r="C619" s="16" t="s">
        <v>637</v>
      </c>
      <c r="D619" s="16" t="s">
        <v>198</v>
      </c>
      <c r="E619" s="16" t="s">
        <v>539</v>
      </c>
      <c r="F619" s="16" t="s">
        <v>413</v>
      </c>
      <c r="G619" s="16" t="s">
        <v>1514</v>
      </c>
      <c r="I619" s="16" t="s">
        <v>1066</v>
      </c>
    </row>
    <row r="620" spans="1:10" hidden="1" x14ac:dyDescent="0.35">
      <c r="A620" s="16">
        <v>220</v>
      </c>
      <c r="B620" s="16" t="s">
        <v>1186</v>
      </c>
      <c r="C620" s="16" t="s">
        <v>1188</v>
      </c>
      <c r="D620" s="16" t="s">
        <v>198</v>
      </c>
      <c r="E620" s="16" t="s">
        <v>559</v>
      </c>
      <c r="F620" s="16" t="s">
        <v>413</v>
      </c>
      <c r="G620" s="16" t="s">
        <v>1514</v>
      </c>
      <c r="I620" s="16" t="s">
        <v>1066</v>
      </c>
    </row>
    <row r="621" spans="1:10" hidden="1" x14ac:dyDescent="0.35">
      <c r="A621" s="16">
        <v>220</v>
      </c>
      <c r="B621" s="16" t="s">
        <v>1189</v>
      </c>
      <c r="C621" s="16" t="s">
        <v>1190</v>
      </c>
      <c r="D621" s="16" t="s">
        <v>198</v>
      </c>
      <c r="E621" s="16" t="s">
        <v>538</v>
      </c>
      <c r="F621" s="16" t="s">
        <v>413</v>
      </c>
      <c r="G621" s="16" t="s">
        <v>1514</v>
      </c>
      <c r="I621" s="16" t="s">
        <v>1066</v>
      </c>
    </row>
    <row r="622" spans="1:10" hidden="1" x14ac:dyDescent="0.35">
      <c r="A622" s="16">
        <v>220</v>
      </c>
      <c r="B622" s="16" t="s">
        <v>1178</v>
      </c>
      <c r="D622" s="16" t="s">
        <v>124</v>
      </c>
      <c r="E622" s="16" t="s">
        <v>559</v>
      </c>
      <c r="F622" s="16" t="s">
        <v>28</v>
      </c>
      <c r="G622" s="16">
        <v>2006</v>
      </c>
      <c r="I622" s="16" t="s">
        <v>1066</v>
      </c>
    </row>
    <row r="623" spans="1:10" hidden="1" x14ac:dyDescent="0.35">
      <c r="A623" s="16">
        <v>220</v>
      </c>
      <c r="B623" s="16" t="s">
        <v>1179</v>
      </c>
      <c r="C623" s="16" t="s">
        <v>1183</v>
      </c>
      <c r="D623" s="16" t="s">
        <v>198</v>
      </c>
      <c r="E623" s="16" t="s">
        <v>1022</v>
      </c>
      <c r="F623" s="16" t="s">
        <v>413</v>
      </c>
      <c r="G623" s="16" t="s">
        <v>1514</v>
      </c>
      <c r="I623" s="16" t="s">
        <v>1066</v>
      </c>
    </row>
    <row r="624" spans="1:10" hidden="1" x14ac:dyDescent="0.35">
      <c r="A624" s="16">
        <v>220</v>
      </c>
      <c r="B624" s="16" t="s">
        <v>1180</v>
      </c>
      <c r="C624" s="16" t="s">
        <v>628</v>
      </c>
      <c r="D624" s="16" t="s">
        <v>198</v>
      </c>
      <c r="E624" s="16" t="s">
        <v>559</v>
      </c>
      <c r="F624" s="16" t="s">
        <v>413</v>
      </c>
      <c r="G624" s="16" t="s">
        <v>1515</v>
      </c>
      <c r="I624" s="16" t="s">
        <v>1066</v>
      </c>
    </row>
    <row r="625" spans="1:10" hidden="1" x14ac:dyDescent="0.35">
      <c r="A625" s="16">
        <v>220</v>
      </c>
      <c r="B625" s="16" t="s">
        <v>1181</v>
      </c>
      <c r="C625" s="16" t="s">
        <v>1182</v>
      </c>
      <c r="D625" s="16" t="s">
        <v>198</v>
      </c>
      <c r="E625" s="16" t="s">
        <v>1220</v>
      </c>
      <c r="F625" s="16" t="s">
        <v>413</v>
      </c>
      <c r="G625" s="16" t="s">
        <v>1516</v>
      </c>
      <c r="I625" s="16" t="s">
        <v>1066</v>
      </c>
    </row>
    <row r="626" spans="1:10" hidden="1" x14ac:dyDescent="0.35">
      <c r="A626" s="16">
        <v>220</v>
      </c>
      <c r="B626" s="16" t="s">
        <v>1184</v>
      </c>
      <c r="C626" s="16" t="s">
        <v>1187</v>
      </c>
      <c r="D626" s="16" t="s">
        <v>198</v>
      </c>
      <c r="E626" s="16" t="s">
        <v>538</v>
      </c>
      <c r="F626" s="16" t="s">
        <v>413</v>
      </c>
      <c r="G626" s="16" t="s">
        <v>1517</v>
      </c>
      <c r="I626" s="16" t="s">
        <v>1066</v>
      </c>
      <c r="J626" s="16" t="s">
        <v>1193</v>
      </c>
    </row>
    <row r="627" spans="1:10" hidden="1" x14ac:dyDescent="0.35">
      <c r="A627" s="16">
        <v>220</v>
      </c>
      <c r="B627" s="16" t="s">
        <v>1191</v>
      </c>
      <c r="C627" s="16" t="s">
        <v>1192</v>
      </c>
      <c r="D627" s="16" t="s">
        <v>198</v>
      </c>
      <c r="E627" s="16" t="s">
        <v>539</v>
      </c>
      <c r="F627" s="16" t="s">
        <v>413</v>
      </c>
      <c r="G627" s="16" t="s">
        <v>1518</v>
      </c>
      <c r="I627" s="16" t="s">
        <v>1066</v>
      </c>
    </row>
    <row r="628" spans="1:10" hidden="1" x14ac:dyDescent="0.35">
      <c r="A628" s="16">
        <v>258</v>
      </c>
      <c r="B628" s="16" t="s">
        <v>286</v>
      </c>
      <c r="C628" s="16" t="s">
        <v>673</v>
      </c>
      <c r="D628" s="16" t="s">
        <v>130</v>
      </c>
      <c r="E628" s="16" t="s">
        <v>813</v>
      </c>
      <c r="F628" s="16" t="s">
        <v>1060</v>
      </c>
      <c r="G628" s="16" t="s">
        <v>1519</v>
      </c>
      <c r="I628" s="16" t="s">
        <v>1214</v>
      </c>
    </row>
    <row r="629" spans="1:10" hidden="1" x14ac:dyDescent="0.35">
      <c r="A629" s="16">
        <v>258</v>
      </c>
      <c r="B629" s="16" t="s">
        <v>812</v>
      </c>
      <c r="C629" s="16" t="s">
        <v>1215</v>
      </c>
      <c r="D629" s="16" t="s">
        <v>130</v>
      </c>
      <c r="E629" s="16" t="s">
        <v>809</v>
      </c>
      <c r="F629" s="16" t="s">
        <v>1060</v>
      </c>
      <c r="G629" s="16" t="s">
        <v>1519</v>
      </c>
      <c r="I629" s="16" t="s">
        <v>1214</v>
      </c>
    </row>
    <row r="630" spans="1:10" hidden="1" x14ac:dyDescent="0.35">
      <c r="A630" s="16">
        <v>258</v>
      </c>
      <c r="B630" s="16" t="s">
        <v>1196</v>
      </c>
      <c r="C630" s="16" t="s">
        <v>1215</v>
      </c>
      <c r="D630" s="16" t="s">
        <v>130</v>
      </c>
      <c r="E630" s="16" t="s">
        <v>813</v>
      </c>
      <c r="F630" s="16" t="s">
        <v>1060</v>
      </c>
      <c r="G630" s="16" t="s">
        <v>1519</v>
      </c>
      <c r="I630" s="16" t="s">
        <v>1214</v>
      </c>
    </row>
    <row r="631" spans="1:10" hidden="1" x14ac:dyDescent="0.35">
      <c r="A631" s="16">
        <v>258</v>
      </c>
      <c r="B631" s="16" t="s">
        <v>1197</v>
      </c>
      <c r="C631" s="16" t="s">
        <v>1215</v>
      </c>
      <c r="D631" s="16" t="s">
        <v>130</v>
      </c>
      <c r="E631" s="16" t="s">
        <v>813</v>
      </c>
      <c r="F631" s="16" t="s">
        <v>1060</v>
      </c>
      <c r="G631" s="16" t="s">
        <v>1519</v>
      </c>
      <c r="I631" s="16" t="s">
        <v>1214</v>
      </c>
    </row>
    <row r="632" spans="1:10" hidden="1" x14ac:dyDescent="0.35">
      <c r="A632" s="16">
        <v>258</v>
      </c>
      <c r="B632" s="16" t="s">
        <v>1198</v>
      </c>
      <c r="C632" s="16" t="s">
        <v>1215</v>
      </c>
      <c r="D632" s="16" t="s">
        <v>130</v>
      </c>
      <c r="E632" s="16" t="s">
        <v>813</v>
      </c>
      <c r="F632" s="16" t="s">
        <v>1060</v>
      </c>
      <c r="G632" s="16" t="s">
        <v>1519</v>
      </c>
      <c r="I632" s="16" t="s">
        <v>1214</v>
      </c>
    </row>
    <row r="633" spans="1:10" hidden="1" x14ac:dyDescent="0.35">
      <c r="A633" s="16">
        <v>258</v>
      </c>
      <c r="B633" s="16" t="s">
        <v>1199</v>
      </c>
      <c r="C633" s="16" t="s">
        <v>1215</v>
      </c>
      <c r="D633" s="16" t="s">
        <v>130</v>
      </c>
      <c r="E633" s="16" t="s">
        <v>813</v>
      </c>
      <c r="F633" s="16" t="s">
        <v>1060</v>
      </c>
      <c r="G633" s="16" t="s">
        <v>1519</v>
      </c>
      <c r="I633" s="16" t="s">
        <v>1214</v>
      </c>
    </row>
    <row r="634" spans="1:10" hidden="1" x14ac:dyDescent="0.35">
      <c r="A634" s="16">
        <v>258</v>
      </c>
      <c r="B634" s="16" t="s">
        <v>1200</v>
      </c>
      <c r="C634" s="16" t="s">
        <v>1216</v>
      </c>
      <c r="D634" s="16" t="s">
        <v>130</v>
      </c>
      <c r="E634" s="16" t="s">
        <v>813</v>
      </c>
      <c r="F634" s="16" t="s">
        <v>1060</v>
      </c>
      <c r="G634" s="16" t="s">
        <v>1519</v>
      </c>
      <c r="I634" s="16" t="s">
        <v>1214</v>
      </c>
    </row>
    <row r="635" spans="1:10" hidden="1" x14ac:dyDescent="0.35">
      <c r="A635" s="16">
        <v>258</v>
      </c>
      <c r="B635" s="16" t="s">
        <v>1201</v>
      </c>
      <c r="C635" s="16" t="s">
        <v>1216</v>
      </c>
      <c r="D635" s="16" t="s">
        <v>130</v>
      </c>
      <c r="E635" s="16" t="s">
        <v>813</v>
      </c>
      <c r="F635" s="16" t="s">
        <v>1060</v>
      </c>
      <c r="G635" s="16" t="s">
        <v>1519</v>
      </c>
      <c r="I635" s="16" t="s">
        <v>1214</v>
      </c>
    </row>
    <row r="636" spans="1:10" hidden="1" x14ac:dyDescent="0.35">
      <c r="A636" s="16">
        <v>258</v>
      </c>
      <c r="B636" s="16" t="s">
        <v>1079</v>
      </c>
      <c r="C636" s="16" t="s">
        <v>1216</v>
      </c>
      <c r="D636" s="16" t="s">
        <v>130</v>
      </c>
      <c r="E636" s="16" t="s">
        <v>813</v>
      </c>
      <c r="F636" s="16" t="s">
        <v>1060</v>
      </c>
      <c r="G636" s="16" t="s">
        <v>1519</v>
      </c>
      <c r="I636" s="16" t="s">
        <v>1214</v>
      </c>
    </row>
    <row r="637" spans="1:10" hidden="1" x14ac:dyDescent="0.35">
      <c r="A637" s="16">
        <v>258</v>
      </c>
      <c r="B637" s="16" t="s">
        <v>1202</v>
      </c>
      <c r="C637" s="16" t="s">
        <v>1204</v>
      </c>
      <c r="D637" s="16" t="s">
        <v>130</v>
      </c>
      <c r="E637" s="16" t="s">
        <v>1118</v>
      </c>
      <c r="F637" s="16" t="s">
        <v>1060</v>
      </c>
      <c r="G637" s="16" t="s">
        <v>1519</v>
      </c>
      <c r="I637" s="16" t="s">
        <v>1214</v>
      </c>
      <c r="J637" s="16" t="s">
        <v>1205</v>
      </c>
    </row>
    <row r="638" spans="1:10" hidden="1" x14ac:dyDescent="0.35">
      <c r="A638" s="16">
        <v>258</v>
      </c>
      <c r="B638" s="16" t="s">
        <v>1203</v>
      </c>
      <c r="C638" s="16" t="s">
        <v>1204</v>
      </c>
      <c r="D638" s="16" t="s">
        <v>130</v>
      </c>
      <c r="E638" s="16" t="s">
        <v>1118</v>
      </c>
      <c r="F638" s="16" t="s">
        <v>1060</v>
      </c>
      <c r="G638" s="16" t="s">
        <v>1519</v>
      </c>
      <c r="I638" s="16" t="s">
        <v>1214</v>
      </c>
      <c r="J638" s="16" t="s">
        <v>1205</v>
      </c>
    </row>
    <row r="639" spans="1:10" hidden="1" x14ac:dyDescent="0.35">
      <c r="A639" s="16">
        <v>258</v>
      </c>
      <c r="B639" s="16" t="s">
        <v>1206</v>
      </c>
      <c r="C639" s="16" t="s">
        <v>1207</v>
      </c>
      <c r="D639" s="16" t="s">
        <v>130</v>
      </c>
      <c r="E639" s="16" t="s">
        <v>539</v>
      </c>
      <c r="F639" s="16" t="s">
        <v>1060</v>
      </c>
      <c r="G639" s="16" t="s">
        <v>1519</v>
      </c>
      <c r="I639" s="16" t="s">
        <v>1214</v>
      </c>
    </row>
    <row r="640" spans="1:10" hidden="1" x14ac:dyDescent="0.35">
      <c r="A640" s="16">
        <v>258</v>
      </c>
      <c r="B640" s="16" t="s">
        <v>1209</v>
      </c>
      <c r="C640" s="16" t="s">
        <v>1208</v>
      </c>
      <c r="D640" s="16" t="s">
        <v>130</v>
      </c>
      <c r="E640" s="16" t="s">
        <v>559</v>
      </c>
      <c r="F640" s="16" t="s">
        <v>1060</v>
      </c>
      <c r="G640" s="16" t="s">
        <v>1519</v>
      </c>
      <c r="I640" s="16" t="s">
        <v>1214</v>
      </c>
    </row>
    <row r="641" spans="1:10" hidden="1" x14ac:dyDescent="0.35">
      <c r="A641" s="16">
        <v>258</v>
      </c>
      <c r="B641" s="16" t="s">
        <v>1210</v>
      </c>
      <c r="C641" s="16" t="s">
        <v>633</v>
      </c>
      <c r="D641" s="16" t="s">
        <v>130</v>
      </c>
      <c r="E641" s="16" t="s">
        <v>538</v>
      </c>
      <c r="F641" s="16" t="s">
        <v>1060</v>
      </c>
      <c r="G641" s="16" t="s">
        <v>1519</v>
      </c>
      <c r="I641" s="16" t="s">
        <v>1214</v>
      </c>
    </row>
    <row r="642" spans="1:10" hidden="1" x14ac:dyDescent="0.35">
      <c r="A642" s="16">
        <v>258</v>
      </c>
      <c r="B642" s="16" t="s">
        <v>1213</v>
      </c>
      <c r="C642" s="16" t="s">
        <v>1218</v>
      </c>
      <c r="D642" s="16" t="s">
        <v>130</v>
      </c>
      <c r="E642" s="16" t="s">
        <v>539</v>
      </c>
      <c r="F642" s="16" t="s">
        <v>1060</v>
      </c>
      <c r="G642" s="16" t="s">
        <v>1519</v>
      </c>
      <c r="I642" s="16" t="s">
        <v>1214</v>
      </c>
    </row>
    <row r="643" spans="1:10" hidden="1" x14ac:dyDescent="0.35">
      <c r="A643" s="16">
        <v>258</v>
      </c>
      <c r="B643" s="16" t="s">
        <v>1212</v>
      </c>
      <c r="C643" s="16" t="s">
        <v>1218</v>
      </c>
      <c r="D643" s="16" t="s">
        <v>130</v>
      </c>
      <c r="E643" s="16" t="s">
        <v>539</v>
      </c>
      <c r="F643" s="16" t="s">
        <v>1060</v>
      </c>
      <c r="G643" s="16" t="s">
        <v>1519</v>
      </c>
      <c r="I643" s="16" t="s">
        <v>1214</v>
      </c>
    </row>
    <row r="644" spans="1:10" hidden="1" x14ac:dyDescent="0.35">
      <c r="A644" s="16">
        <v>258</v>
      </c>
      <c r="B644" s="16" t="s">
        <v>1211</v>
      </c>
      <c r="C644" s="16" t="s">
        <v>1219</v>
      </c>
      <c r="D644" s="16" t="s">
        <v>130</v>
      </c>
      <c r="E644" s="16" t="s">
        <v>1118</v>
      </c>
      <c r="F644" s="16" t="s">
        <v>1060</v>
      </c>
      <c r="G644" s="16" t="s">
        <v>1519</v>
      </c>
      <c r="I644" s="16" t="s">
        <v>1214</v>
      </c>
    </row>
    <row r="645" spans="1:10" hidden="1" x14ac:dyDescent="0.35">
      <c r="A645" s="16">
        <v>258</v>
      </c>
      <c r="B645" s="16" t="s">
        <v>1217</v>
      </c>
      <c r="C645" s="16" t="s">
        <v>633</v>
      </c>
      <c r="D645" s="16" t="s">
        <v>130</v>
      </c>
      <c r="E645" s="16" t="s">
        <v>559</v>
      </c>
      <c r="F645" s="16" t="s">
        <v>1060</v>
      </c>
      <c r="G645" s="16" t="s">
        <v>1519</v>
      </c>
      <c r="I645" s="16" t="s">
        <v>1214</v>
      </c>
    </row>
    <row r="646" spans="1:10" hidden="1" x14ac:dyDescent="0.35">
      <c r="A646" s="16">
        <v>259</v>
      </c>
      <c r="B646" s="16" t="s">
        <v>1226</v>
      </c>
      <c r="C646" s="16" t="s">
        <v>1223</v>
      </c>
      <c r="D646" s="16" t="s">
        <v>130</v>
      </c>
      <c r="E646" s="16" t="s">
        <v>813</v>
      </c>
      <c r="F646" s="16" t="s">
        <v>1224</v>
      </c>
      <c r="G646" s="16" t="s">
        <v>1520</v>
      </c>
      <c r="I646" s="16" t="s">
        <v>1225</v>
      </c>
    </row>
    <row r="647" spans="1:10" hidden="1" x14ac:dyDescent="0.35">
      <c r="A647" s="16">
        <v>259</v>
      </c>
      <c r="B647" s="16" t="s">
        <v>1227</v>
      </c>
      <c r="C647" s="16" t="s">
        <v>1223</v>
      </c>
      <c r="D647" s="16" t="s">
        <v>130</v>
      </c>
      <c r="E647" s="16" t="s">
        <v>813</v>
      </c>
      <c r="F647" s="16" t="s">
        <v>1224</v>
      </c>
      <c r="G647" s="16" t="s">
        <v>1520</v>
      </c>
      <c r="I647" s="16" t="s">
        <v>1225</v>
      </c>
    </row>
    <row r="648" spans="1:10" hidden="1" x14ac:dyDescent="0.35">
      <c r="A648" s="16">
        <v>259</v>
      </c>
      <c r="B648" s="16" t="s">
        <v>1228</v>
      </c>
      <c r="C648" s="16" t="s">
        <v>1223</v>
      </c>
      <c r="D648" s="16" t="s">
        <v>130</v>
      </c>
      <c r="E648" s="16" t="s">
        <v>813</v>
      </c>
      <c r="F648" s="16" t="s">
        <v>1224</v>
      </c>
      <c r="G648" s="16" t="s">
        <v>1520</v>
      </c>
      <c r="I648" s="16" t="s">
        <v>1225</v>
      </c>
    </row>
    <row r="649" spans="1:10" hidden="1" x14ac:dyDescent="0.35">
      <c r="A649" s="16">
        <v>259</v>
      </c>
      <c r="B649" s="16" t="s">
        <v>1231</v>
      </c>
      <c r="D649" s="16" t="s">
        <v>130</v>
      </c>
      <c r="E649" s="16" t="s">
        <v>813</v>
      </c>
      <c r="F649" s="16" t="s">
        <v>1224</v>
      </c>
      <c r="G649" s="16" t="s">
        <v>1520</v>
      </c>
      <c r="I649" s="16" t="s">
        <v>1225</v>
      </c>
      <c r="J649" s="16" t="s">
        <v>1229</v>
      </c>
    </row>
    <row r="650" spans="1:10" hidden="1" x14ac:dyDescent="0.35">
      <c r="A650" s="16">
        <v>259</v>
      </c>
      <c r="B650" s="16" t="s">
        <v>1232</v>
      </c>
      <c r="D650" s="16" t="s">
        <v>130</v>
      </c>
      <c r="E650" s="16" t="s">
        <v>813</v>
      </c>
      <c r="F650" s="16" t="s">
        <v>1224</v>
      </c>
      <c r="G650" s="16" t="s">
        <v>1520</v>
      </c>
      <c r="I650" s="16" t="s">
        <v>1225</v>
      </c>
      <c r="J650" s="16" t="s">
        <v>1230</v>
      </c>
    </row>
    <row r="651" spans="1:10" hidden="1" x14ac:dyDescent="0.35">
      <c r="A651" s="16">
        <v>259</v>
      </c>
      <c r="B651" s="16" t="s">
        <v>1234</v>
      </c>
      <c r="C651" s="16" t="s">
        <v>1233</v>
      </c>
      <c r="D651" s="16" t="s">
        <v>130</v>
      </c>
      <c r="E651" s="16" t="s">
        <v>813</v>
      </c>
      <c r="F651" s="16" t="s">
        <v>1224</v>
      </c>
      <c r="G651" s="16" t="s">
        <v>1520</v>
      </c>
      <c r="I651" s="16" t="s">
        <v>1225</v>
      </c>
    </row>
    <row r="652" spans="1:10" hidden="1" x14ac:dyDescent="0.35">
      <c r="A652" s="16">
        <v>259</v>
      </c>
      <c r="B652" s="16" t="s">
        <v>1235</v>
      </c>
      <c r="C652" s="16" t="s">
        <v>1233</v>
      </c>
      <c r="D652" s="16" t="s">
        <v>130</v>
      </c>
      <c r="E652" s="16" t="s">
        <v>813</v>
      </c>
      <c r="F652" s="16" t="s">
        <v>1224</v>
      </c>
      <c r="G652" s="16" t="s">
        <v>1520</v>
      </c>
      <c r="I652" s="16" t="s">
        <v>1225</v>
      </c>
    </row>
    <row r="653" spans="1:10" hidden="1" x14ac:dyDescent="0.35">
      <c r="A653" s="16">
        <v>259</v>
      </c>
      <c r="B653" s="16" t="s">
        <v>1236</v>
      </c>
      <c r="C653" s="16" t="s">
        <v>1233</v>
      </c>
      <c r="D653" s="16" t="s">
        <v>130</v>
      </c>
      <c r="E653" s="16" t="s">
        <v>813</v>
      </c>
      <c r="F653" s="16" t="s">
        <v>1224</v>
      </c>
      <c r="G653" s="16" t="s">
        <v>1520</v>
      </c>
      <c r="I653" s="16" t="s">
        <v>1225</v>
      </c>
    </row>
    <row r="654" spans="1:10" hidden="1" x14ac:dyDescent="0.35">
      <c r="A654" s="16">
        <v>285</v>
      </c>
      <c r="B654" s="16" t="s">
        <v>1243</v>
      </c>
      <c r="C654" s="16" t="s">
        <v>1238</v>
      </c>
      <c r="D654" s="16" t="s">
        <v>130</v>
      </c>
      <c r="E654" s="16" t="s">
        <v>539</v>
      </c>
      <c r="F654" s="16" t="s">
        <v>1237</v>
      </c>
      <c r="G654" s="16" t="s">
        <v>1521</v>
      </c>
      <c r="I654" s="16" t="s">
        <v>1240</v>
      </c>
    </row>
    <row r="655" spans="1:10" hidden="1" x14ac:dyDescent="0.35">
      <c r="A655" s="16">
        <v>285</v>
      </c>
      <c r="B655" s="16" t="s">
        <v>1244</v>
      </c>
      <c r="C655" s="16" t="s">
        <v>1238</v>
      </c>
      <c r="D655" s="16" t="s">
        <v>130</v>
      </c>
      <c r="E655" s="16" t="s">
        <v>539</v>
      </c>
      <c r="F655" s="16" t="s">
        <v>1237</v>
      </c>
      <c r="G655" s="16" t="s">
        <v>1521</v>
      </c>
      <c r="I655" s="16" t="s">
        <v>1240</v>
      </c>
    </row>
    <row r="656" spans="1:10" hidden="1" x14ac:dyDescent="0.35">
      <c r="A656" s="16">
        <v>285</v>
      </c>
      <c r="B656" s="16" t="s">
        <v>1245</v>
      </c>
      <c r="C656" s="16" t="s">
        <v>1238</v>
      </c>
      <c r="D656" s="16" t="s">
        <v>130</v>
      </c>
      <c r="E656" s="16" t="s">
        <v>539</v>
      </c>
      <c r="F656" s="16" t="s">
        <v>1237</v>
      </c>
      <c r="G656" s="16" t="s">
        <v>1521</v>
      </c>
      <c r="I656" s="16" t="s">
        <v>1240</v>
      </c>
    </row>
    <row r="657" spans="1:10" hidden="1" x14ac:dyDescent="0.35">
      <c r="A657" s="16">
        <v>285</v>
      </c>
      <c r="B657" s="16" t="s">
        <v>1241</v>
      </c>
      <c r="C657" s="16" t="s">
        <v>1239</v>
      </c>
      <c r="D657" s="16" t="s">
        <v>130</v>
      </c>
      <c r="E657" s="16" t="s">
        <v>1126</v>
      </c>
      <c r="F657" s="16" t="s">
        <v>1237</v>
      </c>
      <c r="G657" s="16" t="s">
        <v>1521</v>
      </c>
      <c r="I657" s="16" t="s">
        <v>1242</v>
      </c>
    </row>
    <row r="658" spans="1:10" hidden="1" x14ac:dyDescent="0.35">
      <c r="A658" s="16">
        <v>314</v>
      </c>
      <c r="B658" s="16" t="s">
        <v>1109</v>
      </c>
      <c r="C658" s="16" t="s">
        <v>633</v>
      </c>
      <c r="D658" s="16" t="s">
        <v>130</v>
      </c>
      <c r="E658" s="16" t="s">
        <v>813</v>
      </c>
      <c r="F658" s="16" t="s">
        <v>122</v>
      </c>
      <c r="G658" s="16" t="s">
        <v>1522</v>
      </c>
      <c r="I658" s="16" t="s">
        <v>1330</v>
      </c>
    </row>
    <row r="659" spans="1:10" hidden="1" x14ac:dyDescent="0.35">
      <c r="A659" s="16">
        <v>314</v>
      </c>
      <c r="B659" s="16" t="s">
        <v>286</v>
      </c>
      <c r="C659" s="16" t="s">
        <v>673</v>
      </c>
      <c r="D659" s="16" t="s">
        <v>130</v>
      </c>
      <c r="E659" s="16" t="s">
        <v>813</v>
      </c>
      <c r="F659" s="16" t="s">
        <v>122</v>
      </c>
      <c r="G659" s="16" t="s">
        <v>1522</v>
      </c>
      <c r="I659" s="16" t="s">
        <v>1330</v>
      </c>
    </row>
    <row r="660" spans="1:10" hidden="1" x14ac:dyDescent="0.35">
      <c r="A660" s="16">
        <v>314</v>
      </c>
      <c r="B660" s="16" t="s">
        <v>814</v>
      </c>
      <c r="C660" s="16" t="s">
        <v>1108</v>
      </c>
      <c r="D660" s="16" t="s">
        <v>130</v>
      </c>
      <c r="E660" s="16" t="s">
        <v>813</v>
      </c>
      <c r="F660" s="16" t="s">
        <v>122</v>
      </c>
      <c r="G660" s="16" t="s">
        <v>1522</v>
      </c>
      <c r="I660" s="16" t="s">
        <v>1330</v>
      </c>
    </row>
    <row r="661" spans="1:10" hidden="1" x14ac:dyDescent="0.35">
      <c r="A661" s="16">
        <v>314</v>
      </c>
      <c r="B661" s="16" t="s">
        <v>1248</v>
      </c>
      <c r="C661" s="16" t="s">
        <v>633</v>
      </c>
      <c r="D661" s="16" t="s">
        <v>130</v>
      </c>
      <c r="E661" s="16" t="s">
        <v>813</v>
      </c>
      <c r="F661" s="16" t="s">
        <v>122</v>
      </c>
      <c r="G661" s="16" t="s">
        <v>1522</v>
      </c>
      <c r="I661" s="16" t="s">
        <v>1330</v>
      </c>
    </row>
    <row r="662" spans="1:10" hidden="1" x14ac:dyDescent="0.35">
      <c r="A662" s="16">
        <v>314</v>
      </c>
      <c r="B662" s="16" t="s">
        <v>1249</v>
      </c>
      <c r="C662" s="16" t="s">
        <v>633</v>
      </c>
      <c r="D662" s="16" t="s">
        <v>130</v>
      </c>
      <c r="E662" s="16" t="s">
        <v>809</v>
      </c>
      <c r="F662" s="16" t="s">
        <v>122</v>
      </c>
      <c r="G662" s="16" t="s">
        <v>1522</v>
      </c>
      <c r="I662" s="16" t="s">
        <v>1330</v>
      </c>
    </row>
    <row r="663" spans="1:10" hidden="1" x14ac:dyDescent="0.35">
      <c r="A663" s="16">
        <v>314</v>
      </c>
      <c r="B663" s="16" t="s">
        <v>320</v>
      </c>
      <c r="C663" s="16" t="s">
        <v>628</v>
      </c>
      <c r="D663" s="16" t="s">
        <v>124</v>
      </c>
      <c r="E663" s="16" t="s">
        <v>559</v>
      </c>
      <c r="F663" s="16" t="s">
        <v>122</v>
      </c>
      <c r="G663" s="16" t="s">
        <v>1522</v>
      </c>
      <c r="I663" s="16" t="s">
        <v>243</v>
      </c>
      <c r="J663" s="16" t="s">
        <v>2631</v>
      </c>
    </row>
    <row r="664" spans="1:10" hidden="1" x14ac:dyDescent="0.35">
      <c r="A664" s="16">
        <v>314</v>
      </c>
      <c r="B664" s="16" t="s">
        <v>173</v>
      </c>
      <c r="C664" s="16" t="s">
        <v>633</v>
      </c>
      <c r="D664" s="16" t="s">
        <v>124</v>
      </c>
      <c r="E664" s="16" t="s">
        <v>559</v>
      </c>
      <c r="F664" s="16" t="s">
        <v>122</v>
      </c>
      <c r="G664" s="16" t="s">
        <v>1522</v>
      </c>
      <c r="I664" s="16" t="s">
        <v>243</v>
      </c>
      <c r="J664" s="16" t="s">
        <v>2632</v>
      </c>
    </row>
    <row r="665" spans="1:10" hidden="1" x14ac:dyDescent="0.35">
      <c r="A665" s="16">
        <v>314</v>
      </c>
      <c r="B665" s="16" t="s">
        <v>189</v>
      </c>
      <c r="C665" s="16" t="s">
        <v>1251</v>
      </c>
      <c r="D665" s="16" t="s">
        <v>130</v>
      </c>
      <c r="E665" s="16" t="s">
        <v>1021</v>
      </c>
      <c r="F665" s="16" t="s">
        <v>122</v>
      </c>
      <c r="G665" s="16">
        <v>2010</v>
      </c>
      <c r="I665" s="16" t="s">
        <v>1247</v>
      </c>
    </row>
    <row r="666" spans="1:10" hidden="1" x14ac:dyDescent="0.35">
      <c r="A666" s="16">
        <v>314</v>
      </c>
      <c r="B666" s="16" t="s">
        <v>423</v>
      </c>
      <c r="C666" s="16" t="s">
        <v>1252</v>
      </c>
      <c r="D666" s="16" t="s">
        <v>130</v>
      </c>
      <c r="E666" s="16" t="s">
        <v>1021</v>
      </c>
      <c r="F666" s="16" t="s">
        <v>122</v>
      </c>
      <c r="G666" s="16">
        <v>2010</v>
      </c>
      <c r="I666" s="16" t="s">
        <v>1247</v>
      </c>
    </row>
    <row r="667" spans="1:10" hidden="1" x14ac:dyDescent="0.35">
      <c r="A667" s="16">
        <v>314</v>
      </c>
      <c r="B667" s="16" t="s">
        <v>1250</v>
      </c>
      <c r="C667" s="16" t="s">
        <v>663</v>
      </c>
      <c r="D667" s="16" t="s">
        <v>130</v>
      </c>
      <c r="E667" s="16" t="s">
        <v>1021</v>
      </c>
      <c r="F667" s="16" t="s">
        <v>122</v>
      </c>
      <c r="G667" s="16">
        <v>2010</v>
      </c>
      <c r="I667" s="16" t="s">
        <v>1247</v>
      </c>
    </row>
    <row r="668" spans="1:10" hidden="1" x14ac:dyDescent="0.35">
      <c r="A668" s="16">
        <v>315</v>
      </c>
      <c r="B668" s="16" t="s">
        <v>1261</v>
      </c>
      <c r="C668" s="16" t="s">
        <v>633</v>
      </c>
      <c r="D668" s="16" t="s">
        <v>198</v>
      </c>
      <c r="E668" s="16" t="s">
        <v>538</v>
      </c>
      <c r="F668" s="16" t="s">
        <v>1256</v>
      </c>
      <c r="G668" s="16" t="s">
        <v>1523</v>
      </c>
      <c r="I668" s="16" t="s">
        <v>1268</v>
      </c>
    </row>
    <row r="669" spans="1:10" hidden="1" x14ac:dyDescent="0.35">
      <c r="A669" s="16">
        <v>315</v>
      </c>
      <c r="B669" s="16" t="s">
        <v>1262</v>
      </c>
      <c r="C669" s="16" t="s">
        <v>633</v>
      </c>
      <c r="D669" s="16" t="s">
        <v>198</v>
      </c>
      <c r="E669" s="16" t="s">
        <v>538</v>
      </c>
      <c r="F669" s="16" t="s">
        <v>1256</v>
      </c>
      <c r="G669" s="16" t="s">
        <v>1523</v>
      </c>
      <c r="I669" s="16" t="s">
        <v>1268</v>
      </c>
    </row>
    <row r="670" spans="1:10" hidden="1" x14ac:dyDescent="0.35">
      <c r="A670" s="16">
        <v>315</v>
      </c>
      <c r="B670" s="16" t="s">
        <v>1264</v>
      </c>
      <c r="C670" s="16" t="s">
        <v>1263</v>
      </c>
      <c r="D670" s="16" t="s">
        <v>198</v>
      </c>
      <c r="E670" s="16" t="s">
        <v>559</v>
      </c>
      <c r="F670" s="16" t="s">
        <v>1256</v>
      </c>
      <c r="G670" s="16" t="s">
        <v>1523</v>
      </c>
      <c r="I670" s="16" t="s">
        <v>1268</v>
      </c>
    </row>
    <row r="671" spans="1:10" hidden="1" x14ac:dyDescent="0.35">
      <c r="A671" s="16">
        <v>315</v>
      </c>
      <c r="B671" s="16" t="s">
        <v>1265</v>
      </c>
      <c r="C671" s="16" t="s">
        <v>1263</v>
      </c>
      <c r="D671" s="16" t="s">
        <v>198</v>
      </c>
      <c r="E671" s="16" t="s">
        <v>559</v>
      </c>
      <c r="F671" s="16" t="s">
        <v>1256</v>
      </c>
      <c r="G671" s="16" t="s">
        <v>1523</v>
      </c>
      <c r="I671" s="16" t="s">
        <v>1268</v>
      </c>
    </row>
    <row r="672" spans="1:10" hidden="1" x14ac:dyDescent="0.35">
      <c r="A672" s="16">
        <v>315</v>
      </c>
      <c r="B672" s="16" t="s">
        <v>1266</v>
      </c>
      <c r="C672" s="16" t="s">
        <v>1263</v>
      </c>
      <c r="D672" s="16" t="s">
        <v>198</v>
      </c>
      <c r="E672" s="16" t="s">
        <v>559</v>
      </c>
      <c r="F672" s="16" t="s">
        <v>1256</v>
      </c>
      <c r="G672" s="16" t="s">
        <v>1523</v>
      </c>
      <c r="I672" s="16" t="s">
        <v>1268</v>
      </c>
    </row>
    <row r="673" spans="1:10" hidden="1" x14ac:dyDescent="0.35">
      <c r="A673" s="16">
        <v>315</v>
      </c>
      <c r="B673" s="16" t="s">
        <v>1267</v>
      </c>
      <c r="C673" s="16" t="s">
        <v>1263</v>
      </c>
      <c r="D673" s="16" t="s">
        <v>198</v>
      </c>
      <c r="E673" s="16" t="s">
        <v>559</v>
      </c>
      <c r="F673" s="16" t="s">
        <v>1256</v>
      </c>
      <c r="G673" s="16" t="s">
        <v>1523</v>
      </c>
      <c r="I673" s="16" t="s">
        <v>1268</v>
      </c>
    </row>
    <row r="674" spans="1:10" hidden="1" x14ac:dyDescent="0.35">
      <c r="A674" s="16">
        <v>315</v>
      </c>
      <c r="B674" s="16" t="s">
        <v>1269</v>
      </c>
      <c r="C674" s="16" t="s">
        <v>1263</v>
      </c>
      <c r="D674" s="16" t="s">
        <v>198</v>
      </c>
      <c r="E674" s="16" t="s">
        <v>559</v>
      </c>
      <c r="F674" s="16" t="s">
        <v>1256</v>
      </c>
      <c r="G674" s="16" t="s">
        <v>1523</v>
      </c>
      <c r="I674" s="16" t="s">
        <v>962</v>
      </c>
    </row>
    <row r="675" spans="1:10" hidden="1" x14ac:dyDescent="0.35">
      <c r="A675" s="16">
        <v>315</v>
      </c>
      <c r="B675" s="16" t="s">
        <v>1270</v>
      </c>
      <c r="C675" s="16" t="s">
        <v>1263</v>
      </c>
      <c r="D675" s="16" t="s">
        <v>198</v>
      </c>
      <c r="E675" s="16" t="s">
        <v>559</v>
      </c>
      <c r="F675" s="16" t="s">
        <v>1256</v>
      </c>
      <c r="G675" s="16" t="s">
        <v>1523</v>
      </c>
      <c r="I675" s="16" t="s">
        <v>962</v>
      </c>
    </row>
    <row r="676" spans="1:10" hidden="1" x14ac:dyDescent="0.35">
      <c r="A676" s="16">
        <v>315</v>
      </c>
      <c r="B676" s="16" t="s">
        <v>1271</v>
      </c>
      <c r="C676" s="16" t="s">
        <v>1263</v>
      </c>
      <c r="D676" s="16" t="s">
        <v>198</v>
      </c>
      <c r="E676" s="16" t="s">
        <v>559</v>
      </c>
      <c r="F676" s="16" t="s">
        <v>1256</v>
      </c>
      <c r="G676" s="16" t="s">
        <v>1523</v>
      </c>
      <c r="I676" s="16" t="s">
        <v>962</v>
      </c>
    </row>
    <row r="677" spans="1:10" hidden="1" x14ac:dyDescent="0.35">
      <c r="A677" s="16">
        <v>315</v>
      </c>
      <c r="B677" s="16" t="s">
        <v>1259</v>
      </c>
      <c r="C677" s="16" t="s">
        <v>1260</v>
      </c>
      <c r="D677" s="16" t="s">
        <v>198</v>
      </c>
      <c r="E677" s="16" t="s">
        <v>1220</v>
      </c>
      <c r="F677" s="16" t="s">
        <v>1256</v>
      </c>
      <c r="G677" s="16" t="s">
        <v>1524</v>
      </c>
      <c r="I677" s="16" t="s">
        <v>962</v>
      </c>
    </row>
    <row r="678" spans="1:10" ht="87" hidden="1" x14ac:dyDescent="0.35">
      <c r="A678" s="16">
        <v>315</v>
      </c>
      <c r="B678" s="16" t="s">
        <v>1257</v>
      </c>
      <c r="C678" s="16" t="s">
        <v>1258</v>
      </c>
      <c r="D678" s="16" t="s">
        <v>198</v>
      </c>
      <c r="E678" s="16" t="s">
        <v>559</v>
      </c>
      <c r="F678" s="16" t="s">
        <v>1256</v>
      </c>
      <c r="G678" s="16" t="s">
        <v>1524</v>
      </c>
      <c r="I678" s="51" t="s">
        <v>1272</v>
      </c>
    </row>
    <row r="679" spans="1:10" hidden="1" x14ac:dyDescent="0.35">
      <c r="A679" s="16">
        <v>337</v>
      </c>
      <c r="B679" s="16" t="s">
        <v>1275</v>
      </c>
      <c r="C679" s="16" t="s">
        <v>1277</v>
      </c>
      <c r="D679" s="16" t="s">
        <v>198</v>
      </c>
      <c r="E679" s="16" t="s">
        <v>538</v>
      </c>
      <c r="F679" s="16" t="s">
        <v>1274</v>
      </c>
      <c r="G679" s="16" t="s">
        <v>1525</v>
      </c>
      <c r="I679" s="16" t="s">
        <v>1284</v>
      </c>
    </row>
    <row r="680" spans="1:10" hidden="1" x14ac:dyDescent="0.35">
      <c r="A680" s="16">
        <v>337</v>
      </c>
      <c r="B680" s="16" t="s">
        <v>1276</v>
      </c>
      <c r="C680" s="16" t="s">
        <v>1258</v>
      </c>
      <c r="D680" s="16" t="s">
        <v>198</v>
      </c>
      <c r="E680" s="16" t="s">
        <v>559</v>
      </c>
      <c r="F680" s="16" t="s">
        <v>1274</v>
      </c>
      <c r="G680" s="16" t="s">
        <v>1525</v>
      </c>
      <c r="I680" s="16" t="s">
        <v>1284</v>
      </c>
    </row>
    <row r="681" spans="1:10" hidden="1" x14ac:dyDescent="0.35">
      <c r="A681" s="16">
        <v>337</v>
      </c>
      <c r="B681" s="16" t="s">
        <v>1278</v>
      </c>
      <c r="C681" s="16" t="s">
        <v>637</v>
      </c>
      <c r="D681" s="16" t="s">
        <v>198</v>
      </c>
      <c r="E681" s="16" t="s">
        <v>539</v>
      </c>
      <c r="F681" s="16" t="s">
        <v>1274</v>
      </c>
      <c r="G681" s="16" t="s">
        <v>1525</v>
      </c>
      <c r="I681" s="16" t="s">
        <v>1284</v>
      </c>
    </row>
    <row r="682" spans="1:10" hidden="1" x14ac:dyDescent="0.35">
      <c r="A682" s="16">
        <v>337</v>
      </c>
      <c r="B682" s="16" t="s">
        <v>1279</v>
      </c>
      <c r="C682" s="16" t="s">
        <v>866</v>
      </c>
      <c r="D682" s="16" t="s">
        <v>198</v>
      </c>
      <c r="E682" s="16" t="s">
        <v>539</v>
      </c>
      <c r="F682" s="16" t="s">
        <v>1274</v>
      </c>
      <c r="G682" s="16" t="s">
        <v>1525</v>
      </c>
      <c r="I682" s="16" t="s">
        <v>1284</v>
      </c>
    </row>
    <row r="683" spans="1:10" hidden="1" x14ac:dyDescent="0.35">
      <c r="A683" s="16">
        <v>337</v>
      </c>
      <c r="B683" s="16" t="s">
        <v>1280</v>
      </c>
      <c r="C683" s="16" t="s">
        <v>629</v>
      </c>
      <c r="D683" s="16" t="s">
        <v>198</v>
      </c>
      <c r="E683" s="16" t="s">
        <v>539</v>
      </c>
      <c r="F683" s="16" t="s">
        <v>1274</v>
      </c>
      <c r="G683" s="16" t="s">
        <v>1525</v>
      </c>
      <c r="I683" s="16" t="s">
        <v>1284</v>
      </c>
    </row>
    <row r="684" spans="1:10" hidden="1" x14ac:dyDescent="0.35">
      <c r="A684" s="16">
        <v>337</v>
      </c>
      <c r="B684" s="16" t="s">
        <v>1281</v>
      </c>
      <c r="C684" s="16" t="s">
        <v>637</v>
      </c>
      <c r="D684" s="16" t="s">
        <v>198</v>
      </c>
      <c r="E684" s="16" t="s">
        <v>539</v>
      </c>
      <c r="F684" s="16" t="s">
        <v>1274</v>
      </c>
      <c r="G684" s="16" t="s">
        <v>1525</v>
      </c>
      <c r="I684" s="16" t="s">
        <v>1284</v>
      </c>
    </row>
    <row r="685" spans="1:10" hidden="1" x14ac:dyDescent="0.35">
      <c r="A685" s="16">
        <v>337</v>
      </c>
      <c r="B685" s="16" t="s">
        <v>1282</v>
      </c>
      <c r="C685" s="16" t="s">
        <v>866</v>
      </c>
      <c r="D685" s="16" t="s">
        <v>198</v>
      </c>
      <c r="E685" s="16" t="s">
        <v>539</v>
      </c>
      <c r="F685" s="16" t="s">
        <v>1274</v>
      </c>
      <c r="G685" s="16" t="s">
        <v>1525</v>
      </c>
      <c r="I685" s="16" t="s">
        <v>1284</v>
      </c>
    </row>
    <row r="686" spans="1:10" hidden="1" x14ac:dyDescent="0.35">
      <c r="A686" s="16">
        <v>337</v>
      </c>
      <c r="B686" s="16" t="s">
        <v>1283</v>
      </c>
      <c r="C686" s="16" t="s">
        <v>629</v>
      </c>
      <c r="D686" s="16" t="s">
        <v>198</v>
      </c>
      <c r="E686" s="16" t="s">
        <v>539</v>
      </c>
      <c r="F686" s="16" t="s">
        <v>1274</v>
      </c>
      <c r="G686" s="16" t="s">
        <v>1525</v>
      </c>
      <c r="I686" s="16" t="s">
        <v>1284</v>
      </c>
    </row>
    <row r="687" spans="1:10" hidden="1" x14ac:dyDescent="0.35">
      <c r="A687" s="16">
        <v>337</v>
      </c>
      <c r="B687" s="16" t="s">
        <v>1285</v>
      </c>
      <c r="C687" s="16" t="s">
        <v>1288</v>
      </c>
      <c r="D687" s="16" t="s">
        <v>198</v>
      </c>
      <c r="E687" s="16" t="s">
        <v>539</v>
      </c>
      <c r="F687" s="16" t="s">
        <v>1274</v>
      </c>
      <c r="G687" s="16" t="s">
        <v>1525</v>
      </c>
      <c r="I687" s="16" t="s">
        <v>1284</v>
      </c>
      <c r="J687" s="16" t="s">
        <v>1287</v>
      </c>
    </row>
    <row r="688" spans="1:10" hidden="1" x14ac:dyDescent="0.35">
      <c r="A688" s="16">
        <v>337</v>
      </c>
      <c r="B688" s="16" t="s">
        <v>1286</v>
      </c>
      <c r="C688" s="16" t="s">
        <v>1288</v>
      </c>
      <c r="D688" s="16" t="s">
        <v>198</v>
      </c>
      <c r="E688" s="16" t="s">
        <v>539</v>
      </c>
      <c r="F688" s="16" t="s">
        <v>1274</v>
      </c>
      <c r="G688" s="16" t="s">
        <v>1525</v>
      </c>
      <c r="I688" s="16" t="s">
        <v>1284</v>
      </c>
      <c r="J688" s="16" t="s">
        <v>1287</v>
      </c>
    </row>
    <row r="689" spans="1:9" hidden="1" x14ac:dyDescent="0.35">
      <c r="A689" s="16">
        <v>388</v>
      </c>
      <c r="B689" s="16" t="s">
        <v>1296</v>
      </c>
      <c r="C689" s="16" t="s">
        <v>632</v>
      </c>
      <c r="D689" s="16" t="s">
        <v>130</v>
      </c>
      <c r="E689" s="16" t="s">
        <v>1021</v>
      </c>
      <c r="F689" s="16" t="s">
        <v>1138</v>
      </c>
      <c r="G689" s="16">
        <v>2019</v>
      </c>
      <c r="H689" s="50" t="s">
        <v>403</v>
      </c>
      <c r="I689" s="16" t="s">
        <v>1294</v>
      </c>
    </row>
    <row r="690" spans="1:9" x14ac:dyDescent="0.35">
      <c r="A690" s="16">
        <v>388</v>
      </c>
      <c r="B690" s="16" t="s">
        <v>1293</v>
      </c>
      <c r="C690" s="16" t="s">
        <v>633</v>
      </c>
      <c r="D690" s="16" t="s">
        <v>130</v>
      </c>
      <c r="E690" s="16" t="s">
        <v>1021</v>
      </c>
      <c r="F690" s="16" t="s">
        <v>28</v>
      </c>
      <c r="G690" s="16">
        <v>2014</v>
      </c>
      <c r="I690" s="16" t="s">
        <v>1295</v>
      </c>
    </row>
    <row r="691" spans="1:9" hidden="1" x14ac:dyDescent="0.35">
      <c r="A691" s="16">
        <v>388</v>
      </c>
      <c r="B691" s="16" t="s">
        <v>1297</v>
      </c>
      <c r="C691" s="16" t="s">
        <v>1299</v>
      </c>
      <c r="D691" s="16" t="s">
        <v>130</v>
      </c>
      <c r="E691" s="16" t="s">
        <v>1021</v>
      </c>
      <c r="F691" s="16" t="s">
        <v>28</v>
      </c>
      <c r="G691" s="16">
        <v>2014</v>
      </c>
      <c r="I691" s="16" t="s">
        <v>1300</v>
      </c>
    </row>
    <row r="692" spans="1:9" hidden="1" x14ac:dyDescent="0.35">
      <c r="A692" s="16">
        <v>399</v>
      </c>
      <c r="B692" s="16" t="s">
        <v>1327</v>
      </c>
      <c r="C692" s="16" t="s">
        <v>1325</v>
      </c>
      <c r="D692" s="16" t="s">
        <v>130</v>
      </c>
      <c r="E692" s="16" t="s">
        <v>1126</v>
      </c>
      <c r="F692" s="16" t="s">
        <v>1304</v>
      </c>
      <c r="G692" s="16" t="s">
        <v>1526</v>
      </c>
      <c r="I692" s="16" t="s">
        <v>786</v>
      </c>
    </row>
    <row r="693" spans="1:9" hidden="1" x14ac:dyDescent="0.35">
      <c r="A693" s="16">
        <v>399</v>
      </c>
      <c r="B693" s="16" t="s">
        <v>1328</v>
      </c>
      <c r="C693" s="16" t="s">
        <v>1326</v>
      </c>
      <c r="D693" s="16" t="s">
        <v>130</v>
      </c>
      <c r="E693" s="16" t="s">
        <v>1126</v>
      </c>
      <c r="F693" s="16" t="s">
        <v>1304</v>
      </c>
      <c r="G693" s="16" t="s">
        <v>1526</v>
      </c>
      <c r="I693" s="16" t="s">
        <v>786</v>
      </c>
    </row>
    <row r="694" spans="1:9" hidden="1" x14ac:dyDescent="0.35">
      <c r="A694" s="16">
        <v>399</v>
      </c>
      <c r="B694" s="16" t="s">
        <v>2567</v>
      </c>
      <c r="C694" s="16" t="s">
        <v>1326</v>
      </c>
      <c r="D694" s="16" t="s">
        <v>130</v>
      </c>
      <c r="E694" s="16" t="s">
        <v>1126</v>
      </c>
      <c r="F694" s="16" t="s">
        <v>1304</v>
      </c>
      <c r="G694" s="16" t="s">
        <v>1526</v>
      </c>
      <c r="I694" s="16" t="s">
        <v>786</v>
      </c>
    </row>
    <row r="695" spans="1:9" hidden="1" x14ac:dyDescent="0.35">
      <c r="A695" s="16">
        <v>399</v>
      </c>
      <c r="B695" s="16" t="s">
        <v>2568</v>
      </c>
      <c r="C695" s="16" t="s">
        <v>1326</v>
      </c>
      <c r="D695" s="16" t="s">
        <v>130</v>
      </c>
      <c r="E695" s="16" t="s">
        <v>1126</v>
      </c>
      <c r="F695" s="16" t="s">
        <v>1304</v>
      </c>
      <c r="G695" s="16" t="s">
        <v>1526</v>
      </c>
      <c r="I695" s="16" t="s">
        <v>786</v>
      </c>
    </row>
    <row r="696" spans="1:9" hidden="1" x14ac:dyDescent="0.35">
      <c r="A696" s="16">
        <v>399</v>
      </c>
      <c r="B696" s="16" t="s">
        <v>2569</v>
      </c>
      <c r="C696" s="16" t="s">
        <v>1326</v>
      </c>
      <c r="D696" s="16" t="s">
        <v>130</v>
      </c>
      <c r="E696" s="16" t="s">
        <v>1126</v>
      </c>
      <c r="F696" s="16" t="s">
        <v>1304</v>
      </c>
      <c r="G696" s="16" t="s">
        <v>1526</v>
      </c>
      <c r="I696" s="16" t="s">
        <v>786</v>
      </c>
    </row>
    <row r="697" spans="1:9" hidden="1" x14ac:dyDescent="0.35">
      <c r="A697" s="16">
        <v>399</v>
      </c>
      <c r="B697" s="16" t="s">
        <v>1305</v>
      </c>
      <c r="C697" s="16" t="s">
        <v>1306</v>
      </c>
      <c r="D697" s="16" t="s">
        <v>130</v>
      </c>
      <c r="E697" s="16" t="s">
        <v>1118</v>
      </c>
      <c r="F697" s="16" t="s">
        <v>1304</v>
      </c>
      <c r="G697" s="16" t="s">
        <v>1526</v>
      </c>
      <c r="I697" s="16" t="s">
        <v>786</v>
      </c>
    </row>
    <row r="698" spans="1:9" hidden="1" x14ac:dyDescent="0.35">
      <c r="A698" s="16">
        <v>399</v>
      </c>
      <c r="B698" s="16" t="s">
        <v>1307</v>
      </c>
      <c r="C698" s="16" t="s">
        <v>1306</v>
      </c>
      <c r="D698" s="16" t="s">
        <v>130</v>
      </c>
      <c r="E698" s="16" t="s">
        <v>1118</v>
      </c>
      <c r="F698" s="16" t="s">
        <v>1304</v>
      </c>
      <c r="G698" s="16" t="s">
        <v>1526</v>
      </c>
      <c r="I698" s="16" t="s">
        <v>786</v>
      </c>
    </row>
    <row r="699" spans="1:9" hidden="1" x14ac:dyDescent="0.35">
      <c r="A699" s="16">
        <v>399</v>
      </c>
      <c r="B699" s="16" t="s">
        <v>1308</v>
      </c>
      <c r="C699" s="16" t="s">
        <v>1306</v>
      </c>
      <c r="D699" s="16" t="s">
        <v>130</v>
      </c>
      <c r="E699" s="16" t="s">
        <v>1118</v>
      </c>
      <c r="F699" s="16" t="s">
        <v>1304</v>
      </c>
      <c r="G699" s="16" t="s">
        <v>1526</v>
      </c>
      <c r="I699" s="16" t="s">
        <v>786</v>
      </c>
    </row>
    <row r="700" spans="1:9" hidden="1" x14ac:dyDescent="0.35">
      <c r="A700" s="16">
        <v>399</v>
      </c>
      <c r="B700" s="16" t="s">
        <v>1309</v>
      </c>
      <c r="C700" s="16" t="s">
        <v>1310</v>
      </c>
      <c r="D700" s="16" t="s">
        <v>130</v>
      </c>
      <c r="E700" s="16" t="s">
        <v>1118</v>
      </c>
      <c r="F700" s="16" t="s">
        <v>1304</v>
      </c>
      <c r="G700" s="16" t="s">
        <v>1526</v>
      </c>
      <c r="I700" s="16" t="s">
        <v>786</v>
      </c>
    </row>
    <row r="701" spans="1:9" hidden="1" x14ac:dyDescent="0.35">
      <c r="A701" s="16">
        <v>399</v>
      </c>
      <c r="B701" s="16" t="s">
        <v>1311</v>
      </c>
      <c r="C701" s="16" t="s">
        <v>1319</v>
      </c>
      <c r="D701" s="16" t="s">
        <v>130</v>
      </c>
      <c r="E701" s="16" t="s">
        <v>539</v>
      </c>
      <c r="F701" s="16" t="s">
        <v>1304</v>
      </c>
      <c r="G701" s="16" t="s">
        <v>1526</v>
      </c>
      <c r="I701" s="16" t="s">
        <v>786</v>
      </c>
    </row>
    <row r="702" spans="1:9" hidden="1" x14ac:dyDescent="0.35">
      <c r="A702" s="16">
        <v>399</v>
      </c>
      <c r="B702" s="16" t="s">
        <v>1312</v>
      </c>
      <c r="C702" s="16" t="s">
        <v>1320</v>
      </c>
      <c r="D702" s="16" t="s">
        <v>130</v>
      </c>
      <c r="E702" s="16" t="s">
        <v>539</v>
      </c>
      <c r="F702" s="16" t="s">
        <v>1304</v>
      </c>
      <c r="G702" s="16" t="s">
        <v>1526</v>
      </c>
      <c r="I702" s="16" t="s">
        <v>786</v>
      </c>
    </row>
    <row r="703" spans="1:9" hidden="1" x14ac:dyDescent="0.35">
      <c r="A703" s="16">
        <v>399</v>
      </c>
      <c r="B703" s="16" t="s">
        <v>1313</v>
      </c>
      <c r="C703" s="16" t="s">
        <v>1321</v>
      </c>
      <c r="D703" s="16" t="s">
        <v>130</v>
      </c>
      <c r="E703" s="16" t="s">
        <v>539</v>
      </c>
      <c r="F703" s="16" t="s">
        <v>1304</v>
      </c>
      <c r="G703" s="16" t="s">
        <v>1526</v>
      </c>
      <c r="I703" s="16" t="s">
        <v>786</v>
      </c>
    </row>
    <row r="704" spans="1:9" hidden="1" x14ac:dyDescent="0.35">
      <c r="A704" s="16">
        <v>399</v>
      </c>
      <c r="B704" s="16" t="s">
        <v>1314</v>
      </c>
      <c r="C704" s="16" t="s">
        <v>1322</v>
      </c>
      <c r="D704" s="16" t="s">
        <v>130</v>
      </c>
      <c r="E704" s="16" t="s">
        <v>539</v>
      </c>
      <c r="F704" s="16" t="s">
        <v>1304</v>
      </c>
      <c r="G704" s="16" t="s">
        <v>1526</v>
      </c>
      <c r="I704" s="16" t="s">
        <v>786</v>
      </c>
    </row>
    <row r="705" spans="1:10" hidden="1" x14ac:dyDescent="0.35">
      <c r="A705" s="16">
        <v>399</v>
      </c>
      <c r="B705" s="16" t="s">
        <v>1315</v>
      </c>
      <c r="C705" s="16" t="s">
        <v>1319</v>
      </c>
      <c r="D705" s="16" t="s">
        <v>130</v>
      </c>
      <c r="E705" s="16" t="s">
        <v>539</v>
      </c>
      <c r="F705" s="16" t="s">
        <v>1304</v>
      </c>
      <c r="G705" s="16" t="s">
        <v>1526</v>
      </c>
      <c r="I705" s="16" t="s">
        <v>786</v>
      </c>
    </row>
    <row r="706" spans="1:10" hidden="1" x14ac:dyDescent="0.35">
      <c r="A706" s="16">
        <v>399</v>
      </c>
      <c r="B706" s="16" t="s">
        <v>1316</v>
      </c>
      <c r="C706" s="16" t="s">
        <v>866</v>
      </c>
      <c r="D706" s="16" t="s">
        <v>130</v>
      </c>
      <c r="E706" s="16" t="s">
        <v>539</v>
      </c>
      <c r="F706" s="16" t="s">
        <v>1304</v>
      </c>
      <c r="G706" s="16" t="s">
        <v>1526</v>
      </c>
      <c r="I706" s="16" t="s">
        <v>786</v>
      </c>
    </row>
    <row r="707" spans="1:10" hidden="1" x14ac:dyDescent="0.35">
      <c r="A707" s="16">
        <v>399</v>
      </c>
      <c r="B707" s="16" t="s">
        <v>1317</v>
      </c>
      <c r="C707" s="16" t="s">
        <v>1323</v>
      </c>
      <c r="D707" s="16" t="s">
        <v>130</v>
      </c>
      <c r="E707" s="16" t="s">
        <v>539</v>
      </c>
      <c r="F707" s="16" t="s">
        <v>1304</v>
      </c>
      <c r="G707" s="16" t="s">
        <v>1526</v>
      </c>
      <c r="I707" s="16" t="s">
        <v>786</v>
      </c>
    </row>
    <row r="708" spans="1:10" hidden="1" x14ac:dyDescent="0.35">
      <c r="A708" s="16">
        <v>399</v>
      </c>
      <c r="B708" s="16" t="s">
        <v>1318</v>
      </c>
      <c r="C708" s="16" t="s">
        <v>1322</v>
      </c>
      <c r="D708" s="16" t="s">
        <v>130</v>
      </c>
      <c r="E708" s="16" t="s">
        <v>539</v>
      </c>
      <c r="F708" s="16" t="s">
        <v>1304</v>
      </c>
      <c r="G708" s="16" t="s">
        <v>1526</v>
      </c>
      <c r="I708" s="16" t="s">
        <v>786</v>
      </c>
    </row>
    <row r="709" spans="1:10" hidden="1" x14ac:dyDescent="0.35">
      <c r="A709" s="16">
        <v>399</v>
      </c>
      <c r="B709" s="16" t="s">
        <v>1028</v>
      </c>
      <c r="C709" s="16" t="s">
        <v>1298</v>
      </c>
      <c r="D709" s="16" t="s">
        <v>130</v>
      </c>
      <c r="E709" s="16" t="s">
        <v>539</v>
      </c>
      <c r="F709" s="16" t="s">
        <v>1304</v>
      </c>
      <c r="G709" s="16" t="s">
        <v>1526</v>
      </c>
      <c r="I709" s="16" t="s">
        <v>1302</v>
      </c>
    </row>
    <row r="710" spans="1:10" hidden="1" x14ac:dyDescent="0.35">
      <c r="A710" s="16">
        <v>399</v>
      </c>
      <c r="B710" s="16" t="s">
        <v>1303</v>
      </c>
      <c r="C710" s="16" t="s">
        <v>633</v>
      </c>
      <c r="D710" s="16" t="s">
        <v>130</v>
      </c>
      <c r="E710" s="16" t="s">
        <v>538</v>
      </c>
      <c r="F710" s="16" t="s">
        <v>1304</v>
      </c>
      <c r="G710" s="16" t="s">
        <v>1526</v>
      </c>
      <c r="I710" s="16" t="s">
        <v>1324</v>
      </c>
    </row>
    <row r="711" spans="1:10" hidden="1" x14ac:dyDescent="0.35">
      <c r="A711" s="16">
        <v>752</v>
      </c>
      <c r="B711" s="16" t="s">
        <v>1529</v>
      </c>
      <c r="C711" s="16" t="s">
        <v>633</v>
      </c>
      <c r="D711" s="16" t="s">
        <v>124</v>
      </c>
      <c r="E711" s="16" t="s">
        <v>536</v>
      </c>
      <c r="F711" s="16" t="s">
        <v>135</v>
      </c>
      <c r="G711" s="16">
        <v>2004</v>
      </c>
      <c r="I711" s="16" t="s">
        <v>1532</v>
      </c>
    </row>
    <row r="712" spans="1:10" hidden="1" x14ac:dyDescent="0.35">
      <c r="A712" s="16">
        <v>752</v>
      </c>
      <c r="B712" s="16" t="s">
        <v>1531</v>
      </c>
      <c r="C712" s="16" t="s">
        <v>1534</v>
      </c>
      <c r="D712" s="16" t="s">
        <v>124</v>
      </c>
      <c r="E712" s="16" t="s">
        <v>536</v>
      </c>
      <c r="F712" s="16" t="s">
        <v>135</v>
      </c>
      <c r="G712" s="16">
        <v>2004</v>
      </c>
      <c r="I712" s="16" t="s">
        <v>1530</v>
      </c>
    </row>
    <row r="713" spans="1:10" hidden="1" x14ac:dyDescent="0.35">
      <c r="A713" s="16">
        <v>752</v>
      </c>
      <c r="B713" s="16" t="s">
        <v>1533</v>
      </c>
      <c r="C713" s="16" t="s">
        <v>633</v>
      </c>
      <c r="D713" s="16" t="s">
        <v>124</v>
      </c>
      <c r="E713" s="16" t="s">
        <v>536</v>
      </c>
      <c r="F713" s="16" t="s">
        <v>135</v>
      </c>
      <c r="G713" s="16">
        <v>2004</v>
      </c>
      <c r="I713" s="16" t="s">
        <v>1535</v>
      </c>
    </row>
    <row r="714" spans="1:10" hidden="1" x14ac:dyDescent="0.35">
      <c r="A714" s="16">
        <v>74</v>
      </c>
      <c r="B714" s="16" t="s">
        <v>2623</v>
      </c>
      <c r="C714" s="16" t="s">
        <v>1239</v>
      </c>
      <c r="D714" s="16" t="s">
        <v>124</v>
      </c>
      <c r="E714" s="16" t="s">
        <v>813</v>
      </c>
      <c r="F714" s="16" t="s">
        <v>1540</v>
      </c>
      <c r="G714" s="16" t="s">
        <v>1539</v>
      </c>
      <c r="I714" s="16" t="s">
        <v>2620</v>
      </c>
      <c r="J714" s="16" t="s">
        <v>2619</v>
      </c>
    </row>
    <row r="715" spans="1:10" hidden="1" x14ac:dyDescent="0.35">
      <c r="A715" s="16">
        <v>74</v>
      </c>
      <c r="B715" s="16" t="s">
        <v>2624</v>
      </c>
      <c r="C715" s="16" t="s">
        <v>1239</v>
      </c>
      <c r="D715" s="16" t="s">
        <v>124</v>
      </c>
      <c r="E715" s="16" t="s">
        <v>813</v>
      </c>
      <c r="F715" s="16" t="s">
        <v>1540</v>
      </c>
      <c r="G715" s="16" t="s">
        <v>1539</v>
      </c>
      <c r="I715" s="16" t="s">
        <v>2620</v>
      </c>
      <c r="J715" s="16" t="s">
        <v>2619</v>
      </c>
    </row>
    <row r="716" spans="1:10" hidden="1" x14ac:dyDescent="0.35">
      <c r="A716" s="16">
        <v>74</v>
      </c>
      <c r="B716" s="16" t="s">
        <v>2625</v>
      </c>
      <c r="C716" s="16" t="s">
        <v>1239</v>
      </c>
      <c r="D716" s="16" t="s">
        <v>124</v>
      </c>
      <c r="E716" s="16" t="s">
        <v>813</v>
      </c>
      <c r="F716" s="16" t="s">
        <v>1540</v>
      </c>
      <c r="G716" s="16" t="s">
        <v>1539</v>
      </c>
      <c r="I716" s="16" t="s">
        <v>2620</v>
      </c>
      <c r="J716" s="16" t="s">
        <v>2619</v>
      </c>
    </row>
    <row r="717" spans="1:10" hidden="1" x14ac:dyDescent="0.35">
      <c r="A717" s="16">
        <v>74</v>
      </c>
      <c r="B717" s="16" t="s">
        <v>2626</v>
      </c>
      <c r="C717" s="16" t="s">
        <v>1239</v>
      </c>
      <c r="D717" s="16" t="s">
        <v>124</v>
      </c>
      <c r="E717" s="16" t="s">
        <v>813</v>
      </c>
      <c r="F717" s="16" t="s">
        <v>1540</v>
      </c>
      <c r="G717" s="16" t="s">
        <v>1539</v>
      </c>
      <c r="I717" s="16" t="s">
        <v>2620</v>
      </c>
      <c r="J717" s="16" t="s">
        <v>2619</v>
      </c>
    </row>
    <row r="718" spans="1:10" hidden="1" x14ac:dyDescent="0.35">
      <c r="A718" s="16">
        <v>74</v>
      </c>
      <c r="B718" s="16" t="s">
        <v>2627</v>
      </c>
      <c r="C718" s="16" t="s">
        <v>1239</v>
      </c>
      <c r="D718" s="16" t="s">
        <v>124</v>
      </c>
      <c r="E718" s="16" t="s">
        <v>813</v>
      </c>
      <c r="F718" s="16" t="s">
        <v>1540</v>
      </c>
      <c r="G718" s="16" t="s">
        <v>1539</v>
      </c>
      <c r="I718" s="16" t="s">
        <v>2620</v>
      </c>
      <c r="J718" s="16" t="s">
        <v>2619</v>
      </c>
    </row>
    <row r="719" spans="1:10" hidden="1" x14ac:dyDescent="0.35">
      <c r="A719" s="16">
        <v>74</v>
      </c>
      <c r="B719" s="16" t="s">
        <v>2622</v>
      </c>
      <c r="C719" s="16" t="s">
        <v>1239</v>
      </c>
      <c r="D719" s="16" t="s">
        <v>124</v>
      </c>
      <c r="E719" s="16" t="s">
        <v>813</v>
      </c>
      <c r="F719" s="16" t="s">
        <v>1540</v>
      </c>
      <c r="G719" s="16" t="s">
        <v>1539</v>
      </c>
      <c r="I719" s="16" t="s">
        <v>2620</v>
      </c>
      <c r="J719" s="16" t="s">
        <v>2619</v>
      </c>
    </row>
    <row r="720" spans="1:10" hidden="1" x14ac:dyDescent="0.35">
      <c r="A720" s="16">
        <v>74</v>
      </c>
      <c r="B720" s="16" t="s">
        <v>2621</v>
      </c>
      <c r="C720" s="16" t="s">
        <v>1239</v>
      </c>
      <c r="D720" s="16" t="s">
        <v>124</v>
      </c>
      <c r="E720" s="16" t="s">
        <v>813</v>
      </c>
      <c r="F720" s="16" t="s">
        <v>1540</v>
      </c>
      <c r="G720" s="16" t="s">
        <v>1539</v>
      </c>
      <c r="I720" s="16" t="s">
        <v>2620</v>
      </c>
      <c r="J720" s="16" t="s">
        <v>2619</v>
      </c>
    </row>
    <row r="721" spans="1:10" hidden="1" x14ac:dyDescent="0.35">
      <c r="A721" s="16">
        <v>74</v>
      </c>
      <c r="B721" s="16" t="s">
        <v>1541</v>
      </c>
      <c r="C721" s="16" t="s">
        <v>663</v>
      </c>
      <c r="D721" s="16" t="s">
        <v>124</v>
      </c>
      <c r="E721" s="16" t="s">
        <v>1126</v>
      </c>
      <c r="F721" s="16" t="s">
        <v>1540</v>
      </c>
      <c r="G721" s="16" t="s">
        <v>1545</v>
      </c>
      <c r="I721" s="16" t="s">
        <v>786</v>
      </c>
      <c r="J721" s="16" t="s">
        <v>1548</v>
      </c>
    </row>
    <row r="722" spans="1:10" hidden="1" x14ac:dyDescent="0.35">
      <c r="A722" s="16">
        <v>74</v>
      </c>
      <c r="B722" s="16" t="s">
        <v>1543</v>
      </c>
      <c r="C722" s="16" t="s">
        <v>1542</v>
      </c>
      <c r="D722" s="16" t="s">
        <v>124</v>
      </c>
      <c r="E722" s="16" t="s">
        <v>1126</v>
      </c>
      <c r="F722" s="16" t="s">
        <v>1540</v>
      </c>
      <c r="G722" s="16" t="s">
        <v>1546</v>
      </c>
      <c r="I722" s="16" t="s">
        <v>786</v>
      </c>
      <c r="J722" s="16" t="s">
        <v>1548</v>
      </c>
    </row>
    <row r="723" spans="1:10" hidden="1" x14ac:dyDescent="0.35">
      <c r="A723" s="16">
        <v>74</v>
      </c>
      <c r="B723" s="16" t="s">
        <v>1544</v>
      </c>
      <c r="C723" s="16" t="s">
        <v>1542</v>
      </c>
      <c r="D723" s="16" t="s">
        <v>124</v>
      </c>
      <c r="E723" s="16" t="s">
        <v>1126</v>
      </c>
      <c r="F723" s="16" t="s">
        <v>1540</v>
      </c>
      <c r="G723" s="16" t="s">
        <v>1547</v>
      </c>
      <c r="I723" s="16" t="s">
        <v>786</v>
      </c>
      <c r="J723" s="16" t="s">
        <v>1548</v>
      </c>
    </row>
    <row r="724" spans="1:10" hidden="1" x14ac:dyDescent="0.35">
      <c r="A724" s="16">
        <v>69</v>
      </c>
      <c r="B724" s="16" t="s">
        <v>1556</v>
      </c>
      <c r="C724" s="16" t="s">
        <v>628</v>
      </c>
      <c r="D724" s="16" t="s">
        <v>124</v>
      </c>
      <c r="E724" s="16" t="s">
        <v>559</v>
      </c>
      <c r="F724" s="16" t="s">
        <v>135</v>
      </c>
      <c r="G724" s="16" t="s">
        <v>1557</v>
      </c>
      <c r="I724" s="16" t="s">
        <v>389</v>
      </c>
    </row>
    <row r="725" spans="1:10" hidden="1" x14ac:dyDescent="0.35">
      <c r="A725" s="16">
        <v>69</v>
      </c>
      <c r="B725" s="16" t="s">
        <v>173</v>
      </c>
      <c r="C725" s="16" t="s">
        <v>633</v>
      </c>
      <c r="D725" s="16" t="s">
        <v>124</v>
      </c>
      <c r="E725" s="16" t="s">
        <v>559</v>
      </c>
      <c r="F725" s="16" t="s">
        <v>135</v>
      </c>
      <c r="G725" s="16" t="s">
        <v>1557</v>
      </c>
      <c r="I725" s="16" t="s">
        <v>389</v>
      </c>
    </row>
    <row r="726" spans="1:10" hidden="1" x14ac:dyDescent="0.35">
      <c r="A726" s="16">
        <v>69</v>
      </c>
      <c r="B726" s="16" t="s">
        <v>1092</v>
      </c>
      <c r="C726" s="16" t="s">
        <v>637</v>
      </c>
      <c r="D726" s="16" t="s">
        <v>198</v>
      </c>
      <c r="E726" s="16" t="s">
        <v>539</v>
      </c>
      <c r="F726" s="16" t="s">
        <v>1558</v>
      </c>
      <c r="G726" s="16" t="s">
        <v>1557</v>
      </c>
      <c r="I726" s="16" t="s">
        <v>389</v>
      </c>
    </row>
    <row r="727" spans="1:10" hidden="1" x14ac:dyDescent="0.35">
      <c r="A727" s="16">
        <v>69</v>
      </c>
      <c r="B727" s="16" t="s">
        <v>1554</v>
      </c>
      <c r="C727" s="16" t="s">
        <v>629</v>
      </c>
      <c r="D727" s="16" t="s">
        <v>198</v>
      </c>
      <c r="E727" s="16" t="s">
        <v>538</v>
      </c>
      <c r="F727" s="16" t="s">
        <v>122</v>
      </c>
      <c r="G727" s="16" t="s">
        <v>1557</v>
      </c>
      <c r="I727" s="16" t="s">
        <v>389</v>
      </c>
      <c r="J727" s="16" t="s">
        <v>1555</v>
      </c>
    </row>
    <row r="728" spans="1:10" hidden="1" x14ac:dyDescent="0.35">
      <c r="A728" s="16">
        <v>69</v>
      </c>
      <c r="B728" s="16" t="s">
        <v>1559</v>
      </c>
      <c r="C728" s="16" t="s">
        <v>1560</v>
      </c>
      <c r="D728" s="16" t="s">
        <v>198</v>
      </c>
      <c r="E728" s="16" t="s">
        <v>538</v>
      </c>
      <c r="F728" s="16" t="s">
        <v>1558</v>
      </c>
      <c r="G728" s="16" t="s">
        <v>1557</v>
      </c>
      <c r="I728" s="16" t="s">
        <v>389</v>
      </c>
    </row>
    <row r="729" spans="1:10" hidden="1" x14ac:dyDescent="0.35">
      <c r="A729" s="16">
        <v>69</v>
      </c>
      <c r="B729" s="16" t="s">
        <v>1561</v>
      </c>
      <c r="C729" s="16" t="s">
        <v>629</v>
      </c>
      <c r="D729" s="16" t="s">
        <v>198</v>
      </c>
      <c r="E729" s="16" t="s">
        <v>538</v>
      </c>
      <c r="F729" s="16" t="s">
        <v>1558</v>
      </c>
      <c r="G729" s="16" t="s">
        <v>1557</v>
      </c>
      <c r="I729" s="16" t="s">
        <v>389</v>
      </c>
    </row>
    <row r="730" spans="1:10" hidden="1" x14ac:dyDescent="0.35">
      <c r="A730" s="16">
        <v>69</v>
      </c>
      <c r="B730" s="16" t="s">
        <v>1562</v>
      </c>
      <c r="C730" s="16" t="s">
        <v>629</v>
      </c>
      <c r="D730" s="16" t="s">
        <v>198</v>
      </c>
      <c r="E730" s="16" t="s">
        <v>538</v>
      </c>
      <c r="F730" s="16" t="s">
        <v>1558</v>
      </c>
      <c r="G730" s="16" t="s">
        <v>1557</v>
      </c>
      <c r="I730" s="16" t="s">
        <v>389</v>
      </c>
    </row>
    <row r="731" spans="1:10" hidden="1" x14ac:dyDescent="0.35">
      <c r="A731" s="16">
        <v>69</v>
      </c>
      <c r="B731" s="16" t="s">
        <v>1563</v>
      </c>
      <c r="C731" s="16" t="s">
        <v>629</v>
      </c>
      <c r="D731" s="16" t="s">
        <v>198</v>
      </c>
      <c r="E731" s="16" t="s">
        <v>538</v>
      </c>
      <c r="F731" s="16" t="s">
        <v>1558</v>
      </c>
      <c r="G731" s="16" t="s">
        <v>1557</v>
      </c>
      <c r="I731" s="16" t="s">
        <v>389</v>
      </c>
    </row>
    <row r="732" spans="1:10" hidden="1" x14ac:dyDescent="0.35">
      <c r="A732" s="16">
        <v>69</v>
      </c>
      <c r="B732" s="16" t="s">
        <v>1564</v>
      </c>
      <c r="C732" s="16" t="s">
        <v>629</v>
      </c>
      <c r="D732" s="16" t="s">
        <v>198</v>
      </c>
      <c r="E732" s="16" t="s">
        <v>538</v>
      </c>
      <c r="F732" s="16" t="s">
        <v>1558</v>
      </c>
      <c r="G732" s="16" t="s">
        <v>1557</v>
      </c>
      <c r="I732" s="16" t="s">
        <v>389</v>
      </c>
    </row>
    <row r="733" spans="1:10" hidden="1" x14ac:dyDescent="0.35">
      <c r="A733" s="16">
        <v>69</v>
      </c>
      <c r="B733" s="16" t="s">
        <v>1565</v>
      </c>
      <c r="C733" s="16" t="s">
        <v>686</v>
      </c>
      <c r="D733" s="16" t="s">
        <v>198</v>
      </c>
      <c r="E733" s="16" t="s">
        <v>536</v>
      </c>
      <c r="F733" s="16" t="s">
        <v>1558</v>
      </c>
      <c r="G733" s="16" t="s">
        <v>1557</v>
      </c>
      <c r="I733" s="16" t="s">
        <v>1330</v>
      </c>
    </row>
    <row r="734" spans="1:10" hidden="1" x14ac:dyDescent="0.35">
      <c r="A734" s="16">
        <v>69</v>
      </c>
      <c r="B734" s="16" t="s">
        <v>1566</v>
      </c>
      <c r="C734" s="16" t="s">
        <v>686</v>
      </c>
      <c r="D734" s="16" t="s">
        <v>124</v>
      </c>
      <c r="E734" s="16" t="s">
        <v>536</v>
      </c>
      <c r="F734" s="16" t="s">
        <v>135</v>
      </c>
      <c r="G734" s="16" t="s">
        <v>1557</v>
      </c>
      <c r="I734" s="16" t="s">
        <v>1330</v>
      </c>
    </row>
    <row r="735" spans="1:10" hidden="1" x14ac:dyDescent="0.35">
      <c r="A735" s="16">
        <v>463</v>
      </c>
      <c r="B735" s="16" t="s">
        <v>1572</v>
      </c>
      <c r="C735" s="16" t="s">
        <v>1579</v>
      </c>
      <c r="D735" s="16" t="s">
        <v>130</v>
      </c>
      <c r="E735" s="16" t="s">
        <v>1126</v>
      </c>
      <c r="F735" s="16" t="s">
        <v>1571</v>
      </c>
      <c r="G735" s="16" t="s">
        <v>1570</v>
      </c>
      <c r="I735" s="16" t="s">
        <v>1578</v>
      </c>
    </row>
    <row r="736" spans="1:10" hidden="1" x14ac:dyDescent="0.35">
      <c r="A736" s="16">
        <v>463</v>
      </c>
      <c r="B736" s="16" t="s">
        <v>1573</v>
      </c>
      <c r="C736" s="16" t="s">
        <v>1580</v>
      </c>
      <c r="D736" s="16" t="s">
        <v>130</v>
      </c>
      <c r="E736" s="16" t="s">
        <v>1126</v>
      </c>
      <c r="F736" s="16" t="s">
        <v>1571</v>
      </c>
      <c r="G736" s="16" t="s">
        <v>1570</v>
      </c>
      <c r="I736" s="16" t="s">
        <v>1578</v>
      </c>
    </row>
    <row r="737" spans="1:10" hidden="1" x14ac:dyDescent="0.35">
      <c r="A737" s="16">
        <v>463</v>
      </c>
      <c r="B737" s="16" t="s">
        <v>1574</v>
      </c>
      <c r="C737" s="16" t="s">
        <v>1580</v>
      </c>
      <c r="D737" s="16" t="s">
        <v>130</v>
      </c>
      <c r="E737" s="16" t="s">
        <v>1126</v>
      </c>
      <c r="F737" s="16" t="s">
        <v>1571</v>
      </c>
      <c r="G737" s="16" t="s">
        <v>1570</v>
      </c>
      <c r="I737" s="16" t="s">
        <v>1578</v>
      </c>
    </row>
    <row r="738" spans="1:10" hidden="1" x14ac:dyDescent="0.35">
      <c r="A738" s="16">
        <v>463</v>
      </c>
      <c r="B738" s="16" t="s">
        <v>1575</v>
      </c>
      <c r="C738" s="16" t="s">
        <v>1581</v>
      </c>
      <c r="D738" s="16" t="s">
        <v>130</v>
      </c>
      <c r="E738" s="16" t="s">
        <v>1126</v>
      </c>
      <c r="F738" s="16" t="s">
        <v>1571</v>
      </c>
      <c r="G738" s="16" t="s">
        <v>1570</v>
      </c>
      <c r="I738" s="16" t="s">
        <v>1578</v>
      </c>
    </row>
    <row r="739" spans="1:10" hidden="1" x14ac:dyDescent="0.35">
      <c r="A739" s="16">
        <v>463</v>
      </c>
      <c r="B739" s="16" t="s">
        <v>1585</v>
      </c>
      <c r="C739" s="16" t="s">
        <v>1583</v>
      </c>
      <c r="D739" s="16" t="s">
        <v>130</v>
      </c>
      <c r="E739" s="16" t="s">
        <v>538</v>
      </c>
      <c r="F739" s="16" t="s">
        <v>1571</v>
      </c>
      <c r="G739" s="16" t="s">
        <v>1570</v>
      </c>
      <c r="I739" s="16" t="s">
        <v>1578</v>
      </c>
      <c r="J739" s="16" t="s">
        <v>1584</v>
      </c>
    </row>
    <row r="740" spans="1:10" hidden="1" x14ac:dyDescent="0.35">
      <c r="A740" s="16">
        <v>463</v>
      </c>
      <c r="B740" s="16" t="s">
        <v>1586</v>
      </c>
      <c r="C740" s="16" t="s">
        <v>1583</v>
      </c>
      <c r="D740" s="16" t="s">
        <v>130</v>
      </c>
      <c r="E740" s="16" t="s">
        <v>538</v>
      </c>
      <c r="F740" s="16" t="s">
        <v>1571</v>
      </c>
      <c r="G740" s="16" t="s">
        <v>1570</v>
      </c>
      <c r="I740" s="16" t="s">
        <v>1578</v>
      </c>
    </row>
    <row r="741" spans="1:10" hidden="1" x14ac:dyDescent="0.35">
      <c r="A741" s="16">
        <v>463</v>
      </c>
      <c r="B741" s="16" t="s">
        <v>1576</v>
      </c>
      <c r="C741" s="16" t="s">
        <v>1582</v>
      </c>
      <c r="D741" s="16" t="s">
        <v>130</v>
      </c>
      <c r="E741" s="16" t="s">
        <v>539</v>
      </c>
      <c r="F741" s="16" t="s">
        <v>1571</v>
      </c>
      <c r="G741" s="16" t="s">
        <v>1570</v>
      </c>
      <c r="I741" s="16" t="s">
        <v>1578</v>
      </c>
    </row>
    <row r="742" spans="1:10" hidden="1" x14ac:dyDescent="0.35">
      <c r="A742" s="16">
        <v>463</v>
      </c>
      <c r="B742" s="16" t="s">
        <v>1577</v>
      </c>
      <c r="C742" s="16" t="s">
        <v>1582</v>
      </c>
      <c r="D742" s="16" t="s">
        <v>130</v>
      </c>
      <c r="E742" s="16" t="s">
        <v>539</v>
      </c>
      <c r="F742" s="16" t="s">
        <v>1571</v>
      </c>
      <c r="G742" s="16" t="s">
        <v>1570</v>
      </c>
      <c r="I742" s="16" t="s">
        <v>1578</v>
      </c>
    </row>
    <row r="743" spans="1:10" hidden="1" x14ac:dyDescent="0.35">
      <c r="A743" s="16">
        <v>555</v>
      </c>
      <c r="B743" s="16" t="s">
        <v>134</v>
      </c>
      <c r="C743" s="16" t="s">
        <v>1589</v>
      </c>
      <c r="D743" s="16" t="s">
        <v>124</v>
      </c>
      <c r="E743" s="16" t="s">
        <v>536</v>
      </c>
      <c r="F743" s="16" t="s">
        <v>28</v>
      </c>
      <c r="G743" s="16" t="s">
        <v>1590</v>
      </c>
      <c r="I743" s="16" t="s">
        <v>1330</v>
      </c>
    </row>
    <row r="744" spans="1:10" hidden="1" x14ac:dyDescent="0.35">
      <c r="A744" s="16">
        <v>905</v>
      </c>
      <c r="B744" s="16" t="s">
        <v>1593</v>
      </c>
      <c r="C744" s="16" t="s">
        <v>1594</v>
      </c>
      <c r="D744" s="16" t="s">
        <v>124</v>
      </c>
      <c r="E744" s="16" t="s">
        <v>1595</v>
      </c>
      <c r="F744" s="16" t="s">
        <v>28</v>
      </c>
      <c r="G744" s="16">
        <v>1995</v>
      </c>
      <c r="I744" s="50" t="s">
        <v>1596</v>
      </c>
    </row>
    <row r="745" spans="1:10" hidden="1" x14ac:dyDescent="0.35">
      <c r="A745" s="16">
        <v>362</v>
      </c>
      <c r="B745" s="16" t="s">
        <v>138</v>
      </c>
      <c r="C745" s="16" t="s">
        <v>634</v>
      </c>
      <c r="D745" s="16" t="s">
        <v>130</v>
      </c>
      <c r="E745" s="16" t="s">
        <v>809</v>
      </c>
      <c r="F745" s="16" t="s">
        <v>135</v>
      </c>
      <c r="G745" s="16" t="s">
        <v>1615</v>
      </c>
      <c r="I745" s="16" t="s">
        <v>1606</v>
      </c>
    </row>
    <row r="746" spans="1:10" hidden="1" x14ac:dyDescent="0.35">
      <c r="A746" s="16">
        <v>362</v>
      </c>
      <c r="B746" s="16" t="s">
        <v>1598</v>
      </c>
      <c r="C746" s="16" t="s">
        <v>633</v>
      </c>
      <c r="D746" s="16" t="s">
        <v>130</v>
      </c>
      <c r="E746" s="16" t="s">
        <v>559</v>
      </c>
      <c r="F746" s="16" t="s">
        <v>1599</v>
      </c>
      <c r="G746" s="16" t="s">
        <v>1439</v>
      </c>
      <c r="I746" s="16" t="s">
        <v>1610</v>
      </c>
      <c r="J746" s="16" t="s">
        <v>2636</v>
      </c>
    </row>
    <row r="747" spans="1:10" hidden="1" x14ac:dyDescent="0.35">
      <c r="A747" s="16">
        <v>362</v>
      </c>
      <c r="B747" s="16" t="s">
        <v>1600</v>
      </c>
      <c r="C747" s="16" t="s">
        <v>633</v>
      </c>
      <c r="D747" s="16" t="s">
        <v>130</v>
      </c>
      <c r="E747" s="16" t="s">
        <v>809</v>
      </c>
      <c r="F747" s="16" t="s">
        <v>1601</v>
      </c>
      <c r="G747" s="16" t="s">
        <v>1439</v>
      </c>
      <c r="I747" s="16" t="s">
        <v>1611</v>
      </c>
    </row>
    <row r="748" spans="1:10" hidden="1" x14ac:dyDescent="0.35">
      <c r="A748" s="16">
        <v>362</v>
      </c>
      <c r="B748" s="16" t="s">
        <v>140</v>
      </c>
      <c r="C748" s="16" t="s">
        <v>1614</v>
      </c>
      <c r="D748" s="16" t="s">
        <v>130</v>
      </c>
      <c r="E748" s="16" t="s">
        <v>809</v>
      </c>
      <c r="F748" s="16" t="s">
        <v>1603</v>
      </c>
      <c r="G748" s="16" t="s">
        <v>1602</v>
      </c>
      <c r="I748" s="16" t="s">
        <v>1612</v>
      </c>
      <c r="J748" s="16" t="s">
        <v>1613</v>
      </c>
    </row>
    <row r="749" spans="1:10" hidden="1" x14ac:dyDescent="0.35">
      <c r="A749" s="16">
        <v>362</v>
      </c>
      <c r="B749" s="16" t="s">
        <v>189</v>
      </c>
      <c r="C749" s="16" t="s">
        <v>656</v>
      </c>
      <c r="D749" s="16" t="s">
        <v>130</v>
      </c>
      <c r="E749" s="16" t="s">
        <v>1021</v>
      </c>
      <c r="F749" s="16" t="s">
        <v>1604</v>
      </c>
      <c r="G749" s="16" t="s">
        <v>1615</v>
      </c>
      <c r="I749" s="16" t="s">
        <v>1608</v>
      </c>
    </row>
    <row r="750" spans="1:10" hidden="1" x14ac:dyDescent="0.35">
      <c r="A750" s="16">
        <v>362</v>
      </c>
      <c r="B750" s="16" t="s">
        <v>1605</v>
      </c>
      <c r="C750" s="16" t="s">
        <v>682</v>
      </c>
      <c r="D750" s="16" t="s">
        <v>130</v>
      </c>
      <c r="E750" s="16" t="s">
        <v>1021</v>
      </c>
      <c r="F750" s="16" t="s">
        <v>1604</v>
      </c>
      <c r="G750" s="16" t="s">
        <v>1615</v>
      </c>
      <c r="I750" s="16" t="s">
        <v>1609</v>
      </c>
    </row>
    <row r="751" spans="1:10" hidden="1" x14ac:dyDescent="0.35">
      <c r="A751" s="16">
        <v>362</v>
      </c>
      <c r="B751" s="16" t="s">
        <v>1607</v>
      </c>
      <c r="C751" s="16" t="s">
        <v>682</v>
      </c>
      <c r="D751" s="16" t="s">
        <v>130</v>
      </c>
      <c r="E751" s="16" t="s">
        <v>1021</v>
      </c>
      <c r="F751" s="16" t="s">
        <v>1604</v>
      </c>
      <c r="G751" s="16" t="s">
        <v>1615</v>
      </c>
      <c r="I751" s="16" t="s">
        <v>1608</v>
      </c>
    </row>
    <row r="752" spans="1:10" hidden="1" x14ac:dyDescent="0.35">
      <c r="A752" s="16">
        <v>526</v>
      </c>
      <c r="B752" s="16" t="s">
        <v>1621</v>
      </c>
      <c r="C752" s="16" t="s">
        <v>633</v>
      </c>
      <c r="D752" s="16" t="s">
        <v>130</v>
      </c>
      <c r="E752" s="16" t="s">
        <v>1021</v>
      </c>
      <c r="F752" s="16" t="s">
        <v>1622</v>
      </c>
      <c r="G752" s="16">
        <v>2009</v>
      </c>
      <c r="H752" s="50" t="s">
        <v>404</v>
      </c>
      <c r="I752" s="16" t="s">
        <v>1625</v>
      </c>
    </row>
    <row r="753" spans="1:10" hidden="1" x14ac:dyDescent="0.35">
      <c r="A753" s="16">
        <v>526</v>
      </c>
      <c r="B753" s="16" t="s">
        <v>1626</v>
      </c>
      <c r="C753" s="16" t="s">
        <v>633</v>
      </c>
      <c r="D753" s="16" t="s">
        <v>130</v>
      </c>
      <c r="E753" s="16" t="s">
        <v>813</v>
      </c>
      <c r="F753" s="16" t="s">
        <v>1623</v>
      </c>
      <c r="G753" s="16">
        <v>2009</v>
      </c>
      <c r="H753" s="50" t="s">
        <v>404</v>
      </c>
      <c r="I753" s="16" t="s">
        <v>1624</v>
      </c>
    </row>
    <row r="754" spans="1:10" hidden="1" x14ac:dyDescent="0.35">
      <c r="A754" s="16">
        <v>956</v>
      </c>
      <c r="B754" s="16" t="s">
        <v>1629</v>
      </c>
      <c r="C754" s="16" t="s">
        <v>1632</v>
      </c>
      <c r="D754" s="16" t="s">
        <v>198</v>
      </c>
      <c r="E754" s="16" t="s">
        <v>559</v>
      </c>
      <c r="F754" s="16" t="s">
        <v>1628</v>
      </c>
      <c r="G754" s="16" t="s">
        <v>1477</v>
      </c>
      <c r="I754" s="16" t="s">
        <v>1635</v>
      </c>
      <c r="J754" s="16" t="s">
        <v>1637</v>
      </c>
    </row>
    <row r="755" spans="1:10" hidden="1" x14ac:dyDescent="0.35">
      <c r="A755" s="16">
        <v>956</v>
      </c>
      <c r="B755" s="16" t="s">
        <v>1630</v>
      </c>
      <c r="C755" s="16" t="s">
        <v>1632</v>
      </c>
      <c r="D755" s="16" t="s">
        <v>198</v>
      </c>
      <c r="E755" s="16" t="s">
        <v>559</v>
      </c>
      <c r="F755" s="16" t="s">
        <v>1628</v>
      </c>
      <c r="G755" s="16" t="s">
        <v>1477</v>
      </c>
      <c r="I755" s="16" t="s">
        <v>1634</v>
      </c>
      <c r="J755" s="16" t="s">
        <v>1638</v>
      </c>
    </row>
    <row r="756" spans="1:10" hidden="1" x14ac:dyDescent="0.35">
      <c r="A756" s="16">
        <v>956</v>
      </c>
      <c r="B756" s="16" t="s">
        <v>1631</v>
      </c>
      <c r="C756" s="16" t="s">
        <v>1632</v>
      </c>
      <c r="D756" s="16" t="s">
        <v>198</v>
      </c>
      <c r="E756" s="16" t="s">
        <v>559</v>
      </c>
      <c r="F756" s="16" t="s">
        <v>1628</v>
      </c>
      <c r="G756" s="16" t="s">
        <v>1477</v>
      </c>
      <c r="I756" s="16" t="s">
        <v>1636</v>
      </c>
      <c r="J756" s="16" t="s">
        <v>1637</v>
      </c>
    </row>
    <row r="757" spans="1:10" hidden="1" x14ac:dyDescent="0.35">
      <c r="A757" s="16">
        <v>956</v>
      </c>
      <c r="B757" s="16" t="s">
        <v>1639</v>
      </c>
      <c r="C757" s="16" t="s">
        <v>1632</v>
      </c>
      <c r="D757" s="16" t="s">
        <v>198</v>
      </c>
      <c r="E757" s="16" t="s">
        <v>559</v>
      </c>
      <c r="F757" s="16" t="s">
        <v>1628</v>
      </c>
      <c r="G757" s="16" t="s">
        <v>1477</v>
      </c>
      <c r="I757" s="16" t="s">
        <v>1633</v>
      </c>
      <c r="J757" s="16" t="s">
        <v>1637</v>
      </c>
    </row>
    <row r="758" spans="1:10" hidden="1" x14ac:dyDescent="0.35">
      <c r="A758" s="16">
        <v>956</v>
      </c>
      <c r="B758" s="16" t="s">
        <v>1640</v>
      </c>
      <c r="C758" s="16" t="s">
        <v>1632</v>
      </c>
      <c r="D758" s="16" t="s">
        <v>198</v>
      </c>
      <c r="E758" s="16" t="s">
        <v>559</v>
      </c>
      <c r="F758" s="16" t="s">
        <v>1628</v>
      </c>
      <c r="G758" s="16" t="s">
        <v>1477</v>
      </c>
      <c r="I758" s="16" t="s">
        <v>1633</v>
      </c>
      <c r="J758" s="16" t="s">
        <v>1637</v>
      </c>
    </row>
    <row r="759" spans="1:10" hidden="1" x14ac:dyDescent="0.35">
      <c r="A759" s="16">
        <v>956</v>
      </c>
      <c r="B759" s="16" t="s">
        <v>1641</v>
      </c>
      <c r="C759" s="16" t="s">
        <v>1632</v>
      </c>
      <c r="D759" s="16" t="s">
        <v>198</v>
      </c>
      <c r="E759" s="16" t="s">
        <v>559</v>
      </c>
      <c r="F759" s="16" t="s">
        <v>1628</v>
      </c>
      <c r="G759" s="16" t="s">
        <v>1477</v>
      </c>
      <c r="I759" s="16" t="s">
        <v>1633</v>
      </c>
      <c r="J759" s="16" t="s">
        <v>1637</v>
      </c>
    </row>
    <row r="760" spans="1:10" hidden="1" x14ac:dyDescent="0.35">
      <c r="A760" s="16">
        <v>956</v>
      </c>
      <c r="B760" s="16" t="s">
        <v>1642</v>
      </c>
      <c r="C760" s="16" t="s">
        <v>1632</v>
      </c>
      <c r="D760" s="16" t="s">
        <v>198</v>
      </c>
      <c r="E760" s="16" t="s">
        <v>559</v>
      </c>
      <c r="F760" s="16" t="s">
        <v>1628</v>
      </c>
      <c r="G760" s="16" t="s">
        <v>1477</v>
      </c>
      <c r="I760" s="16" t="s">
        <v>1633</v>
      </c>
      <c r="J760" s="16" t="s">
        <v>1637</v>
      </c>
    </row>
    <row r="761" spans="1:10" hidden="1" x14ac:dyDescent="0.35">
      <c r="A761" s="16">
        <v>309</v>
      </c>
      <c r="B761" s="16" t="s">
        <v>1644</v>
      </c>
      <c r="C761" s="16" t="s">
        <v>1645</v>
      </c>
      <c r="D761" s="16" t="s">
        <v>124</v>
      </c>
      <c r="E761" s="16" t="s">
        <v>536</v>
      </c>
      <c r="F761" s="16" t="s">
        <v>547</v>
      </c>
      <c r="G761" s="16">
        <f>1998+15</f>
        <v>2013</v>
      </c>
      <c r="I761" s="16" t="s">
        <v>1646</v>
      </c>
    </row>
    <row r="762" spans="1:10" x14ac:dyDescent="0.35">
      <c r="A762" s="16">
        <v>236</v>
      </c>
      <c r="B762" s="16" t="s">
        <v>138</v>
      </c>
      <c r="C762" s="16" t="s">
        <v>634</v>
      </c>
      <c r="D762" s="16" t="s">
        <v>130</v>
      </c>
      <c r="E762" s="16" t="s">
        <v>809</v>
      </c>
      <c r="F762" s="16" t="s">
        <v>1651</v>
      </c>
      <c r="G762" s="16">
        <v>2020</v>
      </c>
      <c r="H762" s="50" t="s">
        <v>405</v>
      </c>
      <c r="I762" s="16" t="s">
        <v>1652</v>
      </c>
    </row>
    <row r="763" spans="1:10" x14ac:dyDescent="0.35">
      <c r="A763" s="16">
        <v>236</v>
      </c>
      <c r="B763" s="16" t="s">
        <v>1649</v>
      </c>
      <c r="C763" s="16" t="s">
        <v>633</v>
      </c>
      <c r="D763" s="16" t="s">
        <v>130</v>
      </c>
      <c r="E763" s="16" t="s">
        <v>809</v>
      </c>
      <c r="F763" s="16" t="s">
        <v>1651</v>
      </c>
      <c r="G763" s="16">
        <v>2020</v>
      </c>
      <c r="H763" s="50" t="s">
        <v>405</v>
      </c>
      <c r="I763" s="16" t="s">
        <v>1652</v>
      </c>
    </row>
    <row r="764" spans="1:10" x14ac:dyDescent="0.35">
      <c r="A764" s="16">
        <v>236</v>
      </c>
      <c r="B764" s="16" t="s">
        <v>1650</v>
      </c>
      <c r="C764" s="16" t="s">
        <v>633</v>
      </c>
      <c r="D764" s="16" t="s">
        <v>130</v>
      </c>
      <c r="E764" s="16" t="s">
        <v>809</v>
      </c>
      <c r="F764" s="16" t="s">
        <v>1651</v>
      </c>
      <c r="G764" s="16">
        <v>2020</v>
      </c>
      <c r="H764" s="50" t="s">
        <v>405</v>
      </c>
      <c r="I764" s="16" t="s">
        <v>1652</v>
      </c>
    </row>
    <row r="765" spans="1:10" x14ac:dyDescent="0.35">
      <c r="A765" s="16">
        <v>236</v>
      </c>
      <c r="B765" s="16" t="s">
        <v>286</v>
      </c>
      <c r="C765" s="16" t="s">
        <v>673</v>
      </c>
      <c r="D765" s="16" t="s">
        <v>130</v>
      </c>
      <c r="E765" s="16" t="s">
        <v>813</v>
      </c>
      <c r="F765" s="16" t="s">
        <v>1651</v>
      </c>
      <c r="G765" s="16">
        <v>2020</v>
      </c>
      <c r="H765" s="50" t="s">
        <v>405</v>
      </c>
      <c r="I765" s="16" t="s">
        <v>1652</v>
      </c>
    </row>
    <row r="766" spans="1:10" x14ac:dyDescent="0.35">
      <c r="A766" s="16">
        <v>236</v>
      </c>
      <c r="B766" s="16" t="s">
        <v>814</v>
      </c>
      <c r="C766" s="16" t="s">
        <v>1108</v>
      </c>
      <c r="D766" s="16" t="s">
        <v>130</v>
      </c>
      <c r="E766" s="16" t="s">
        <v>813</v>
      </c>
      <c r="F766" s="16" t="s">
        <v>1651</v>
      </c>
      <c r="G766" s="16">
        <v>2020</v>
      </c>
      <c r="H766" s="50" t="s">
        <v>405</v>
      </c>
      <c r="I766" s="16" t="s">
        <v>1652</v>
      </c>
    </row>
    <row r="767" spans="1:10" x14ac:dyDescent="0.35">
      <c r="A767" s="16">
        <v>236</v>
      </c>
      <c r="B767" s="16" t="s">
        <v>1196</v>
      </c>
      <c r="C767" s="16" t="s">
        <v>677</v>
      </c>
      <c r="D767" s="16" t="s">
        <v>130</v>
      </c>
      <c r="E767" s="16" t="s">
        <v>813</v>
      </c>
      <c r="F767" s="16" t="s">
        <v>1651</v>
      </c>
      <c r="G767" s="16">
        <v>2020</v>
      </c>
      <c r="H767" s="50" t="s">
        <v>405</v>
      </c>
      <c r="I767" s="16" t="s">
        <v>1652</v>
      </c>
    </row>
    <row r="768" spans="1:10" x14ac:dyDescent="0.35">
      <c r="A768" s="16">
        <v>236</v>
      </c>
      <c r="B768" s="16" t="s">
        <v>1653</v>
      </c>
      <c r="C768" s="16" t="s">
        <v>677</v>
      </c>
      <c r="D768" s="16" t="s">
        <v>130</v>
      </c>
      <c r="E768" s="16" t="s">
        <v>813</v>
      </c>
      <c r="F768" s="16" t="s">
        <v>1651</v>
      </c>
      <c r="G768" s="16">
        <v>2020</v>
      </c>
      <c r="H768" s="50" t="s">
        <v>405</v>
      </c>
      <c r="I768" s="16" t="s">
        <v>1652</v>
      </c>
    </row>
    <row r="769" spans="1:10" x14ac:dyDescent="0.35">
      <c r="A769" s="16">
        <v>236</v>
      </c>
      <c r="B769" s="16" t="s">
        <v>1197</v>
      </c>
      <c r="C769" s="16" t="s">
        <v>677</v>
      </c>
      <c r="D769" s="16" t="s">
        <v>130</v>
      </c>
      <c r="E769" s="16" t="s">
        <v>813</v>
      </c>
      <c r="F769" s="16" t="s">
        <v>1651</v>
      </c>
      <c r="G769" s="16">
        <v>2020</v>
      </c>
      <c r="H769" s="50" t="s">
        <v>405</v>
      </c>
      <c r="I769" s="16" t="s">
        <v>1652</v>
      </c>
    </row>
    <row r="770" spans="1:10" x14ac:dyDescent="0.35">
      <c r="A770" s="16">
        <v>236</v>
      </c>
      <c r="B770" s="16" t="s">
        <v>1079</v>
      </c>
      <c r="C770" s="16" t="s">
        <v>677</v>
      </c>
      <c r="D770" s="16" t="s">
        <v>130</v>
      </c>
      <c r="E770" s="16" t="s">
        <v>813</v>
      </c>
      <c r="F770" s="16" t="s">
        <v>1651</v>
      </c>
      <c r="G770" s="16">
        <v>2020</v>
      </c>
      <c r="H770" s="50" t="s">
        <v>405</v>
      </c>
      <c r="I770" s="16" t="s">
        <v>1652</v>
      </c>
    </row>
    <row r="771" spans="1:10" x14ac:dyDescent="0.35">
      <c r="A771" s="16">
        <v>236</v>
      </c>
      <c r="B771" s="16" t="s">
        <v>1654</v>
      </c>
      <c r="C771" s="16" t="s">
        <v>677</v>
      </c>
      <c r="D771" s="16" t="s">
        <v>130</v>
      </c>
      <c r="E771" s="16" t="s">
        <v>813</v>
      </c>
      <c r="F771" s="16" t="s">
        <v>1651</v>
      </c>
      <c r="G771" s="16">
        <v>2020</v>
      </c>
      <c r="H771" s="50" t="s">
        <v>405</v>
      </c>
      <c r="I771" s="16" t="s">
        <v>1652</v>
      </c>
    </row>
    <row r="772" spans="1:10" x14ac:dyDescent="0.35">
      <c r="A772" s="16">
        <v>236</v>
      </c>
      <c r="B772" s="16" t="s">
        <v>1655</v>
      </c>
      <c r="C772" s="16" t="s">
        <v>1656</v>
      </c>
      <c r="D772" s="16" t="s">
        <v>130</v>
      </c>
      <c r="E772" s="16" t="s">
        <v>813</v>
      </c>
      <c r="F772" s="16" t="s">
        <v>1651</v>
      </c>
      <c r="G772" s="16">
        <v>2020</v>
      </c>
      <c r="H772" s="50" t="s">
        <v>405</v>
      </c>
      <c r="I772" s="16" t="s">
        <v>1652</v>
      </c>
    </row>
    <row r="773" spans="1:10" x14ac:dyDescent="0.35">
      <c r="A773" s="16">
        <v>236</v>
      </c>
      <c r="B773" s="16" t="s">
        <v>1657</v>
      </c>
      <c r="C773" s="16" t="s">
        <v>1656</v>
      </c>
      <c r="D773" s="16" t="s">
        <v>130</v>
      </c>
      <c r="E773" s="16" t="s">
        <v>813</v>
      </c>
      <c r="F773" s="16" t="s">
        <v>1651</v>
      </c>
      <c r="G773" s="16">
        <v>2020</v>
      </c>
      <c r="H773" s="50" t="s">
        <v>405</v>
      </c>
      <c r="I773" s="16" t="s">
        <v>1652</v>
      </c>
    </row>
    <row r="774" spans="1:10" x14ac:dyDescent="0.35">
      <c r="A774" s="16">
        <v>236</v>
      </c>
      <c r="B774" s="16" t="s">
        <v>1658</v>
      </c>
      <c r="C774" s="16" t="s">
        <v>1656</v>
      </c>
      <c r="D774" s="16" t="s">
        <v>130</v>
      </c>
      <c r="E774" s="16" t="s">
        <v>813</v>
      </c>
      <c r="F774" s="16" t="s">
        <v>1651</v>
      </c>
      <c r="G774" s="16">
        <v>2020</v>
      </c>
      <c r="H774" s="50" t="s">
        <v>405</v>
      </c>
      <c r="I774" s="16" t="s">
        <v>1652</v>
      </c>
    </row>
    <row r="775" spans="1:10" x14ac:dyDescent="0.35">
      <c r="A775" s="16">
        <v>236</v>
      </c>
      <c r="B775" s="16" t="s">
        <v>1659</v>
      </c>
      <c r="C775" s="16" t="s">
        <v>1656</v>
      </c>
      <c r="D775" s="16" t="s">
        <v>130</v>
      </c>
      <c r="E775" s="16" t="s">
        <v>813</v>
      </c>
      <c r="F775" s="16" t="s">
        <v>1651</v>
      </c>
      <c r="G775" s="16">
        <v>2020</v>
      </c>
      <c r="H775" s="50" t="s">
        <v>405</v>
      </c>
      <c r="I775" s="16" t="s">
        <v>1652</v>
      </c>
    </row>
    <row r="776" spans="1:10" x14ac:dyDescent="0.35">
      <c r="A776" s="16">
        <v>236</v>
      </c>
      <c r="B776" s="16" t="s">
        <v>1660</v>
      </c>
      <c r="C776" s="16" t="s">
        <v>1656</v>
      </c>
      <c r="D776" s="16" t="s">
        <v>130</v>
      </c>
      <c r="E776" s="16" t="s">
        <v>813</v>
      </c>
      <c r="F776" s="16" t="s">
        <v>1651</v>
      </c>
      <c r="G776" s="16">
        <v>2020</v>
      </c>
      <c r="H776" s="50" t="s">
        <v>405</v>
      </c>
      <c r="I776" s="16" t="s">
        <v>1652</v>
      </c>
    </row>
    <row r="777" spans="1:10" x14ac:dyDescent="0.35">
      <c r="A777" s="16">
        <v>236</v>
      </c>
      <c r="B777" s="16" t="s">
        <v>1327</v>
      </c>
      <c r="C777" s="16" t="s">
        <v>1665</v>
      </c>
      <c r="D777" s="16" t="s">
        <v>130</v>
      </c>
      <c r="E777" s="16" t="s">
        <v>1126</v>
      </c>
      <c r="F777" s="16" t="s">
        <v>1651</v>
      </c>
      <c r="G777" s="16">
        <v>2020</v>
      </c>
      <c r="H777" s="50" t="s">
        <v>405</v>
      </c>
      <c r="I777" s="16" t="s">
        <v>1652</v>
      </c>
    </row>
    <row r="778" spans="1:10" x14ac:dyDescent="0.35">
      <c r="A778" s="16">
        <v>236</v>
      </c>
      <c r="B778" s="16" t="s">
        <v>1661</v>
      </c>
      <c r="C778" s="16" t="s">
        <v>1666</v>
      </c>
      <c r="D778" s="16" t="s">
        <v>130</v>
      </c>
      <c r="E778" s="16" t="s">
        <v>1126</v>
      </c>
      <c r="F778" s="16" t="s">
        <v>1651</v>
      </c>
      <c r="G778" s="16">
        <v>2020</v>
      </c>
      <c r="H778" s="50" t="s">
        <v>405</v>
      </c>
      <c r="I778" s="16" t="s">
        <v>1652</v>
      </c>
    </row>
    <row r="779" spans="1:10" x14ac:dyDescent="0.35">
      <c r="A779" s="16">
        <v>236</v>
      </c>
      <c r="B779" s="16" t="s">
        <v>1662</v>
      </c>
      <c r="C779" s="16" t="s">
        <v>1667</v>
      </c>
      <c r="D779" s="16" t="s">
        <v>130</v>
      </c>
      <c r="E779" s="16" t="s">
        <v>1126</v>
      </c>
      <c r="F779" s="16" t="s">
        <v>1651</v>
      </c>
      <c r="G779" s="16">
        <v>2020</v>
      </c>
      <c r="H779" s="50" t="s">
        <v>405</v>
      </c>
      <c r="I779" s="16" t="s">
        <v>1652</v>
      </c>
    </row>
    <row r="780" spans="1:10" x14ac:dyDescent="0.35">
      <c r="A780" s="16">
        <v>236</v>
      </c>
      <c r="B780" s="16" t="s">
        <v>1663</v>
      </c>
      <c r="C780" s="16" t="s">
        <v>1668</v>
      </c>
      <c r="D780" s="16" t="s">
        <v>130</v>
      </c>
      <c r="E780" s="16" t="s">
        <v>1126</v>
      </c>
      <c r="F780" s="16" t="s">
        <v>1651</v>
      </c>
      <c r="G780" s="16">
        <v>2020</v>
      </c>
      <c r="H780" s="50" t="s">
        <v>405</v>
      </c>
      <c r="I780" s="16" t="s">
        <v>1652</v>
      </c>
    </row>
    <row r="781" spans="1:10" x14ac:dyDescent="0.35">
      <c r="A781" s="16">
        <v>236</v>
      </c>
      <c r="B781" s="16" t="s">
        <v>1664</v>
      </c>
      <c r="C781" s="16" t="s">
        <v>1666</v>
      </c>
      <c r="D781" s="16" t="s">
        <v>130</v>
      </c>
      <c r="E781" s="16" t="s">
        <v>1126</v>
      </c>
      <c r="F781" s="16" t="s">
        <v>1651</v>
      </c>
      <c r="G781" s="16">
        <v>2020</v>
      </c>
      <c r="H781" s="50" t="s">
        <v>405</v>
      </c>
      <c r="I781" s="16" t="s">
        <v>1652</v>
      </c>
    </row>
    <row r="782" spans="1:10" hidden="1" x14ac:dyDescent="0.35">
      <c r="A782" s="16">
        <v>972</v>
      </c>
      <c r="B782" s="16" t="s">
        <v>1672</v>
      </c>
      <c r="C782" s="16" t="s">
        <v>1673</v>
      </c>
      <c r="D782" s="16" t="s">
        <v>124</v>
      </c>
      <c r="E782" s="16" t="s">
        <v>536</v>
      </c>
      <c r="F782" s="50" t="s">
        <v>1679</v>
      </c>
      <c r="G782" s="16" t="s">
        <v>1508</v>
      </c>
      <c r="I782" s="16" t="s">
        <v>1674</v>
      </c>
    </row>
    <row r="783" spans="1:10" hidden="1" x14ac:dyDescent="0.35">
      <c r="A783" s="16">
        <v>972</v>
      </c>
      <c r="B783" s="16" t="s">
        <v>1676</v>
      </c>
      <c r="C783" s="16" t="s">
        <v>633</v>
      </c>
      <c r="D783" s="16" t="s">
        <v>124</v>
      </c>
      <c r="E783" s="16" t="s">
        <v>559</v>
      </c>
      <c r="F783" s="50" t="s">
        <v>1680</v>
      </c>
      <c r="G783" s="16" t="s">
        <v>1678</v>
      </c>
      <c r="I783" s="16" t="s">
        <v>1674</v>
      </c>
    </row>
    <row r="784" spans="1:10" hidden="1" x14ac:dyDescent="0.35">
      <c r="A784" s="16">
        <v>972</v>
      </c>
      <c r="B784" s="16" t="s">
        <v>1675</v>
      </c>
      <c r="C784" s="16" t="s">
        <v>637</v>
      </c>
      <c r="D784" s="16" t="s">
        <v>124</v>
      </c>
      <c r="E784" s="16" t="s">
        <v>539</v>
      </c>
      <c r="F784" s="50" t="s">
        <v>135</v>
      </c>
      <c r="G784" s="16" t="s">
        <v>1508</v>
      </c>
      <c r="I784" s="16" t="s">
        <v>1674</v>
      </c>
      <c r="J784" s="16" t="s">
        <v>1677</v>
      </c>
    </row>
    <row r="785" spans="1:10" hidden="1" x14ac:dyDescent="0.35">
      <c r="A785" s="16">
        <v>212</v>
      </c>
      <c r="B785" s="16" t="s">
        <v>1684</v>
      </c>
      <c r="C785" s="16" t="s">
        <v>1685</v>
      </c>
      <c r="D785" s="16" t="s">
        <v>124</v>
      </c>
      <c r="E785" s="16" t="s">
        <v>1329</v>
      </c>
      <c r="F785" s="16" t="s">
        <v>28</v>
      </c>
      <c r="G785" s="16">
        <v>2004</v>
      </c>
      <c r="I785" s="16" t="s">
        <v>1686</v>
      </c>
    </row>
    <row r="786" spans="1:10" x14ac:dyDescent="0.35">
      <c r="A786" s="16">
        <v>212</v>
      </c>
      <c r="B786" s="16" t="s">
        <v>1687</v>
      </c>
      <c r="C786" s="16" t="s">
        <v>1685</v>
      </c>
      <c r="D786" s="16" t="s">
        <v>124</v>
      </c>
      <c r="E786" s="16" t="s">
        <v>1329</v>
      </c>
      <c r="F786" s="16" t="s">
        <v>28</v>
      </c>
      <c r="G786" s="16">
        <v>2005</v>
      </c>
      <c r="I786" s="16" t="s">
        <v>2634</v>
      </c>
      <c r="J786" s="16" t="s">
        <v>2633</v>
      </c>
    </row>
    <row r="787" spans="1:10" x14ac:dyDescent="0.35">
      <c r="A787" s="16">
        <v>785</v>
      </c>
      <c r="B787" s="16" t="s">
        <v>1689</v>
      </c>
      <c r="C787" s="16" t="s">
        <v>1690</v>
      </c>
      <c r="D787" s="16" t="s">
        <v>124</v>
      </c>
      <c r="E787" s="16" t="s">
        <v>1329</v>
      </c>
      <c r="F787" s="16" t="s">
        <v>28</v>
      </c>
      <c r="G787" s="16" t="s">
        <v>1369</v>
      </c>
      <c r="I787" s="16" t="s">
        <v>1692</v>
      </c>
      <c r="J787" s="16" t="s">
        <v>1691</v>
      </c>
    </row>
    <row r="788" spans="1:10" hidden="1" x14ac:dyDescent="0.35">
      <c r="A788" s="16">
        <v>814</v>
      </c>
      <c r="B788" s="16" t="s">
        <v>1694</v>
      </c>
      <c r="C788" s="16" t="s">
        <v>1697</v>
      </c>
      <c r="D788" s="16" t="s">
        <v>130</v>
      </c>
      <c r="E788" s="16" t="s">
        <v>539</v>
      </c>
      <c r="F788" s="16" t="s">
        <v>1700</v>
      </c>
      <c r="G788" s="16">
        <v>2008</v>
      </c>
      <c r="I788" s="16" t="s">
        <v>1701</v>
      </c>
    </row>
    <row r="789" spans="1:10" hidden="1" x14ac:dyDescent="0.35">
      <c r="A789" s="16">
        <v>814</v>
      </c>
      <c r="B789" s="16" t="s">
        <v>1695</v>
      </c>
      <c r="C789" s="16" t="s">
        <v>1698</v>
      </c>
      <c r="D789" s="16" t="s">
        <v>130</v>
      </c>
      <c r="E789" s="16" t="s">
        <v>539</v>
      </c>
      <c r="F789" s="16" t="s">
        <v>1700</v>
      </c>
      <c r="G789" s="16">
        <v>2008</v>
      </c>
      <c r="I789" s="16" t="s">
        <v>1701</v>
      </c>
    </row>
    <row r="790" spans="1:10" hidden="1" x14ac:dyDescent="0.35">
      <c r="A790" s="16">
        <v>814</v>
      </c>
      <c r="B790" s="16" t="s">
        <v>1696</v>
      </c>
      <c r="C790" s="16" t="s">
        <v>1699</v>
      </c>
      <c r="D790" s="16" t="s">
        <v>130</v>
      </c>
      <c r="E790" s="16" t="s">
        <v>539</v>
      </c>
      <c r="F790" s="16" t="s">
        <v>1700</v>
      </c>
      <c r="G790" s="16">
        <v>2008</v>
      </c>
      <c r="I790" s="16" t="s">
        <v>1701</v>
      </c>
    </row>
    <row r="791" spans="1:10" hidden="1" x14ac:dyDescent="0.35">
      <c r="A791" s="16">
        <v>814</v>
      </c>
      <c r="B791" s="16" t="s">
        <v>2570</v>
      </c>
      <c r="C791" s="16" t="s">
        <v>633</v>
      </c>
      <c r="D791" s="16" t="s">
        <v>130</v>
      </c>
      <c r="E791" s="16" t="s">
        <v>538</v>
      </c>
      <c r="F791" s="16" t="s">
        <v>1700</v>
      </c>
      <c r="G791" s="16">
        <v>2008</v>
      </c>
      <c r="I791" s="16" t="s">
        <v>1701</v>
      </c>
    </row>
    <row r="792" spans="1:10" hidden="1" x14ac:dyDescent="0.35">
      <c r="A792" s="16">
        <v>814</v>
      </c>
      <c r="B792" s="16" t="s">
        <v>2571</v>
      </c>
      <c r="C792" s="16" t="s">
        <v>633</v>
      </c>
      <c r="D792" s="16" t="s">
        <v>130</v>
      </c>
      <c r="E792" s="16" t="s">
        <v>538</v>
      </c>
      <c r="F792" s="16" t="s">
        <v>1700</v>
      </c>
      <c r="G792" s="16">
        <v>2008</v>
      </c>
      <c r="I792" s="16" t="s">
        <v>1701</v>
      </c>
    </row>
    <row r="793" spans="1:10" hidden="1" x14ac:dyDescent="0.35">
      <c r="A793" s="16">
        <v>814</v>
      </c>
      <c r="B793" s="16" t="s">
        <v>2572</v>
      </c>
      <c r="C793" s="16" t="s">
        <v>633</v>
      </c>
      <c r="D793" s="16" t="s">
        <v>130</v>
      </c>
      <c r="E793" s="16" t="s">
        <v>538</v>
      </c>
      <c r="F793" s="16" t="s">
        <v>1700</v>
      </c>
      <c r="G793" s="16">
        <v>2008</v>
      </c>
      <c r="I793" s="16" t="s">
        <v>1701</v>
      </c>
    </row>
    <row r="794" spans="1:10" hidden="1" x14ac:dyDescent="0.35">
      <c r="A794" s="16">
        <v>814</v>
      </c>
      <c r="B794" s="16" t="s">
        <v>2573</v>
      </c>
      <c r="C794" s="16" t="s">
        <v>633</v>
      </c>
      <c r="D794" s="16" t="s">
        <v>130</v>
      </c>
      <c r="E794" s="16" t="s">
        <v>538</v>
      </c>
      <c r="F794" s="16" t="s">
        <v>1700</v>
      </c>
      <c r="G794" s="16">
        <v>2008</v>
      </c>
      <c r="I794" s="16" t="s">
        <v>1701</v>
      </c>
    </row>
    <row r="795" spans="1:10" hidden="1" x14ac:dyDescent="0.35">
      <c r="A795" s="16">
        <v>814</v>
      </c>
      <c r="B795" s="16" t="s">
        <v>2574</v>
      </c>
      <c r="C795" s="16" t="s">
        <v>633</v>
      </c>
      <c r="D795" s="16" t="s">
        <v>130</v>
      </c>
      <c r="E795" s="16" t="s">
        <v>538</v>
      </c>
      <c r="F795" s="16" t="s">
        <v>1700</v>
      </c>
      <c r="G795" s="16">
        <v>2008</v>
      </c>
      <c r="I795" s="16" t="s">
        <v>1701</v>
      </c>
    </row>
    <row r="796" spans="1:10" hidden="1" x14ac:dyDescent="0.35">
      <c r="A796" s="16">
        <v>814</v>
      </c>
      <c r="B796" s="16" t="s">
        <v>2575</v>
      </c>
      <c r="C796" s="16" t="s">
        <v>633</v>
      </c>
      <c r="D796" s="16" t="s">
        <v>130</v>
      </c>
      <c r="E796" s="16" t="s">
        <v>538</v>
      </c>
      <c r="F796" s="16" t="s">
        <v>1700</v>
      </c>
      <c r="G796" s="16">
        <v>2008</v>
      </c>
      <c r="I796" s="16" t="s">
        <v>1701</v>
      </c>
    </row>
    <row r="797" spans="1:10" hidden="1" x14ac:dyDescent="0.35">
      <c r="A797" s="16">
        <v>814</v>
      </c>
      <c r="B797" s="16" t="s">
        <v>2576</v>
      </c>
      <c r="C797" s="16" t="s">
        <v>633</v>
      </c>
      <c r="D797" s="16" t="s">
        <v>130</v>
      </c>
      <c r="E797" s="16" t="s">
        <v>538</v>
      </c>
      <c r="F797" s="16" t="s">
        <v>1700</v>
      </c>
      <c r="G797" s="16">
        <v>2008</v>
      </c>
      <c r="I797" s="16" t="s">
        <v>1701</v>
      </c>
    </row>
    <row r="798" spans="1:10" hidden="1" x14ac:dyDescent="0.35">
      <c r="A798" s="16">
        <v>814</v>
      </c>
      <c r="B798" s="16" t="s">
        <v>2577</v>
      </c>
      <c r="C798" s="16" t="s">
        <v>633</v>
      </c>
      <c r="D798" s="16" t="s">
        <v>130</v>
      </c>
      <c r="E798" s="16" t="s">
        <v>538</v>
      </c>
      <c r="F798" s="16" t="s">
        <v>1700</v>
      </c>
      <c r="G798" s="16">
        <v>2008</v>
      </c>
      <c r="I798" s="16" t="s">
        <v>1701</v>
      </c>
    </row>
    <row r="799" spans="1:10" hidden="1" x14ac:dyDescent="0.35">
      <c r="A799" s="16">
        <v>814</v>
      </c>
      <c r="B799" s="16" t="s">
        <v>2578</v>
      </c>
      <c r="C799" s="16" t="s">
        <v>633</v>
      </c>
      <c r="D799" s="16" t="s">
        <v>130</v>
      </c>
      <c r="E799" s="16" t="s">
        <v>538</v>
      </c>
      <c r="F799" s="16" t="s">
        <v>1700</v>
      </c>
      <c r="G799" s="16">
        <v>2008</v>
      </c>
      <c r="I799" s="16" t="s">
        <v>1701</v>
      </c>
    </row>
    <row r="800" spans="1:10" hidden="1" x14ac:dyDescent="0.35">
      <c r="A800" s="16">
        <v>814</v>
      </c>
      <c r="B800" s="16" t="s">
        <v>2579</v>
      </c>
      <c r="C800" s="16" t="s">
        <v>633</v>
      </c>
      <c r="D800" s="16" t="s">
        <v>130</v>
      </c>
      <c r="E800" s="16" t="s">
        <v>538</v>
      </c>
      <c r="F800" s="16" t="s">
        <v>1700</v>
      </c>
      <c r="G800" s="16">
        <v>2008</v>
      </c>
      <c r="I800" s="16" t="s">
        <v>1701</v>
      </c>
    </row>
    <row r="801" spans="1:9" hidden="1" x14ac:dyDescent="0.35">
      <c r="A801" s="16">
        <v>814</v>
      </c>
      <c r="B801" s="16" t="s">
        <v>1702</v>
      </c>
      <c r="C801" s="16" t="s">
        <v>1703</v>
      </c>
      <c r="D801" s="16" t="s">
        <v>130</v>
      </c>
      <c r="E801" s="16" t="s">
        <v>1118</v>
      </c>
      <c r="F801" s="16" t="s">
        <v>1700</v>
      </c>
      <c r="G801" s="16">
        <v>2008</v>
      </c>
      <c r="I801" s="16" t="s">
        <v>962</v>
      </c>
    </row>
    <row r="802" spans="1:9" hidden="1" x14ac:dyDescent="0.35">
      <c r="A802" s="16">
        <v>814</v>
      </c>
      <c r="B802" s="16" t="s">
        <v>2580</v>
      </c>
      <c r="C802" s="16" t="s">
        <v>1703</v>
      </c>
      <c r="D802" s="16" t="s">
        <v>130</v>
      </c>
      <c r="E802" s="16" t="s">
        <v>1118</v>
      </c>
      <c r="F802" s="16" t="s">
        <v>1700</v>
      </c>
      <c r="G802" s="16">
        <v>2008</v>
      </c>
      <c r="I802" s="16" t="s">
        <v>962</v>
      </c>
    </row>
    <row r="803" spans="1:9" hidden="1" x14ac:dyDescent="0.35">
      <c r="A803" s="16">
        <v>814</v>
      </c>
      <c r="B803" s="16" t="s">
        <v>134</v>
      </c>
      <c r="C803" s="16" t="s">
        <v>1704</v>
      </c>
      <c r="D803" s="16" t="s">
        <v>124</v>
      </c>
      <c r="E803" s="16" t="s">
        <v>1329</v>
      </c>
      <c r="F803" s="16" t="s">
        <v>28</v>
      </c>
      <c r="G803" s="16">
        <v>2005</v>
      </c>
      <c r="I803" s="16" t="s">
        <v>962</v>
      </c>
    </row>
    <row r="804" spans="1:9" hidden="1" x14ac:dyDescent="0.35">
      <c r="A804" s="16">
        <v>581</v>
      </c>
      <c r="B804" s="16" t="s">
        <v>1711</v>
      </c>
      <c r="C804" s="16" t="s">
        <v>1709</v>
      </c>
      <c r="D804" s="16" t="s">
        <v>130</v>
      </c>
      <c r="E804" s="16" t="s">
        <v>1118</v>
      </c>
      <c r="F804" s="16" t="s">
        <v>1708</v>
      </c>
      <c r="G804" s="16" t="s">
        <v>1706</v>
      </c>
      <c r="I804" s="16" t="s">
        <v>1710</v>
      </c>
    </row>
    <row r="805" spans="1:9" hidden="1" x14ac:dyDescent="0.35">
      <c r="A805" s="16">
        <v>581</v>
      </c>
      <c r="B805" s="16" t="s">
        <v>1712</v>
      </c>
      <c r="C805" s="16" t="s">
        <v>1709</v>
      </c>
      <c r="D805" s="16" t="s">
        <v>130</v>
      </c>
      <c r="E805" s="16" t="s">
        <v>1118</v>
      </c>
      <c r="F805" s="16" t="s">
        <v>1708</v>
      </c>
      <c r="G805" s="16" t="s">
        <v>1706</v>
      </c>
      <c r="I805" s="16" t="s">
        <v>1710</v>
      </c>
    </row>
    <row r="806" spans="1:9" hidden="1" x14ac:dyDescent="0.35">
      <c r="A806" s="16">
        <v>581</v>
      </c>
      <c r="B806" s="16" t="s">
        <v>2581</v>
      </c>
      <c r="C806" s="16" t="s">
        <v>1713</v>
      </c>
      <c r="D806" s="16" t="s">
        <v>130</v>
      </c>
      <c r="E806" s="16" t="s">
        <v>559</v>
      </c>
      <c r="F806" s="16" t="s">
        <v>1708</v>
      </c>
      <c r="G806" s="16" t="s">
        <v>1706</v>
      </c>
      <c r="I806" s="16" t="s">
        <v>1710</v>
      </c>
    </row>
    <row r="807" spans="1:9" hidden="1" x14ac:dyDescent="0.35">
      <c r="A807" s="16">
        <v>581</v>
      </c>
      <c r="B807" s="16" t="s">
        <v>2582</v>
      </c>
      <c r="C807" s="16" t="s">
        <v>1713</v>
      </c>
      <c r="D807" s="16" t="s">
        <v>130</v>
      </c>
      <c r="E807" s="16" t="s">
        <v>559</v>
      </c>
      <c r="F807" s="16" t="s">
        <v>1708</v>
      </c>
      <c r="G807" s="16" t="s">
        <v>1706</v>
      </c>
      <c r="I807" s="16" t="s">
        <v>1710</v>
      </c>
    </row>
    <row r="808" spans="1:9" hidden="1" x14ac:dyDescent="0.35">
      <c r="A808" s="16">
        <v>581</v>
      </c>
      <c r="B808" s="16" t="s">
        <v>2583</v>
      </c>
      <c r="C808" s="16" t="s">
        <v>1713</v>
      </c>
      <c r="D808" s="16" t="s">
        <v>130</v>
      </c>
      <c r="E808" s="16" t="s">
        <v>559</v>
      </c>
      <c r="F808" s="16" t="s">
        <v>1708</v>
      </c>
      <c r="G808" s="16" t="s">
        <v>1706</v>
      </c>
      <c r="I808" s="16" t="s">
        <v>1710</v>
      </c>
    </row>
    <row r="809" spans="1:9" hidden="1" x14ac:dyDescent="0.35">
      <c r="A809" s="16">
        <v>581</v>
      </c>
      <c r="B809" s="16" t="s">
        <v>2584</v>
      </c>
      <c r="C809" s="16" t="s">
        <v>1713</v>
      </c>
      <c r="D809" s="16" t="s">
        <v>130</v>
      </c>
      <c r="E809" s="16" t="s">
        <v>559</v>
      </c>
      <c r="F809" s="16" t="s">
        <v>1708</v>
      </c>
      <c r="G809" s="16" t="s">
        <v>1706</v>
      </c>
      <c r="I809" s="16" t="s">
        <v>1710</v>
      </c>
    </row>
    <row r="810" spans="1:9" hidden="1" x14ac:dyDescent="0.35">
      <c r="A810" s="16">
        <v>581</v>
      </c>
      <c r="B810" s="16" t="s">
        <v>2585</v>
      </c>
      <c r="C810" s="16" t="s">
        <v>1714</v>
      </c>
      <c r="D810" s="16" t="s">
        <v>130</v>
      </c>
      <c r="E810" s="16" t="s">
        <v>539</v>
      </c>
      <c r="F810" s="16" t="s">
        <v>1708</v>
      </c>
      <c r="G810" s="16" t="s">
        <v>1706</v>
      </c>
      <c r="I810" s="16" t="s">
        <v>1710</v>
      </c>
    </row>
    <row r="811" spans="1:9" hidden="1" x14ac:dyDescent="0.35">
      <c r="A811" s="16">
        <v>581</v>
      </c>
      <c r="B811" s="16" t="s">
        <v>2586</v>
      </c>
      <c r="C811" s="16" t="s">
        <v>1714</v>
      </c>
      <c r="D811" s="16" t="s">
        <v>130</v>
      </c>
      <c r="E811" s="16" t="s">
        <v>539</v>
      </c>
      <c r="F811" s="16" t="s">
        <v>1708</v>
      </c>
      <c r="G811" s="16" t="s">
        <v>1706</v>
      </c>
      <c r="I811" s="16" t="s">
        <v>1710</v>
      </c>
    </row>
    <row r="812" spans="1:9" hidden="1" x14ac:dyDescent="0.35">
      <c r="A812" s="16">
        <v>581</v>
      </c>
      <c r="B812" s="16" t="s">
        <v>2587</v>
      </c>
      <c r="C812" s="16" t="s">
        <v>1715</v>
      </c>
      <c r="D812" s="16" t="s">
        <v>130</v>
      </c>
      <c r="E812" s="16" t="s">
        <v>1126</v>
      </c>
      <c r="F812" s="16" t="s">
        <v>1708</v>
      </c>
      <c r="G812" s="16" t="s">
        <v>1706</v>
      </c>
      <c r="I812" s="16" t="s">
        <v>1710</v>
      </c>
    </row>
    <row r="813" spans="1:9" hidden="1" x14ac:dyDescent="0.35">
      <c r="A813" s="16">
        <v>581</v>
      </c>
      <c r="B813" s="16" t="s">
        <v>1661</v>
      </c>
      <c r="C813" s="16" t="s">
        <v>1715</v>
      </c>
      <c r="D813" s="16" t="s">
        <v>130</v>
      </c>
      <c r="E813" s="16" t="s">
        <v>1126</v>
      </c>
      <c r="F813" s="16" t="s">
        <v>1708</v>
      </c>
      <c r="G813" s="16" t="s">
        <v>1706</v>
      </c>
      <c r="I813" s="16" t="s">
        <v>1710</v>
      </c>
    </row>
    <row r="814" spans="1:9" hidden="1" x14ac:dyDescent="0.35">
      <c r="A814" s="16">
        <v>581</v>
      </c>
      <c r="B814" s="16" t="s">
        <v>2588</v>
      </c>
      <c r="C814" s="16" t="s">
        <v>1715</v>
      </c>
      <c r="D814" s="16" t="s">
        <v>130</v>
      </c>
      <c r="E814" s="16" t="s">
        <v>1126</v>
      </c>
      <c r="F814" s="16" t="s">
        <v>1708</v>
      </c>
      <c r="G814" s="16" t="s">
        <v>1706</v>
      </c>
      <c r="I814" s="16" t="s">
        <v>1710</v>
      </c>
    </row>
    <row r="815" spans="1:9" hidden="1" x14ac:dyDescent="0.35">
      <c r="A815" s="16">
        <v>581</v>
      </c>
      <c r="B815" s="16" t="s">
        <v>2589</v>
      </c>
      <c r="C815" s="16" t="s">
        <v>1715</v>
      </c>
      <c r="D815" s="16" t="s">
        <v>130</v>
      </c>
      <c r="E815" s="16" t="s">
        <v>1126</v>
      </c>
      <c r="F815" s="16" t="s">
        <v>1708</v>
      </c>
      <c r="G815" s="16" t="s">
        <v>1706</v>
      </c>
      <c r="I815" s="16" t="s">
        <v>1710</v>
      </c>
    </row>
    <row r="816" spans="1:9" hidden="1" x14ac:dyDescent="0.35">
      <c r="A816" s="16">
        <v>581</v>
      </c>
      <c r="B816" s="16" t="s">
        <v>2590</v>
      </c>
      <c r="C816" s="16" t="s">
        <v>1715</v>
      </c>
      <c r="D816" s="16" t="s">
        <v>130</v>
      </c>
      <c r="E816" s="16" t="s">
        <v>1126</v>
      </c>
      <c r="F816" s="16" t="s">
        <v>1708</v>
      </c>
      <c r="G816" s="16" t="s">
        <v>1706</v>
      </c>
      <c r="I816" s="16" t="s">
        <v>1710</v>
      </c>
    </row>
    <row r="817" spans="1:10" x14ac:dyDescent="0.35">
      <c r="A817" s="16">
        <v>452</v>
      </c>
      <c r="B817" s="16" t="s">
        <v>1867</v>
      </c>
      <c r="C817" s="16" t="s">
        <v>1298</v>
      </c>
      <c r="D817" s="16" t="s">
        <v>130</v>
      </c>
      <c r="E817" s="16" t="s">
        <v>539</v>
      </c>
      <c r="F817" s="16" t="s">
        <v>1868</v>
      </c>
      <c r="G817" s="16">
        <v>2017</v>
      </c>
      <c r="I817" s="16" t="s">
        <v>1869</v>
      </c>
    </row>
    <row r="818" spans="1:10" x14ac:dyDescent="0.35">
      <c r="A818" s="16">
        <v>452</v>
      </c>
      <c r="B818" s="16" t="s">
        <v>1870</v>
      </c>
      <c r="C818" s="16" t="s">
        <v>633</v>
      </c>
      <c r="D818" s="16" t="s">
        <v>130</v>
      </c>
      <c r="E818" s="16" t="s">
        <v>539</v>
      </c>
      <c r="F818" s="16" t="s">
        <v>1868</v>
      </c>
      <c r="G818" s="16">
        <v>2017</v>
      </c>
      <c r="I818" s="16" t="s">
        <v>1869</v>
      </c>
    </row>
    <row r="819" spans="1:10" x14ac:dyDescent="0.35">
      <c r="A819" s="16">
        <v>452</v>
      </c>
      <c r="B819" s="16" t="s">
        <v>1871</v>
      </c>
      <c r="C819" s="16" t="s">
        <v>1872</v>
      </c>
      <c r="D819" s="16" t="s">
        <v>130</v>
      </c>
      <c r="E819" s="16" t="s">
        <v>539</v>
      </c>
      <c r="F819" s="16" t="s">
        <v>1868</v>
      </c>
      <c r="G819" s="16">
        <v>2017</v>
      </c>
      <c r="I819" s="16" t="s">
        <v>1869</v>
      </c>
    </row>
    <row r="820" spans="1:10" x14ac:dyDescent="0.35">
      <c r="A820" s="16">
        <v>452</v>
      </c>
      <c r="B820" s="16" t="s">
        <v>1873</v>
      </c>
      <c r="C820" s="16" t="s">
        <v>1298</v>
      </c>
      <c r="D820" s="16" t="s">
        <v>130</v>
      </c>
      <c r="E820" s="16" t="s">
        <v>539</v>
      </c>
      <c r="F820" s="16" t="s">
        <v>1868</v>
      </c>
      <c r="G820" s="16">
        <v>2019</v>
      </c>
      <c r="I820" s="16" t="s">
        <v>1869</v>
      </c>
    </row>
    <row r="821" spans="1:10" x14ac:dyDescent="0.35">
      <c r="A821" s="16">
        <v>465</v>
      </c>
      <c r="B821" s="16" t="s">
        <v>1874</v>
      </c>
      <c r="C821" s="16" t="s">
        <v>1875</v>
      </c>
      <c r="D821" s="16" t="s">
        <v>124</v>
      </c>
      <c r="E821" s="16" t="s">
        <v>428</v>
      </c>
      <c r="F821" s="16" t="s">
        <v>1876</v>
      </c>
      <c r="G821" s="16">
        <v>2020</v>
      </c>
      <c r="I821" s="16" t="s">
        <v>534</v>
      </c>
      <c r="J821" s="16" t="s">
        <v>1877</v>
      </c>
    </row>
    <row r="822" spans="1:10" x14ac:dyDescent="0.35">
      <c r="A822" s="16">
        <v>465</v>
      </c>
      <c r="B822" s="16" t="s">
        <v>1878</v>
      </c>
      <c r="C822" s="16" t="s">
        <v>633</v>
      </c>
      <c r="D822" s="16" t="s">
        <v>124</v>
      </c>
      <c r="E822" s="16" t="s">
        <v>428</v>
      </c>
      <c r="F822" s="16" t="s">
        <v>1876</v>
      </c>
      <c r="G822" s="16">
        <v>2020</v>
      </c>
      <c r="I822" s="16" t="s">
        <v>1879</v>
      </c>
      <c r="J822" s="16" t="s">
        <v>1877</v>
      </c>
    </row>
    <row r="823" spans="1:10" x14ac:dyDescent="0.35">
      <c r="A823" s="16">
        <v>465</v>
      </c>
      <c r="B823" s="16" t="s">
        <v>1880</v>
      </c>
      <c r="C823" s="16" t="s">
        <v>628</v>
      </c>
      <c r="D823" s="16" t="s">
        <v>124</v>
      </c>
      <c r="E823" s="16" t="s">
        <v>428</v>
      </c>
      <c r="F823" s="16" t="s">
        <v>1876</v>
      </c>
      <c r="G823" s="16">
        <v>2020</v>
      </c>
      <c r="I823" s="16" t="s">
        <v>534</v>
      </c>
      <c r="J823" s="16" t="s">
        <v>1877</v>
      </c>
    </row>
    <row r="824" spans="1:10" x14ac:dyDescent="0.35">
      <c r="A824" s="16">
        <v>496</v>
      </c>
      <c r="B824" s="16" t="s">
        <v>1107</v>
      </c>
      <c r="C824" s="16" t="s">
        <v>1881</v>
      </c>
      <c r="D824" s="16" t="s">
        <v>130</v>
      </c>
      <c r="E824" s="16" t="s">
        <v>809</v>
      </c>
      <c r="F824" s="16" t="s">
        <v>1224</v>
      </c>
      <c r="G824" s="16">
        <v>2020</v>
      </c>
      <c r="I824" s="16" t="s">
        <v>1882</v>
      </c>
      <c r="J824" s="16" t="s">
        <v>1883</v>
      </c>
    </row>
    <row r="825" spans="1:10" x14ac:dyDescent="0.35">
      <c r="A825" s="16">
        <v>496</v>
      </c>
      <c r="B825" s="16" t="s">
        <v>1884</v>
      </c>
      <c r="C825" s="16" t="s">
        <v>633</v>
      </c>
      <c r="D825" s="16" t="s">
        <v>130</v>
      </c>
      <c r="E825" s="16" t="s">
        <v>809</v>
      </c>
      <c r="F825" s="16" t="s">
        <v>1224</v>
      </c>
      <c r="G825" s="16">
        <v>2020</v>
      </c>
      <c r="I825" s="16" t="s">
        <v>1882</v>
      </c>
      <c r="J825" s="16" t="s">
        <v>1883</v>
      </c>
    </row>
    <row r="826" spans="1:10" x14ac:dyDescent="0.35">
      <c r="A826" s="16">
        <v>496</v>
      </c>
      <c r="B826" s="16" t="s">
        <v>1885</v>
      </c>
      <c r="C826" s="16" t="s">
        <v>633</v>
      </c>
      <c r="D826" s="16" t="s">
        <v>130</v>
      </c>
      <c r="E826" s="16" t="s">
        <v>809</v>
      </c>
      <c r="F826" s="16" t="s">
        <v>1224</v>
      </c>
      <c r="G826" s="16">
        <v>2020</v>
      </c>
      <c r="I826" s="16" t="s">
        <v>1882</v>
      </c>
      <c r="J826" s="16" t="s">
        <v>1883</v>
      </c>
    </row>
    <row r="827" spans="1:10" x14ac:dyDescent="0.35">
      <c r="A827" s="16">
        <v>496</v>
      </c>
      <c r="B827" s="16" t="s">
        <v>1886</v>
      </c>
      <c r="C827" s="16" t="s">
        <v>1887</v>
      </c>
      <c r="D827" s="16" t="s">
        <v>130</v>
      </c>
      <c r="E827" s="16" t="s">
        <v>809</v>
      </c>
      <c r="F827" s="16" t="s">
        <v>1224</v>
      </c>
      <c r="G827" s="16">
        <v>2020</v>
      </c>
      <c r="I827" s="16" t="s">
        <v>1882</v>
      </c>
      <c r="J827" s="16" t="s">
        <v>1883</v>
      </c>
    </row>
    <row r="828" spans="1:10" x14ac:dyDescent="0.35">
      <c r="A828" s="16">
        <v>496</v>
      </c>
      <c r="B828" s="16" t="s">
        <v>1888</v>
      </c>
      <c r="C828" s="16" t="s">
        <v>633</v>
      </c>
      <c r="D828" s="16" t="s">
        <v>130</v>
      </c>
      <c r="E828" s="16" t="s">
        <v>809</v>
      </c>
      <c r="F828" s="16" t="s">
        <v>1889</v>
      </c>
      <c r="G828" s="16">
        <v>2020</v>
      </c>
      <c r="I828" s="16" t="s">
        <v>1882</v>
      </c>
      <c r="J828" s="16" t="s">
        <v>1883</v>
      </c>
    </row>
    <row r="829" spans="1:10" hidden="1" x14ac:dyDescent="0.35">
      <c r="A829" s="16">
        <v>508</v>
      </c>
      <c r="B829" s="16" t="s">
        <v>1890</v>
      </c>
      <c r="C829" s="16" t="s">
        <v>1891</v>
      </c>
      <c r="D829" s="16" t="s">
        <v>130</v>
      </c>
      <c r="E829" s="16" t="s">
        <v>809</v>
      </c>
      <c r="F829" s="16" t="s">
        <v>1892</v>
      </c>
      <c r="G829" s="16" t="s">
        <v>1445</v>
      </c>
      <c r="I829" s="16" t="s">
        <v>1893</v>
      </c>
    </row>
    <row r="830" spans="1:10" hidden="1" x14ac:dyDescent="0.35">
      <c r="A830" s="16">
        <v>508</v>
      </c>
      <c r="B830" s="16" t="s">
        <v>1894</v>
      </c>
      <c r="C830" s="16" t="s">
        <v>633</v>
      </c>
      <c r="D830" s="16" t="s">
        <v>130</v>
      </c>
      <c r="E830" s="16" t="s">
        <v>809</v>
      </c>
      <c r="F830" s="16" t="s">
        <v>1892</v>
      </c>
      <c r="G830" s="16" t="s">
        <v>1445</v>
      </c>
      <c r="I830" s="16" t="s">
        <v>1893</v>
      </c>
    </row>
    <row r="831" spans="1:10" hidden="1" x14ac:dyDescent="0.35">
      <c r="A831" s="16">
        <v>508</v>
      </c>
      <c r="B831" s="16" t="s">
        <v>1895</v>
      </c>
      <c r="C831" s="16" t="s">
        <v>633</v>
      </c>
      <c r="D831" s="16" t="s">
        <v>130</v>
      </c>
      <c r="E831" s="16" t="s">
        <v>809</v>
      </c>
      <c r="F831" s="16" t="s">
        <v>1892</v>
      </c>
      <c r="G831" s="16" t="s">
        <v>1445</v>
      </c>
      <c r="I831" s="16" t="s">
        <v>1893</v>
      </c>
    </row>
    <row r="832" spans="1:10" hidden="1" x14ac:dyDescent="0.35">
      <c r="A832" s="16">
        <v>560</v>
      </c>
      <c r="B832" s="16" t="s">
        <v>1896</v>
      </c>
      <c r="C832" s="16" t="s">
        <v>633</v>
      </c>
      <c r="D832" s="16" t="s">
        <v>130</v>
      </c>
      <c r="E832" s="16" t="s">
        <v>809</v>
      </c>
      <c r="F832" s="16" t="s">
        <v>1897</v>
      </c>
      <c r="G832" s="16" t="s">
        <v>1469</v>
      </c>
      <c r="I832" s="16" t="s">
        <v>2644</v>
      </c>
    </row>
    <row r="833" spans="1:10" hidden="1" x14ac:dyDescent="0.35">
      <c r="A833" s="16">
        <v>560</v>
      </c>
      <c r="B833" s="16" t="s">
        <v>1899</v>
      </c>
      <c r="C833" s="16" t="s">
        <v>633</v>
      </c>
      <c r="D833" s="16" t="s">
        <v>130</v>
      </c>
      <c r="E833" s="16" t="s">
        <v>809</v>
      </c>
      <c r="F833" s="16" t="s">
        <v>1897</v>
      </c>
      <c r="G833" s="16" t="s">
        <v>2215</v>
      </c>
      <c r="I833" s="16" t="s">
        <v>2645</v>
      </c>
    </row>
    <row r="834" spans="1:10" hidden="1" x14ac:dyDescent="0.35">
      <c r="A834" s="16">
        <v>620</v>
      </c>
      <c r="B834" s="16" t="s">
        <v>1901</v>
      </c>
      <c r="C834" s="16" t="s">
        <v>1902</v>
      </c>
      <c r="D834" s="16" t="s">
        <v>124</v>
      </c>
      <c r="E834" s="16" t="s">
        <v>536</v>
      </c>
      <c r="F834" s="16" t="s">
        <v>1903</v>
      </c>
      <c r="G834" s="16">
        <v>2006</v>
      </c>
      <c r="I834" s="16" t="s">
        <v>2560</v>
      </c>
    </row>
    <row r="835" spans="1:10" hidden="1" x14ac:dyDescent="0.35">
      <c r="A835" s="16">
        <v>629</v>
      </c>
      <c r="B835" s="16" t="s">
        <v>1904</v>
      </c>
      <c r="C835" s="16" t="s">
        <v>1905</v>
      </c>
      <c r="D835" s="16" t="s">
        <v>198</v>
      </c>
      <c r="E835" s="16" t="s">
        <v>539</v>
      </c>
      <c r="F835" s="16" t="s">
        <v>1906</v>
      </c>
      <c r="G835" s="16">
        <v>2006</v>
      </c>
      <c r="H835" s="50" t="s">
        <v>406</v>
      </c>
      <c r="I835" s="16" t="s">
        <v>1907</v>
      </c>
      <c r="J835" s="16" t="s">
        <v>1908</v>
      </c>
    </row>
    <row r="836" spans="1:10" hidden="1" x14ac:dyDescent="0.35">
      <c r="A836" s="16">
        <v>629</v>
      </c>
      <c r="B836" s="16" t="s">
        <v>1909</v>
      </c>
      <c r="C836" s="16" t="s">
        <v>1910</v>
      </c>
      <c r="D836" s="16" t="s">
        <v>198</v>
      </c>
      <c r="E836" s="16" t="s">
        <v>539</v>
      </c>
      <c r="F836" s="16" t="s">
        <v>1906</v>
      </c>
      <c r="G836" s="16">
        <v>2006</v>
      </c>
      <c r="H836" s="50" t="s">
        <v>406</v>
      </c>
      <c r="I836" s="16" t="s">
        <v>1907</v>
      </c>
      <c r="J836" s="16" t="s">
        <v>1908</v>
      </c>
    </row>
    <row r="837" spans="1:10" hidden="1" x14ac:dyDescent="0.35">
      <c r="A837" s="16">
        <v>629</v>
      </c>
      <c r="B837" s="16" t="s">
        <v>1911</v>
      </c>
      <c r="C837" s="16" t="s">
        <v>1912</v>
      </c>
      <c r="D837" s="16" t="s">
        <v>198</v>
      </c>
      <c r="E837" s="16" t="s">
        <v>539</v>
      </c>
      <c r="F837" s="16" t="s">
        <v>1906</v>
      </c>
      <c r="G837" s="16">
        <v>2006</v>
      </c>
      <c r="H837" s="50" t="s">
        <v>406</v>
      </c>
      <c r="I837" s="16" t="s">
        <v>1907</v>
      </c>
      <c r="J837" s="16" t="s">
        <v>1908</v>
      </c>
    </row>
    <row r="838" spans="1:10" hidden="1" x14ac:dyDescent="0.35">
      <c r="A838" s="16">
        <v>629</v>
      </c>
      <c r="B838" s="16" t="s">
        <v>1913</v>
      </c>
      <c r="C838" s="16" t="s">
        <v>1910</v>
      </c>
      <c r="D838" s="16" t="s">
        <v>198</v>
      </c>
      <c r="E838" s="16" t="s">
        <v>539</v>
      </c>
      <c r="F838" s="16" t="s">
        <v>1906</v>
      </c>
      <c r="G838" s="16">
        <v>2006</v>
      </c>
      <c r="H838" s="50" t="s">
        <v>406</v>
      </c>
      <c r="I838" s="16" t="s">
        <v>1907</v>
      </c>
      <c r="J838" s="16" t="s">
        <v>1908</v>
      </c>
    </row>
    <row r="839" spans="1:10" hidden="1" x14ac:dyDescent="0.35">
      <c r="A839" s="16">
        <v>630</v>
      </c>
      <c r="B839" s="16" t="s">
        <v>1914</v>
      </c>
      <c r="C839" s="16" t="s">
        <v>633</v>
      </c>
      <c r="D839" s="16" t="s">
        <v>124</v>
      </c>
      <c r="E839" s="16" t="s">
        <v>536</v>
      </c>
      <c r="F839" s="16" t="s">
        <v>541</v>
      </c>
      <c r="G839" s="16" t="s">
        <v>2216</v>
      </c>
      <c r="I839" s="16" t="s">
        <v>1915</v>
      </c>
    </row>
    <row r="840" spans="1:10" hidden="1" x14ac:dyDescent="0.35">
      <c r="A840" s="16">
        <v>630</v>
      </c>
      <c r="B840" s="16" t="s">
        <v>1916</v>
      </c>
      <c r="C840" s="16" t="s">
        <v>626</v>
      </c>
      <c r="D840" s="16" t="s">
        <v>124</v>
      </c>
      <c r="E840" s="16" t="s">
        <v>536</v>
      </c>
      <c r="F840" s="16" t="s">
        <v>541</v>
      </c>
      <c r="G840" s="16" t="s">
        <v>2217</v>
      </c>
      <c r="I840" s="16" t="s">
        <v>1915</v>
      </c>
    </row>
    <row r="841" spans="1:10" hidden="1" x14ac:dyDescent="0.35">
      <c r="A841" s="16">
        <v>630</v>
      </c>
      <c r="B841" s="16" t="s">
        <v>1917</v>
      </c>
      <c r="C841" s="16" t="s">
        <v>656</v>
      </c>
      <c r="D841" s="16" t="s">
        <v>124</v>
      </c>
      <c r="E841" s="16" t="s">
        <v>536</v>
      </c>
      <c r="F841" s="16" t="s">
        <v>541</v>
      </c>
      <c r="G841" s="16" t="s">
        <v>2217</v>
      </c>
      <c r="I841" s="16" t="s">
        <v>1915</v>
      </c>
    </row>
    <row r="842" spans="1:10" hidden="1" x14ac:dyDescent="0.35">
      <c r="A842" s="16">
        <v>630</v>
      </c>
      <c r="B842" s="16" t="s">
        <v>1918</v>
      </c>
      <c r="C842" s="16" t="s">
        <v>1919</v>
      </c>
      <c r="D842" s="16" t="s">
        <v>124</v>
      </c>
      <c r="E842" s="16" t="s">
        <v>536</v>
      </c>
      <c r="F842" s="16" t="s">
        <v>541</v>
      </c>
      <c r="G842" s="16" t="s">
        <v>2217</v>
      </c>
      <c r="I842" s="16" t="s">
        <v>1915</v>
      </c>
    </row>
    <row r="843" spans="1:10" hidden="1" x14ac:dyDescent="0.35">
      <c r="A843" s="16">
        <v>630</v>
      </c>
      <c r="B843" s="16" t="s">
        <v>1920</v>
      </c>
      <c r="C843" s="16" t="s">
        <v>1921</v>
      </c>
      <c r="D843" s="16" t="s">
        <v>124</v>
      </c>
      <c r="E843" s="16" t="s">
        <v>536</v>
      </c>
      <c r="F843" s="16" t="s">
        <v>541</v>
      </c>
      <c r="G843" s="16" t="s">
        <v>2217</v>
      </c>
      <c r="I843" s="16" t="s">
        <v>1915</v>
      </c>
    </row>
    <row r="844" spans="1:10" hidden="1" x14ac:dyDescent="0.35">
      <c r="A844" s="16">
        <v>640</v>
      </c>
      <c r="B844" s="16" t="s">
        <v>1922</v>
      </c>
      <c r="C844" s="16" t="s">
        <v>640</v>
      </c>
      <c r="D844" s="16" t="s">
        <v>198</v>
      </c>
      <c r="E844" s="16" t="s">
        <v>428</v>
      </c>
      <c r="F844" s="16" t="s">
        <v>141</v>
      </c>
      <c r="G844" s="16" t="s">
        <v>1345</v>
      </c>
      <c r="I844" s="16" t="s">
        <v>2647</v>
      </c>
      <c r="J844" s="16" t="s">
        <v>2250</v>
      </c>
    </row>
    <row r="845" spans="1:10" hidden="1" x14ac:dyDescent="0.35">
      <c r="A845" s="16">
        <v>640</v>
      </c>
      <c r="B845" s="16" t="s">
        <v>1924</v>
      </c>
      <c r="C845" s="16" t="s">
        <v>1925</v>
      </c>
      <c r="D845" s="16" t="s">
        <v>198</v>
      </c>
      <c r="E845" s="16" t="s">
        <v>559</v>
      </c>
      <c r="F845" s="16" t="s">
        <v>141</v>
      </c>
      <c r="G845" s="16" t="s">
        <v>2218</v>
      </c>
      <c r="I845" s="16" t="s">
        <v>2647</v>
      </c>
      <c r="J845" s="16" t="s">
        <v>2250</v>
      </c>
    </row>
    <row r="846" spans="1:10" hidden="1" x14ac:dyDescent="0.35">
      <c r="A846" s="16">
        <v>640</v>
      </c>
      <c r="B846" s="16" t="s">
        <v>1926</v>
      </c>
      <c r="C846" s="16" t="s">
        <v>640</v>
      </c>
      <c r="D846" s="16" t="s">
        <v>198</v>
      </c>
      <c r="E846" s="16" t="s">
        <v>1220</v>
      </c>
      <c r="F846" s="16" t="s">
        <v>141</v>
      </c>
      <c r="G846" s="16" t="s">
        <v>2219</v>
      </c>
      <c r="I846" s="16" t="s">
        <v>2647</v>
      </c>
    </row>
    <row r="847" spans="1:10" hidden="1" x14ac:dyDescent="0.35">
      <c r="A847" s="16">
        <v>640</v>
      </c>
      <c r="B847" s="16" t="s">
        <v>1927</v>
      </c>
      <c r="C847" s="16" t="s">
        <v>663</v>
      </c>
      <c r="D847" s="16" t="s">
        <v>198</v>
      </c>
      <c r="E847" s="16" t="s">
        <v>1118</v>
      </c>
      <c r="F847" s="16" t="s">
        <v>141</v>
      </c>
      <c r="G847" s="16" t="s">
        <v>2220</v>
      </c>
      <c r="I847" s="16" t="s">
        <v>2647</v>
      </c>
      <c r="J847" s="16" t="s">
        <v>2250</v>
      </c>
    </row>
    <row r="848" spans="1:10" hidden="1" x14ac:dyDescent="0.35">
      <c r="A848" s="16">
        <v>640</v>
      </c>
      <c r="B848" s="16" t="s">
        <v>1928</v>
      </c>
      <c r="C848" s="16" t="s">
        <v>628</v>
      </c>
      <c r="D848" s="16" t="s">
        <v>198</v>
      </c>
      <c r="E848" s="16" t="s">
        <v>1126</v>
      </c>
      <c r="F848" s="16" t="s">
        <v>141</v>
      </c>
      <c r="G848" s="16" t="s">
        <v>1379</v>
      </c>
      <c r="I848" s="16" t="s">
        <v>2646</v>
      </c>
      <c r="J848" s="16" t="s">
        <v>2250</v>
      </c>
    </row>
    <row r="849" spans="1:10" hidden="1" x14ac:dyDescent="0.35">
      <c r="A849" s="16">
        <v>640</v>
      </c>
      <c r="B849" s="16" t="s">
        <v>1930</v>
      </c>
      <c r="C849" s="16" t="s">
        <v>644</v>
      </c>
      <c r="D849" s="16" t="s">
        <v>198</v>
      </c>
      <c r="E849" s="16" t="s">
        <v>1126</v>
      </c>
      <c r="F849" s="16" t="s">
        <v>141</v>
      </c>
      <c r="G849" s="16" t="s">
        <v>1352</v>
      </c>
      <c r="I849" s="16" t="s">
        <v>2646</v>
      </c>
      <c r="J849" s="16" t="s">
        <v>2250</v>
      </c>
    </row>
    <row r="850" spans="1:10" hidden="1" x14ac:dyDescent="0.35">
      <c r="A850" s="16">
        <v>700</v>
      </c>
      <c r="B850" s="16" t="s">
        <v>1107</v>
      </c>
      <c r="D850" s="16" t="s">
        <v>130</v>
      </c>
      <c r="E850" s="16" t="s">
        <v>813</v>
      </c>
      <c r="F850" s="16" t="s">
        <v>1931</v>
      </c>
      <c r="G850" s="16" t="s">
        <v>2217</v>
      </c>
      <c r="I850" s="16" t="s">
        <v>2648</v>
      </c>
    </row>
    <row r="851" spans="1:10" hidden="1" x14ac:dyDescent="0.35">
      <c r="A851" s="16">
        <v>700</v>
      </c>
      <c r="B851" s="16" t="s">
        <v>1932</v>
      </c>
      <c r="C851" s="16" t="s">
        <v>633</v>
      </c>
      <c r="D851" s="16" t="s">
        <v>130</v>
      </c>
      <c r="E851" s="16" t="s">
        <v>813</v>
      </c>
      <c r="F851" s="16" t="s">
        <v>1931</v>
      </c>
      <c r="G851" s="16" t="s">
        <v>2221</v>
      </c>
      <c r="I851" s="16" t="s">
        <v>2648</v>
      </c>
    </row>
    <row r="852" spans="1:10" hidden="1" x14ac:dyDescent="0.35">
      <c r="A852" s="16">
        <v>700</v>
      </c>
      <c r="B852" s="16" t="s">
        <v>1933</v>
      </c>
      <c r="C852" s="16" t="s">
        <v>633</v>
      </c>
      <c r="D852" s="16" t="s">
        <v>130</v>
      </c>
      <c r="E852" s="16" t="s">
        <v>813</v>
      </c>
      <c r="F852" s="16" t="s">
        <v>1931</v>
      </c>
      <c r="G852" s="16" t="s">
        <v>1455</v>
      </c>
      <c r="I852" s="16" t="s">
        <v>2648</v>
      </c>
    </row>
    <row r="853" spans="1:10" hidden="1" x14ac:dyDescent="0.35">
      <c r="A853" s="16">
        <v>700</v>
      </c>
      <c r="B853" s="16" t="s">
        <v>1934</v>
      </c>
      <c r="C853" s="16" t="s">
        <v>1310</v>
      </c>
      <c r="D853" s="16" t="s">
        <v>130</v>
      </c>
      <c r="E853" s="16" t="s">
        <v>813</v>
      </c>
      <c r="F853" s="16" t="s">
        <v>1931</v>
      </c>
      <c r="G853" s="16" t="s">
        <v>1459</v>
      </c>
      <c r="I853" s="16" t="s">
        <v>2648</v>
      </c>
    </row>
    <row r="854" spans="1:10" hidden="1" x14ac:dyDescent="0.35">
      <c r="A854" s="16">
        <v>700</v>
      </c>
      <c r="B854" s="16" t="s">
        <v>2639</v>
      </c>
      <c r="C854" s="16" t="s">
        <v>1935</v>
      </c>
      <c r="D854" s="16" t="s">
        <v>130</v>
      </c>
      <c r="E854" s="16" t="s">
        <v>813</v>
      </c>
      <c r="F854" s="16" t="s">
        <v>1931</v>
      </c>
      <c r="G854" s="16" t="s">
        <v>2222</v>
      </c>
      <c r="I854" s="16" t="s">
        <v>2648</v>
      </c>
    </row>
    <row r="855" spans="1:10" hidden="1" x14ac:dyDescent="0.35">
      <c r="A855" s="16">
        <v>700</v>
      </c>
      <c r="B855" s="16" t="s">
        <v>2640</v>
      </c>
      <c r="C855" s="16" t="s">
        <v>1935</v>
      </c>
      <c r="D855" s="16" t="s">
        <v>130</v>
      </c>
      <c r="E855" s="16" t="s">
        <v>813</v>
      </c>
      <c r="F855" s="16" t="s">
        <v>1931</v>
      </c>
      <c r="G855" s="16" t="s">
        <v>2223</v>
      </c>
      <c r="I855" s="16" t="s">
        <v>2648</v>
      </c>
    </row>
    <row r="856" spans="1:10" hidden="1" x14ac:dyDescent="0.35">
      <c r="A856" s="16">
        <v>700</v>
      </c>
      <c r="B856" s="16" t="s">
        <v>2641</v>
      </c>
      <c r="C856" s="16" t="s">
        <v>1935</v>
      </c>
      <c r="D856" s="16" t="s">
        <v>130</v>
      </c>
      <c r="E856" s="16" t="s">
        <v>813</v>
      </c>
      <c r="F856" s="16" t="s">
        <v>1931</v>
      </c>
      <c r="G856" s="16" t="s">
        <v>1615</v>
      </c>
      <c r="I856" s="16" t="s">
        <v>2648</v>
      </c>
    </row>
    <row r="857" spans="1:10" hidden="1" x14ac:dyDescent="0.35">
      <c r="A857" s="16">
        <v>700</v>
      </c>
      <c r="B857" s="16" t="s">
        <v>2642</v>
      </c>
      <c r="C857" s="16" t="s">
        <v>1935</v>
      </c>
      <c r="D857" s="16" t="s">
        <v>130</v>
      </c>
      <c r="E857" s="16" t="s">
        <v>813</v>
      </c>
      <c r="F857" s="16" t="s">
        <v>1931</v>
      </c>
      <c r="G857" s="16" t="s">
        <v>2224</v>
      </c>
      <c r="I857" s="16" t="s">
        <v>2648</v>
      </c>
    </row>
    <row r="858" spans="1:10" hidden="1" x14ac:dyDescent="0.35">
      <c r="A858" s="16">
        <v>700</v>
      </c>
      <c r="B858" s="16" t="s">
        <v>2643</v>
      </c>
      <c r="C858" s="16" t="s">
        <v>1936</v>
      </c>
      <c r="D858" s="16" t="s">
        <v>130</v>
      </c>
      <c r="E858" s="16" t="s">
        <v>813</v>
      </c>
      <c r="F858" s="16" t="s">
        <v>1931</v>
      </c>
      <c r="G858" s="16" t="s">
        <v>2225</v>
      </c>
      <c r="I858" s="16" t="s">
        <v>2648</v>
      </c>
    </row>
    <row r="859" spans="1:10" hidden="1" x14ac:dyDescent="0.35">
      <c r="A859" s="16">
        <v>700</v>
      </c>
      <c r="B859" s="16" t="s">
        <v>1937</v>
      </c>
      <c r="C859" s="16" t="s">
        <v>1910</v>
      </c>
      <c r="D859" s="16" t="s">
        <v>124</v>
      </c>
      <c r="E859" s="16" t="s">
        <v>539</v>
      </c>
      <c r="F859" s="16" t="s">
        <v>1938</v>
      </c>
      <c r="G859" s="16" t="s">
        <v>2216</v>
      </c>
      <c r="I859" s="16" t="s">
        <v>2649</v>
      </c>
    </row>
    <row r="860" spans="1:10" hidden="1" x14ac:dyDescent="0.35">
      <c r="A860" s="16">
        <v>700</v>
      </c>
      <c r="B860" s="16" t="s">
        <v>1939</v>
      </c>
      <c r="C860" s="16" t="s">
        <v>1910</v>
      </c>
      <c r="D860" s="16" t="s">
        <v>198</v>
      </c>
      <c r="E860" s="16" t="s">
        <v>539</v>
      </c>
      <c r="F860" s="16" t="s">
        <v>1938</v>
      </c>
      <c r="G860" s="16" t="s">
        <v>1453</v>
      </c>
      <c r="I860" s="16" t="s">
        <v>2648</v>
      </c>
    </row>
    <row r="861" spans="1:10" hidden="1" x14ac:dyDescent="0.35">
      <c r="A861" s="16">
        <v>700</v>
      </c>
      <c r="B861" s="16" t="s">
        <v>1940</v>
      </c>
      <c r="C861" s="16" t="s">
        <v>633</v>
      </c>
      <c r="D861" s="16" t="s">
        <v>124</v>
      </c>
      <c r="E861" s="16" t="s">
        <v>559</v>
      </c>
      <c r="F861" s="16" t="s">
        <v>1938</v>
      </c>
      <c r="G861" s="16" t="s">
        <v>2226</v>
      </c>
      <c r="I861" s="16" t="s">
        <v>2649</v>
      </c>
    </row>
    <row r="862" spans="1:10" hidden="1" x14ac:dyDescent="0.35">
      <c r="A862" s="16">
        <v>700</v>
      </c>
      <c r="B862" s="16" t="s">
        <v>1941</v>
      </c>
      <c r="C862" s="16" t="s">
        <v>1942</v>
      </c>
      <c r="D862" s="16" t="s">
        <v>198</v>
      </c>
      <c r="E862" s="16" t="s">
        <v>539</v>
      </c>
      <c r="F862" s="16" t="s">
        <v>1938</v>
      </c>
      <c r="G862" s="16" t="s">
        <v>1453</v>
      </c>
      <c r="I862" s="16" t="s">
        <v>2648</v>
      </c>
    </row>
    <row r="863" spans="1:10" hidden="1" x14ac:dyDescent="0.35">
      <c r="A863" s="16">
        <v>700</v>
      </c>
      <c r="B863" s="16" t="s">
        <v>1943</v>
      </c>
      <c r="C863" s="16" t="s">
        <v>1942</v>
      </c>
      <c r="D863" s="16" t="s">
        <v>198</v>
      </c>
      <c r="E863" s="16" t="s">
        <v>538</v>
      </c>
      <c r="F863" s="16" t="s">
        <v>1938</v>
      </c>
      <c r="G863" s="16" t="s">
        <v>2227</v>
      </c>
      <c r="I863" s="16" t="s">
        <v>2648</v>
      </c>
    </row>
    <row r="864" spans="1:10" hidden="1" x14ac:dyDescent="0.35">
      <c r="A864" s="16">
        <v>700</v>
      </c>
      <c r="B864" s="16" t="s">
        <v>1944</v>
      </c>
      <c r="C864" s="16" t="s">
        <v>1942</v>
      </c>
      <c r="D864" s="16" t="s">
        <v>198</v>
      </c>
      <c r="E864" s="16" t="s">
        <v>538</v>
      </c>
      <c r="F864" s="16" t="s">
        <v>1938</v>
      </c>
      <c r="G864" s="16" t="s">
        <v>2228</v>
      </c>
      <c r="I864" s="16" t="s">
        <v>2648</v>
      </c>
    </row>
    <row r="865" spans="1:9" hidden="1" x14ac:dyDescent="0.35">
      <c r="A865" s="16">
        <v>706</v>
      </c>
      <c r="B865" s="16" t="s">
        <v>1945</v>
      </c>
      <c r="C865" s="16" t="s">
        <v>1946</v>
      </c>
      <c r="D865" s="16" t="s">
        <v>124</v>
      </c>
      <c r="E865" s="16" t="s">
        <v>539</v>
      </c>
      <c r="F865" s="16" t="s">
        <v>1947</v>
      </c>
      <c r="G865" s="16" t="s">
        <v>1467</v>
      </c>
      <c r="I865" s="16" t="s">
        <v>1948</v>
      </c>
    </row>
    <row r="866" spans="1:9" hidden="1" x14ac:dyDescent="0.35">
      <c r="A866" s="16">
        <v>706</v>
      </c>
      <c r="B866" s="16" t="s">
        <v>1949</v>
      </c>
      <c r="C866" s="16" t="s">
        <v>1919</v>
      </c>
      <c r="D866" s="16" t="s">
        <v>124</v>
      </c>
      <c r="E866" s="16" t="s">
        <v>539</v>
      </c>
      <c r="F866" s="16" t="s">
        <v>1947</v>
      </c>
      <c r="G866" s="16" t="s">
        <v>1467</v>
      </c>
      <c r="I866" s="16" t="s">
        <v>1948</v>
      </c>
    </row>
    <row r="867" spans="1:9" hidden="1" x14ac:dyDescent="0.35">
      <c r="A867" s="16">
        <v>706</v>
      </c>
      <c r="B867" s="16" t="s">
        <v>1950</v>
      </c>
      <c r="C867" s="16" t="s">
        <v>1919</v>
      </c>
      <c r="D867" s="16" t="s">
        <v>124</v>
      </c>
      <c r="E867" s="16" t="s">
        <v>539</v>
      </c>
      <c r="F867" s="16" t="s">
        <v>1947</v>
      </c>
      <c r="G867" s="16" t="s">
        <v>1467</v>
      </c>
      <c r="I867" s="16" t="s">
        <v>1948</v>
      </c>
    </row>
    <row r="868" spans="1:9" hidden="1" x14ac:dyDescent="0.35">
      <c r="A868" s="16">
        <v>706</v>
      </c>
      <c r="B868" s="16" t="s">
        <v>1951</v>
      </c>
      <c r="C868" s="16" t="s">
        <v>1952</v>
      </c>
      <c r="D868" s="16" t="s">
        <v>124</v>
      </c>
      <c r="E868" s="16" t="s">
        <v>539</v>
      </c>
      <c r="F868" s="16" t="s">
        <v>1947</v>
      </c>
      <c r="G868" s="16" t="s">
        <v>1467</v>
      </c>
      <c r="I868" s="16" t="s">
        <v>1948</v>
      </c>
    </row>
    <row r="869" spans="1:9" hidden="1" x14ac:dyDescent="0.35">
      <c r="A869" s="16">
        <v>706</v>
      </c>
      <c r="B869" s="16" t="s">
        <v>1953</v>
      </c>
      <c r="C869" s="16" t="s">
        <v>1298</v>
      </c>
      <c r="D869" s="16" t="s">
        <v>124</v>
      </c>
      <c r="E869" s="16" t="s">
        <v>539</v>
      </c>
      <c r="F869" s="16" t="s">
        <v>1947</v>
      </c>
      <c r="G869" s="16" t="s">
        <v>1467</v>
      </c>
      <c r="I869" s="16" t="s">
        <v>1948</v>
      </c>
    </row>
    <row r="870" spans="1:9" x14ac:dyDescent="0.35">
      <c r="A870" s="16">
        <v>720</v>
      </c>
      <c r="B870" s="16" t="s">
        <v>1954</v>
      </c>
      <c r="C870" s="16" t="s">
        <v>1955</v>
      </c>
      <c r="D870" s="16" t="s">
        <v>124</v>
      </c>
      <c r="E870" s="16" t="s">
        <v>538</v>
      </c>
      <c r="F870" s="16" t="s">
        <v>1956</v>
      </c>
      <c r="G870" s="16">
        <v>2020</v>
      </c>
      <c r="I870" s="16" t="s">
        <v>1957</v>
      </c>
    </row>
    <row r="871" spans="1:9" s="55" customFormat="1" hidden="1" x14ac:dyDescent="0.35">
      <c r="A871" s="55">
        <v>720</v>
      </c>
      <c r="B871" s="55" t="s">
        <v>1744</v>
      </c>
      <c r="C871" s="55" t="s">
        <v>1330</v>
      </c>
      <c r="D871" s="55" t="s">
        <v>124</v>
      </c>
      <c r="E871" s="55" t="s">
        <v>2243</v>
      </c>
      <c r="F871" s="55" t="s">
        <v>1956</v>
      </c>
      <c r="G871" s="55">
        <v>2020</v>
      </c>
      <c r="H871" s="68"/>
      <c r="I871" s="55" t="s">
        <v>1958</v>
      </c>
    </row>
    <row r="872" spans="1:9" hidden="1" x14ac:dyDescent="0.35">
      <c r="A872" s="16">
        <v>720</v>
      </c>
      <c r="B872" s="16" t="s">
        <v>1959</v>
      </c>
      <c r="C872" s="16" t="s">
        <v>1960</v>
      </c>
      <c r="D872" s="16" t="s">
        <v>124</v>
      </c>
      <c r="E872" s="16" t="s">
        <v>538</v>
      </c>
      <c r="F872" s="16" t="s">
        <v>1956</v>
      </c>
      <c r="G872" s="16">
        <v>2020</v>
      </c>
      <c r="I872" s="16" t="s">
        <v>1961</v>
      </c>
    </row>
    <row r="873" spans="1:9" hidden="1" x14ac:dyDescent="0.35">
      <c r="A873" s="16">
        <v>748</v>
      </c>
      <c r="B873" s="16" t="s">
        <v>1962</v>
      </c>
      <c r="C873" s="16" t="s">
        <v>633</v>
      </c>
      <c r="D873" s="16" t="s">
        <v>130</v>
      </c>
      <c r="E873" s="16" t="s">
        <v>813</v>
      </c>
      <c r="F873" s="16" t="s">
        <v>1963</v>
      </c>
      <c r="G873" s="16" t="s">
        <v>1785</v>
      </c>
      <c r="I873" s="16" t="s">
        <v>389</v>
      </c>
    </row>
    <row r="874" spans="1:9" hidden="1" x14ac:dyDescent="0.35">
      <c r="A874" s="16">
        <v>748</v>
      </c>
      <c r="B874" s="16" t="s">
        <v>1964</v>
      </c>
      <c r="C874" s="16" t="s">
        <v>1965</v>
      </c>
      <c r="D874" s="16" t="s">
        <v>130</v>
      </c>
      <c r="E874" s="16" t="s">
        <v>813</v>
      </c>
      <c r="F874" s="16" t="s">
        <v>1963</v>
      </c>
      <c r="G874" s="16" t="s">
        <v>1785</v>
      </c>
      <c r="I874" s="16" t="s">
        <v>389</v>
      </c>
    </row>
    <row r="875" spans="1:9" hidden="1" x14ac:dyDescent="0.35">
      <c r="A875" s="16">
        <v>748</v>
      </c>
      <c r="B875" s="16" t="s">
        <v>1966</v>
      </c>
      <c r="C875" s="16" t="s">
        <v>1967</v>
      </c>
      <c r="D875" s="16" t="s">
        <v>130</v>
      </c>
      <c r="E875" s="16" t="s">
        <v>813</v>
      </c>
      <c r="F875" s="16" t="s">
        <v>1963</v>
      </c>
      <c r="G875" s="16" t="s">
        <v>1785</v>
      </c>
      <c r="I875" s="16" t="s">
        <v>389</v>
      </c>
    </row>
    <row r="876" spans="1:9" hidden="1" x14ac:dyDescent="0.35">
      <c r="A876" s="16">
        <v>748</v>
      </c>
      <c r="B876" s="16" t="s">
        <v>1968</v>
      </c>
      <c r="C876" s="16" t="s">
        <v>1969</v>
      </c>
      <c r="D876" s="16" t="s">
        <v>130</v>
      </c>
      <c r="E876" s="16" t="s">
        <v>813</v>
      </c>
      <c r="F876" s="16" t="s">
        <v>1963</v>
      </c>
      <c r="G876" s="16" t="s">
        <v>1785</v>
      </c>
      <c r="I876" s="16" t="s">
        <v>389</v>
      </c>
    </row>
    <row r="877" spans="1:9" hidden="1" x14ac:dyDescent="0.35">
      <c r="A877" s="16">
        <v>748</v>
      </c>
      <c r="B877" s="16" t="s">
        <v>2591</v>
      </c>
      <c r="C877" s="16" t="s">
        <v>1969</v>
      </c>
      <c r="D877" s="16" t="s">
        <v>130</v>
      </c>
      <c r="E877" s="16" t="s">
        <v>813</v>
      </c>
      <c r="F877" s="16" t="s">
        <v>1963</v>
      </c>
      <c r="G877" s="16" t="s">
        <v>1785</v>
      </c>
      <c r="I877" s="16" t="s">
        <v>389</v>
      </c>
    </row>
    <row r="878" spans="1:9" hidden="1" x14ac:dyDescent="0.35">
      <c r="A878" s="16">
        <v>748</v>
      </c>
      <c r="B878" s="16" t="s">
        <v>2592</v>
      </c>
      <c r="C878" s="16" t="s">
        <v>1969</v>
      </c>
      <c r="D878" s="16" t="s">
        <v>130</v>
      </c>
      <c r="E878" s="16" t="s">
        <v>813</v>
      </c>
      <c r="F878" s="16" t="s">
        <v>1963</v>
      </c>
      <c r="G878" s="16" t="s">
        <v>1785</v>
      </c>
      <c r="I878" s="16" t="s">
        <v>389</v>
      </c>
    </row>
    <row r="879" spans="1:9" hidden="1" x14ac:dyDescent="0.35">
      <c r="A879" s="16">
        <v>748</v>
      </c>
      <c r="B879" s="16" t="s">
        <v>2593</v>
      </c>
      <c r="C879" s="16" t="s">
        <v>1969</v>
      </c>
      <c r="D879" s="16" t="s">
        <v>130</v>
      </c>
      <c r="E879" s="16" t="s">
        <v>813</v>
      </c>
      <c r="F879" s="16" t="s">
        <v>1963</v>
      </c>
      <c r="G879" s="16" t="s">
        <v>1785</v>
      </c>
      <c r="I879" s="16" t="s">
        <v>389</v>
      </c>
    </row>
    <row r="880" spans="1:9" hidden="1" x14ac:dyDescent="0.35">
      <c r="A880" s="16">
        <v>748</v>
      </c>
      <c r="B880" s="16" t="s">
        <v>2594</v>
      </c>
      <c r="C880" s="16" t="s">
        <v>1969</v>
      </c>
      <c r="D880" s="16" t="s">
        <v>130</v>
      </c>
      <c r="E880" s="16" t="s">
        <v>813</v>
      </c>
      <c r="F880" s="16" t="s">
        <v>1963</v>
      </c>
      <c r="G880" s="16" t="s">
        <v>1785</v>
      </c>
      <c r="I880" s="16" t="s">
        <v>389</v>
      </c>
    </row>
    <row r="881" spans="1:9" hidden="1" x14ac:dyDescent="0.35">
      <c r="A881" s="16">
        <v>748</v>
      </c>
      <c r="B881" s="16" t="s">
        <v>1970</v>
      </c>
      <c r="C881" s="16" t="s">
        <v>1946</v>
      </c>
      <c r="D881" s="16" t="s">
        <v>130</v>
      </c>
      <c r="E881" s="16" t="s">
        <v>813</v>
      </c>
      <c r="F881" s="16" t="s">
        <v>1963</v>
      </c>
      <c r="G881" s="16" t="s">
        <v>1785</v>
      </c>
      <c r="I881" s="16" t="s">
        <v>389</v>
      </c>
    </row>
    <row r="882" spans="1:9" hidden="1" x14ac:dyDescent="0.35">
      <c r="A882" s="16">
        <v>748</v>
      </c>
      <c r="B882" s="16" t="s">
        <v>416</v>
      </c>
      <c r="C882" s="16" t="s">
        <v>1298</v>
      </c>
      <c r="D882" s="16" t="s">
        <v>130</v>
      </c>
      <c r="E882" s="16" t="s">
        <v>813</v>
      </c>
      <c r="F882" s="16" t="s">
        <v>1963</v>
      </c>
      <c r="G882" s="16" t="s">
        <v>1785</v>
      </c>
      <c r="I882" s="16" t="s">
        <v>389</v>
      </c>
    </row>
    <row r="883" spans="1:9" hidden="1" x14ac:dyDescent="0.35">
      <c r="A883" s="16">
        <v>756</v>
      </c>
      <c r="B883" s="16" t="s">
        <v>1971</v>
      </c>
      <c r="C883" s="16" t="s">
        <v>1972</v>
      </c>
      <c r="D883" s="16" t="s">
        <v>124</v>
      </c>
      <c r="E883" s="16" t="s">
        <v>536</v>
      </c>
      <c r="F883" s="16" t="s">
        <v>135</v>
      </c>
      <c r="G883" s="16">
        <v>1995</v>
      </c>
      <c r="I883" s="16" t="s">
        <v>1973</v>
      </c>
    </row>
    <row r="884" spans="1:9" hidden="1" x14ac:dyDescent="0.35">
      <c r="A884" s="16">
        <v>756</v>
      </c>
      <c r="B884" s="16" t="s">
        <v>1974</v>
      </c>
      <c r="C884" s="16" t="s">
        <v>633</v>
      </c>
      <c r="D884" s="16" t="s">
        <v>124</v>
      </c>
      <c r="E884" s="16" t="s">
        <v>536</v>
      </c>
      <c r="F884" s="16" t="s">
        <v>135</v>
      </c>
      <c r="G884" s="16">
        <v>1995</v>
      </c>
      <c r="I884" s="16" t="s">
        <v>1973</v>
      </c>
    </row>
    <row r="885" spans="1:9" hidden="1" x14ac:dyDescent="0.35">
      <c r="A885" s="16">
        <v>767</v>
      </c>
      <c r="B885" s="16" t="s">
        <v>1975</v>
      </c>
      <c r="C885" s="16" t="s">
        <v>626</v>
      </c>
      <c r="D885" s="16" t="s">
        <v>124</v>
      </c>
      <c r="E885" s="16" t="s">
        <v>536</v>
      </c>
      <c r="F885" s="16" t="s">
        <v>1976</v>
      </c>
      <c r="G885" s="16" t="s">
        <v>2229</v>
      </c>
      <c r="I885" s="16" t="s">
        <v>1977</v>
      </c>
    </row>
    <row r="886" spans="1:9" hidden="1" x14ac:dyDescent="0.35">
      <c r="A886" s="16">
        <v>769</v>
      </c>
      <c r="B886" s="16" t="s">
        <v>1978</v>
      </c>
      <c r="C886" s="16" t="s">
        <v>1919</v>
      </c>
      <c r="D886" s="16" t="s">
        <v>198</v>
      </c>
      <c r="E886" s="16" t="s">
        <v>539</v>
      </c>
      <c r="F886" s="16" t="s">
        <v>1979</v>
      </c>
      <c r="G886" s="16">
        <v>2013</v>
      </c>
      <c r="I886" s="16" t="s">
        <v>2650</v>
      </c>
    </row>
    <row r="887" spans="1:9" hidden="1" x14ac:dyDescent="0.35">
      <c r="A887" s="16">
        <v>769</v>
      </c>
      <c r="B887" s="16" t="s">
        <v>1980</v>
      </c>
      <c r="C887" s="16" t="s">
        <v>1919</v>
      </c>
      <c r="D887" s="16" t="s">
        <v>198</v>
      </c>
      <c r="E887" s="16" t="s">
        <v>539</v>
      </c>
      <c r="F887" s="16" t="s">
        <v>1979</v>
      </c>
      <c r="G887" s="16">
        <v>2013</v>
      </c>
      <c r="I887" s="16" t="s">
        <v>389</v>
      </c>
    </row>
    <row r="888" spans="1:9" hidden="1" x14ac:dyDescent="0.35">
      <c r="A888" s="16">
        <v>769</v>
      </c>
      <c r="B888" s="16" t="s">
        <v>1981</v>
      </c>
      <c r="C888" s="16" t="s">
        <v>633</v>
      </c>
      <c r="D888" s="16" t="s">
        <v>198</v>
      </c>
      <c r="E888" s="16" t="s">
        <v>539</v>
      </c>
      <c r="F888" s="16" t="s">
        <v>1979</v>
      </c>
      <c r="G888" s="16">
        <v>2013</v>
      </c>
      <c r="I888" s="16" t="s">
        <v>2651</v>
      </c>
    </row>
    <row r="889" spans="1:9" hidden="1" x14ac:dyDescent="0.35">
      <c r="A889" s="16">
        <v>769</v>
      </c>
      <c r="B889" s="16" t="s">
        <v>1982</v>
      </c>
      <c r="C889" s="16" t="s">
        <v>628</v>
      </c>
      <c r="D889" s="16" t="s">
        <v>198</v>
      </c>
      <c r="E889" s="16" t="s">
        <v>539</v>
      </c>
      <c r="F889" s="16" t="s">
        <v>1979</v>
      </c>
      <c r="G889" s="16">
        <v>2013</v>
      </c>
      <c r="I889" s="16" t="s">
        <v>2651</v>
      </c>
    </row>
    <row r="890" spans="1:9" hidden="1" x14ac:dyDescent="0.35">
      <c r="A890" s="16">
        <v>798</v>
      </c>
      <c r="B890" s="16" t="s">
        <v>1983</v>
      </c>
      <c r="C890" s="16" t="s">
        <v>633</v>
      </c>
      <c r="D890" s="16" t="s">
        <v>124</v>
      </c>
      <c r="E890" s="16" t="s">
        <v>559</v>
      </c>
      <c r="F890" s="16" t="s">
        <v>135</v>
      </c>
      <c r="G890" s="16">
        <v>2019</v>
      </c>
      <c r="I890" s="16" t="s">
        <v>1984</v>
      </c>
    </row>
    <row r="891" spans="1:9" hidden="1" x14ac:dyDescent="0.35">
      <c r="A891" s="16">
        <v>798</v>
      </c>
      <c r="B891" s="16" t="s">
        <v>1985</v>
      </c>
      <c r="C891" s="16" t="s">
        <v>1919</v>
      </c>
      <c r="D891" s="16" t="s">
        <v>124</v>
      </c>
      <c r="E891" s="16" t="s">
        <v>539</v>
      </c>
      <c r="F891" s="16" t="s">
        <v>135</v>
      </c>
      <c r="G891" s="16">
        <v>2019</v>
      </c>
      <c r="I891" s="16" t="s">
        <v>1986</v>
      </c>
    </row>
    <row r="892" spans="1:9" hidden="1" x14ac:dyDescent="0.35">
      <c r="A892" s="16">
        <v>798</v>
      </c>
      <c r="B892" s="16" t="s">
        <v>1987</v>
      </c>
      <c r="C892" s="16" t="s">
        <v>1919</v>
      </c>
      <c r="D892" s="16" t="s">
        <v>124</v>
      </c>
      <c r="E892" s="16" t="s">
        <v>539</v>
      </c>
      <c r="F892" s="16" t="s">
        <v>135</v>
      </c>
      <c r="G892" s="16">
        <v>2019</v>
      </c>
      <c r="I892" s="16" t="s">
        <v>1986</v>
      </c>
    </row>
    <row r="893" spans="1:9" hidden="1" x14ac:dyDescent="0.35">
      <c r="A893" s="16">
        <v>798</v>
      </c>
      <c r="B893" s="16" t="s">
        <v>1988</v>
      </c>
      <c r="C893" s="16" t="s">
        <v>1298</v>
      </c>
      <c r="D893" s="16" t="s">
        <v>428</v>
      </c>
      <c r="E893" s="16" t="s">
        <v>428</v>
      </c>
      <c r="F893" s="16" t="s">
        <v>135</v>
      </c>
      <c r="G893" s="16">
        <v>2019</v>
      </c>
      <c r="I893" s="16" t="s">
        <v>1986</v>
      </c>
    </row>
    <row r="894" spans="1:9" hidden="1" x14ac:dyDescent="0.35">
      <c r="A894" s="16">
        <v>798</v>
      </c>
      <c r="B894" s="16" t="s">
        <v>1989</v>
      </c>
      <c r="C894" s="16" t="s">
        <v>633</v>
      </c>
      <c r="D894" s="16" t="s">
        <v>124</v>
      </c>
      <c r="E894" s="16" t="s">
        <v>539</v>
      </c>
      <c r="F894" s="16" t="s">
        <v>135</v>
      </c>
      <c r="G894" s="16">
        <v>2019</v>
      </c>
      <c r="I894" s="16" t="s">
        <v>1986</v>
      </c>
    </row>
    <row r="895" spans="1:9" hidden="1" x14ac:dyDescent="0.35">
      <c r="A895" s="16">
        <v>798</v>
      </c>
      <c r="B895" s="16" t="s">
        <v>1990</v>
      </c>
      <c r="C895" s="16" t="s">
        <v>633</v>
      </c>
      <c r="D895" s="16" t="s">
        <v>124</v>
      </c>
      <c r="E895" s="16" t="s">
        <v>539</v>
      </c>
      <c r="F895" s="16" t="s">
        <v>135</v>
      </c>
      <c r="G895" s="16">
        <v>2019</v>
      </c>
      <c r="I895" s="16" t="s">
        <v>1986</v>
      </c>
    </row>
    <row r="896" spans="1:9" hidden="1" x14ac:dyDescent="0.35">
      <c r="A896" s="16">
        <v>798</v>
      </c>
      <c r="B896" s="16" t="s">
        <v>1991</v>
      </c>
      <c r="C896" s="16" t="s">
        <v>1298</v>
      </c>
      <c r="D896" s="16" t="s">
        <v>124</v>
      </c>
      <c r="E896" s="16" t="s">
        <v>539</v>
      </c>
      <c r="F896" s="16" t="s">
        <v>135</v>
      </c>
      <c r="G896" s="16">
        <v>2019</v>
      </c>
      <c r="I896" s="16" t="s">
        <v>1986</v>
      </c>
    </row>
    <row r="897" spans="1:9" hidden="1" x14ac:dyDescent="0.35">
      <c r="A897" s="16">
        <v>798</v>
      </c>
      <c r="B897" s="16" t="s">
        <v>1992</v>
      </c>
      <c r="C897" s="16" t="s">
        <v>1993</v>
      </c>
      <c r="D897" s="16" t="s">
        <v>130</v>
      </c>
      <c r="E897" s="16" t="s">
        <v>539</v>
      </c>
      <c r="F897" s="16" t="s">
        <v>1994</v>
      </c>
      <c r="G897" s="16">
        <v>2019</v>
      </c>
      <c r="I897" s="16" t="s">
        <v>1986</v>
      </c>
    </row>
    <row r="898" spans="1:9" hidden="1" x14ac:dyDescent="0.35">
      <c r="A898" s="16">
        <v>798</v>
      </c>
      <c r="B898" s="16" t="s">
        <v>1995</v>
      </c>
      <c r="C898" s="16" t="s">
        <v>1996</v>
      </c>
      <c r="D898" s="16" t="s">
        <v>130</v>
      </c>
      <c r="E898" s="16" t="s">
        <v>813</v>
      </c>
      <c r="F898" s="16" t="s">
        <v>1994</v>
      </c>
      <c r="G898" s="16">
        <v>2019</v>
      </c>
      <c r="I898" s="16" t="s">
        <v>1986</v>
      </c>
    </row>
    <row r="899" spans="1:9" hidden="1" x14ac:dyDescent="0.35">
      <c r="A899" s="16">
        <v>798</v>
      </c>
      <c r="B899" s="16" t="s">
        <v>2561</v>
      </c>
      <c r="C899" s="16" t="s">
        <v>1997</v>
      </c>
      <c r="D899" s="16" t="s">
        <v>130</v>
      </c>
      <c r="E899" s="16" t="s">
        <v>813</v>
      </c>
      <c r="F899" s="16" t="s">
        <v>1994</v>
      </c>
      <c r="G899" s="16">
        <v>2019</v>
      </c>
      <c r="I899" s="16" t="s">
        <v>1986</v>
      </c>
    </row>
    <row r="900" spans="1:9" hidden="1" x14ac:dyDescent="0.35">
      <c r="A900" s="16">
        <v>798</v>
      </c>
      <c r="B900" s="16" t="s">
        <v>1998</v>
      </c>
      <c r="C900" s="16" t="s">
        <v>1999</v>
      </c>
      <c r="D900" s="16" t="s">
        <v>130</v>
      </c>
      <c r="E900" s="16" t="s">
        <v>813</v>
      </c>
      <c r="F900" s="16" t="s">
        <v>1994</v>
      </c>
      <c r="G900" s="16">
        <v>2019</v>
      </c>
      <c r="I900" s="16" t="s">
        <v>1986</v>
      </c>
    </row>
    <row r="901" spans="1:9" hidden="1" x14ac:dyDescent="0.35">
      <c r="A901" s="16">
        <v>798</v>
      </c>
      <c r="B901" s="16" t="s">
        <v>1966</v>
      </c>
      <c r="C901" s="16" t="s">
        <v>2000</v>
      </c>
      <c r="D901" s="16" t="s">
        <v>130</v>
      </c>
      <c r="E901" s="16" t="s">
        <v>813</v>
      </c>
      <c r="F901" s="16" t="s">
        <v>1994</v>
      </c>
      <c r="G901" s="16">
        <v>2019</v>
      </c>
      <c r="I901" s="16" t="s">
        <v>1986</v>
      </c>
    </row>
    <row r="902" spans="1:9" hidden="1" x14ac:dyDescent="0.35">
      <c r="A902" s="16">
        <v>798</v>
      </c>
      <c r="B902" s="16" t="s">
        <v>2001</v>
      </c>
      <c r="C902" s="16" t="s">
        <v>2002</v>
      </c>
      <c r="D902" s="16" t="s">
        <v>130</v>
      </c>
      <c r="E902" s="16" t="s">
        <v>1118</v>
      </c>
      <c r="F902" s="16" t="s">
        <v>1994</v>
      </c>
      <c r="G902" s="16">
        <v>2019</v>
      </c>
      <c r="I902" s="16" t="s">
        <v>1986</v>
      </c>
    </row>
    <row r="903" spans="1:9" hidden="1" x14ac:dyDescent="0.35">
      <c r="A903" s="16">
        <v>798</v>
      </c>
      <c r="B903" s="16" t="s">
        <v>2003</v>
      </c>
      <c r="C903" s="16" t="s">
        <v>2002</v>
      </c>
      <c r="D903" s="16" t="s">
        <v>130</v>
      </c>
      <c r="E903" s="16" t="s">
        <v>1118</v>
      </c>
      <c r="F903" s="16" t="s">
        <v>1994</v>
      </c>
      <c r="G903" s="16">
        <v>2019</v>
      </c>
      <c r="I903" s="16" t="s">
        <v>1986</v>
      </c>
    </row>
    <row r="904" spans="1:9" hidden="1" x14ac:dyDescent="0.35">
      <c r="A904" s="16">
        <v>798</v>
      </c>
      <c r="B904" s="16" t="s">
        <v>2004</v>
      </c>
      <c r="C904" s="16" t="s">
        <v>2005</v>
      </c>
      <c r="D904" s="16" t="s">
        <v>130</v>
      </c>
      <c r="E904" s="16" t="s">
        <v>813</v>
      </c>
      <c r="F904" s="16" t="s">
        <v>1994</v>
      </c>
      <c r="G904" s="16">
        <v>2019</v>
      </c>
      <c r="I904" s="16" t="s">
        <v>1986</v>
      </c>
    </row>
    <row r="905" spans="1:9" x14ac:dyDescent="0.35">
      <c r="A905" s="16">
        <v>800</v>
      </c>
      <c r="B905" s="16" t="s">
        <v>602</v>
      </c>
      <c r="C905" s="16" t="s">
        <v>1919</v>
      </c>
      <c r="D905" s="16" t="s">
        <v>124</v>
      </c>
      <c r="E905" s="16" t="s">
        <v>539</v>
      </c>
      <c r="F905" s="16" t="s">
        <v>1947</v>
      </c>
      <c r="G905" s="16">
        <v>2017</v>
      </c>
      <c r="H905" s="50" t="s">
        <v>403</v>
      </c>
      <c r="I905" s="16" t="s">
        <v>2006</v>
      </c>
    </row>
    <row r="906" spans="1:9" x14ac:dyDescent="0.35">
      <c r="A906" s="16">
        <v>800</v>
      </c>
      <c r="B906" s="16" t="s">
        <v>2007</v>
      </c>
      <c r="C906" s="16" t="s">
        <v>1298</v>
      </c>
      <c r="D906" s="16" t="s">
        <v>124</v>
      </c>
      <c r="E906" s="16" t="s">
        <v>539</v>
      </c>
      <c r="F906" s="16" t="s">
        <v>1947</v>
      </c>
      <c r="G906" s="16">
        <v>2018</v>
      </c>
      <c r="H906" s="50" t="s">
        <v>403</v>
      </c>
      <c r="I906" s="16" t="s">
        <v>2006</v>
      </c>
    </row>
    <row r="907" spans="1:9" x14ac:dyDescent="0.35">
      <c r="A907" s="16">
        <v>800</v>
      </c>
      <c r="B907" s="16" t="s">
        <v>2008</v>
      </c>
      <c r="C907" s="16" t="s">
        <v>1298</v>
      </c>
      <c r="D907" s="16" t="s">
        <v>124</v>
      </c>
      <c r="E907" s="16" t="s">
        <v>539</v>
      </c>
      <c r="F907" s="16" t="s">
        <v>1947</v>
      </c>
      <c r="G907" s="16">
        <v>2019</v>
      </c>
      <c r="H907" s="50" t="s">
        <v>403</v>
      </c>
      <c r="I907" s="16" t="s">
        <v>2006</v>
      </c>
    </row>
    <row r="908" spans="1:9" x14ac:dyDescent="0.35">
      <c r="A908" s="16">
        <v>800</v>
      </c>
      <c r="B908" s="16" t="s">
        <v>2009</v>
      </c>
      <c r="C908" s="16" t="s">
        <v>633</v>
      </c>
      <c r="D908" s="16" t="s">
        <v>124</v>
      </c>
      <c r="E908" s="16" t="s">
        <v>559</v>
      </c>
      <c r="F908" s="16" t="s">
        <v>1947</v>
      </c>
      <c r="G908" s="16">
        <v>2020</v>
      </c>
      <c r="H908" s="50" t="s">
        <v>403</v>
      </c>
      <c r="I908" s="16" t="s">
        <v>2006</v>
      </c>
    </row>
    <row r="909" spans="1:9" x14ac:dyDescent="0.35">
      <c r="A909" s="16">
        <v>800</v>
      </c>
      <c r="B909" s="16" t="s">
        <v>2010</v>
      </c>
      <c r="C909" s="16" t="s">
        <v>633</v>
      </c>
      <c r="D909" s="16" t="s">
        <v>130</v>
      </c>
      <c r="E909" s="16" t="s">
        <v>559</v>
      </c>
      <c r="F909" s="16" t="s">
        <v>1947</v>
      </c>
      <c r="G909" s="16">
        <v>2021</v>
      </c>
      <c r="H909" s="50" t="s">
        <v>403</v>
      </c>
      <c r="I909" s="16" t="s">
        <v>2006</v>
      </c>
    </row>
    <row r="910" spans="1:9" x14ac:dyDescent="0.35">
      <c r="A910" s="16">
        <v>800</v>
      </c>
      <c r="B910" s="16" t="s">
        <v>2614</v>
      </c>
      <c r="C910" s="16" t="s">
        <v>633</v>
      </c>
      <c r="D910" s="16" t="s">
        <v>124</v>
      </c>
      <c r="E910" s="16" t="s">
        <v>559</v>
      </c>
      <c r="F910" s="16" t="s">
        <v>1947</v>
      </c>
      <c r="G910" s="16">
        <v>2022</v>
      </c>
      <c r="H910" s="50" t="s">
        <v>403</v>
      </c>
      <c r="I910" s="16" t="s">
        <v>2006</v>
      </c>
    </row>
    <row r="911" spans="1:9" x14ac:dyDescent="0.35">
      <c r="A911" s="16">
        <v>800</v>
      </c>
      <c r="B911" s="16" t="s">
        <v>2011</v>
      </c>
      <c r="C911" s="16" t="s">
        <v>2012</v>
      </c>
      <c r="D911" s="16" t="s">
        <v>124</v>
      </c>
      <c r="E911" s="16" t="s">
        <v>536</v>
      </c>
      <c r="F911" s="16" t="s">
        <v>1947</v>
      </c>
      <c r="G911" s="16">
        <v>2023</v>
      </c>
      <c r="H911" s="50" t="s">
        <v>403</v>
      </c>
      <c r="I911" s="16" t="s">
        <v>2006</v>
      </c>
    </row>
    <row r="912" spans="1:9" x14ac:dyDescent="0.35">
      <c r="A912" s="16">
        <v>800</v>
      </c>
      <c r="B912" s="16" t="s">
        <v>2013</v>
      </c>
      <c r="C912" s="16" t="s">
        <v>626</v>
      </c>
      <c r="D912" s="16" t="s">
        <v>124</v>
      </c>
      <c r="E912" s="16" t="s">
        <v>536</v>
      </c>
      <c r="F912" s="16" t="s">
        <v>1947</v>
      </c>
      <c r="G912" s="16">
        <v>2024</v>
      </c>
      <c r="H912" s="50" t="s">
        <v>403</v>
      </c>
      <c r="I912" s="16" t="s">
        <v>2006</v>
      </c>
    </row>
    <row r="913" spans="1:9" x14ac:dyDescent="0.35">
      <c r="A913" s="16">
        <v>800</v>
      </c>
      <c r="B913" s="16" t="s">
        <v>2014</v>
      </c>
      <c r="C913" s="16" t="s">
        <v>626</v>
      </c>
      <c r="D913" s="16" t="s">
        <v>124</v>
      </c>
      <c r="E913" s="16" t="s">
        <v>536</v>
      </c>
      <c r="F913" s="16" t="s">
        <v>1947</v>
      </c>
      <c r="G913" s="16">
        <v>2025</v>
      </c>
      <c r="H913" s="50" t="s">
        <v>403</v>
      </c>
      <c r="I913" s="16" t="s">
        <v>2006</v>
      </c>
    </row>
    <row r="914" spans="1:9" hidden="1" x14ac:dyDescent="0.35">
      <c r="A914" s="16">
        <v>817</v>
      </c>
      <c r="B914" s="16" t="s">
        <v>2015</v>
      </c>
      <c r="C914" s="16" t="s">
        <v>1298</v>
      </c>
      <c r="D914" s="16" t="s">
        <v>124</v>
      </c>
      <c r="E914" s="16" t="s">
        <v>1329</v>
      </c>
      <c r="F914" s="16" t="s">
        <v>1956</v>
      </c>
      <c r="G914" s="16">
        <v>2022</v>
      </c>
      <c r="I914" s="16" t="s">
        <v>2016</v>
      </c>
    </row>
    <row r="915" spans="1:9" hidden="1" x14ac:dyDescent="0.35">
      <c r="A915" s="16">
        <v>817</v>
      </c>
      <c r="B915" s="16" t="s">
        <v>2615</v>
      </c>
      <c r="C915" s="16" t="s">
        <v>628</v>
      </c>
      <c r="D915" s="16" t="s">
        <v>124</v>
      </c>
      <c r="E915" s="16" t="s">
        <v>559</v>
      </c>
      <c r="F915" s="16" t="s">
        <v>122</v>
      </c>
      <c r="G915" s="16">
        <v>2022</v>
      </c>
      <c r="I915" s="16" t="s">
        <v>2017</v>
      </c>
    </row>
    <row r="916" spans="1:9" hidden="1" x14ac:dyDescent="0.35">
      <c r="A916" s="16">
        <v>817</v>
      </c>
      <c r="B916" s="16" t="s">
        <v>2018</v>
      </c>
      <c r="C916" s="16" t="s">
        <v>626</v>
      </c>
      <c r="D916" s="16" t="s">
        <v>124</v>
      </c>
      <c r="E916" s="16" t="s">
        <v>559</v>
      </c>
      <c r="F916" s="16" t="s">
        <v>122</v>
      </c>
      <c r="G916" s="16">
        <v>2022</v>
      </c>
      <c r="I916" s="16" t="s">
        <v>2017</v>
      </c>
    </row>
    <row r="917" spans="1:9" hidden="1" x14ac:dyDescent="0.35">
      <c r="A917" s="16">
        <v>817</v>
      </c>
      <c r="B917" s="16" t="s">
        <v>2616</v>
      </c>
      <c r="C917" s="16" t="s">
        <v>633</v>
      </c>
      <c r="D917" s="16" t="s">
        <v>124</v>
      </c>
      <c r="E917" s="16" t="s">
        <v>428</v>
      </c>
      <c r="F917" s="16" t="s">
        <v>122</v>
      </c>
      <c r="G917" s="16">
        <v>2022</v>
      </c>
      <c r="I917" s="16" t="s">
        <v>2017</v>
      </c>
    </row>
    <row r="918" spans="1:9" hidden="1" x14ac:dyDescent="0.35">
      <c r="A918" s="16">
        <v>817</v>
      </c>
      <c r="B918" s="16" t="s">
        <v>2019</v>
      </c>
      <c r="C918" s="16" t="s">
        <v>633</v>
      </c>
      <c r="D918" s="16" t="s">
        <v>124</v>
      </c>
      <c r="E918" s="16" t="s">
        <v>428</v>
      </c>
      <c r="F918" s="16" t="s">
        <v>122</v>
      </c>
      <c r="G918" s="16">
        <v>2022</v>
      </c>
      <c r="I918" s="16" t="s">
        <v>2017</v>
      </c>
    </row>
    <row r="919" spans="1:9" hidden="1" x14ac:dyDescent="0.35">
      <c r="A919" s="16">
        <v>817</v>
      </c>
      <c r="B919" s="16" t="s">
        <v>2020</v>
      </c>
      <c r="C919" s="16" t="s">
        <v>2021</v>
      </c>
      <c r="D919" s="16" t="s">
        <v>124</v>
      </c>
      <c r="E919" s="16" t="s">
        <v>1118</v>
      </c>
      <c r="F919" s="16" t="s">
        <v>122</v>
      </c>
      <c r="G919" s="16">
        <v>2022</v>
      </c>
      <c r="I919" s="16" t="s">
        <v>2022</v>
      </c>
    </row>
    <row r="920" spans="1:9" hidden="1" x14ac:dyDescent="0.35">
      <c r="A920" s="16">
        <v>817</v>
      </c>
      <c r="B920" s="16" t="s">
        <v>2023</v>
      </c>
      <c r="C920" s="16" t="s">
        <v>2024</v>
      </c>
      <c r="D920" s="16" t="s">
        <v>124</v>
      </c>
      <c r="E920" s="16" t="s">
        <v>2243</v>
      </c>
      <c r="F920" s="16" t="s">
        <v>122</v>
      </c>
      <c r="G920" s="16">
        <v>2022</v>
      </c>
      <c r="I920" s="16" t="s">
        <v>2025</v>
      </c>
    </row>
    <row r="921" spans="1:9" hidden="1" x14ac:dyDescent="0.35">
      <c r="A921" s="16">
        <v>817</v>
      </c>
      <c r="B921" s="16" t="s">
        <v>2026</v>
      </c>
      <c r="C921" s="16" t="s">
        <v>2027</v>
      </c>
      <c r="D921" s="16" t="s">
        <v>124</v>
      </c>
      <c r="E921" s="16" t="s">
        <v>150</v>
      </c>
      <c r="F921" s="16" t="s">
        <v>122</v>
      </c>
      <c r="G921" s="16">
        <v>2022</v>
      </c>
      <c r="I921" s="16" t="s">
        <v>2028</v>
      </c>
    </row>
    <row r="922" spans="1:9" hidden="1" x14ac:dyDescent="0.35">
      <c r="A922" s="16">
        <v>817</v>
      </c>
      <c r="B922" s="16" t="s">
        <v>134</v>
      </c>
      <c r="C922" s="16" t="s">
        <v>1298</v>
      </c>
      <c r="D922" s="16" t="s">
        <v>124</v>
      </c>
      <c r="E922" s="16" t="s">
        <v>1329</v>
      </c>
      <c r="F922" s="16" t="s">
        <v>1956</v>
      </c>
      <c r="G922" s="16">
        <v>2022</v>
      </c>
      <c r="I922" s="16" t="s">
        <v>2028</v>
      </c>
    </row>
    <row r="923" spans="1:9" hidden="1" x14ac:dyDescent="0.35">
      <c r="A923" s="16">
        <v>819</v>
      </c>
      <c r="B923" s="16" t="s">
        <v>2029</v>
      </c>
      <c r="D923" s="16" t="s">
        <v>124</v>
      </c>
      <c r="E923" s="16" t="s">
        <v>538</v>
      </c>
      <c r="F923" s="16" t="s">
        <v>135</v>
      </c>
      <c r="G923" s="16">
        <v>2010</v>
      </c>
      <c r="I923" s="16" t="s">
        <v>2030</v>
      </c>
    </row>
    <row r="924" spans="1:9" hidden="1" x14ac:dyDescent="0.35">
      <c r="A924" s="16">
        <v>819</v>
      </c>
      <c r="B924" s="16" t="s">
        <v>2031</v>
      </c>
      <c r="C924" s="16" t="s">
        <v>1919</v>
      </c>
      <c r="D924" s="16" t="s">
        <v>124</v>
      </c>
      <c r="E924" s="16" t="s">
        <v>536</v>
      </c>
      <c r="F924" s="16" t="s">
        <v>1956</v>
      </c>
      <c r="G924" s="16">
        <v>2010</v>
      </c>
      <c r="I924" s="16" t="s">
        <v>2032</v>
      </c>
    </row>
    <row r="925" spans="1:9" hidden="1" x14ac:dyDescent="0.35">
      <c r="A925" s="16">
        <v>819</v>
      </c>
      <c r="B925" s="16" t="s">
        <v>2033</v>
      </c>
      <c r="C925" s="16" t="s">
        <v>2034</v>
      </c>
      <c r="D925" s="16" t="s">
        <v>124</v>
      </c>
      <c r="E925" s="16" t="s">
        <v>536</v>
      </c>
      <c r="F925" s="16" t="s">
        <v>1956</v>
      </c>
      <c r="G925" s="16">
        <v>2010</v>
      </c>
      <c r="I925" s="16" t="s">
        <v>2035</v>
      </c>
    </row>
    <row r="926" spans="1:9" hidden="1" x14ac:dyDescent="0.35">
      <c r="A926" s="16">
        <v>819</v>
      </c>
      <c r="B926" s="16" t="s">
        <v>2036</v>
      </c>
      <c r="C926" s="16" t="s">
        <v>633</v>
      </c>
      <c r="D926" s="16" t="s">
        <v>124</v>
      </c>
      <c r="E926" s="16" t="s">
        <v>536</v>
      </c>
      <c r="F926" s="16" t="s">
        <v>1956</v>
      </c>
      <c r="G926" s="16">
        <v>2010</v>
      </c>
      <c r="I926" s="16" t="s">
        <v>2037</v>
      </c>
    </row>
    <row r="927" spans="1:9" hidden="1" x14ac:dyDescent="0.35">
      <c r="A927" s="16">
        <v>400</v>
      </c>
      <c r="B927" s="16" t="s">
        <v>2059</v>
      </c>
      <c r="C927" s="16" t="s">
        <v>633</v>
      </c>
      <c r="D927" s="16" t="s">
        <v>130</v>
      </c>
      <c r="E927" s="16" t="s">
        <v>813</v>
      </c>
      <c r="F927" s="16" t="s">
        <v>135</v>
      </c>
      <c r="G927" s="16">
        <v>2021</v>
      </c>
      <c r="I927" s="16" t="s">
        <v>2060</v>
      </c>
    </row>
    <row r="928" spans="1:9" hidden="1" x14ac:dyDescent="0.35">
      <c r="A928" s="16">
        <v>400</v>
      </c>
      <c r="B928" s="16" t="s">
        <v>814</v>
      </c>
      <c r="C928" s="16" t="s">
        <v>2061</v>
      </c>
      <c r="D928" s="16" t="s">
        <v>130</v>
      </c>
      <c r="E928" s="16" t="s">
        <v>813</v>
      </c>
      <c r="F928" s="16" t="s">
        <v>135</v>
      </c>
      <c r="G928" s="16">
        <v>2021</v>
      </c>
      <c r="I928" s="16" t="s">
        <v>2060</v>
      </c>
    </row>
    <row r="929" spans="1:10" hidden="1" x14ac:dyDescent="0.35">
      <c r="A929" s="16">
        <v>400</v>
      </c>
      <c r="B929" s="16" t="s">
        <v>286</v>
      </c>
      <c r="D929" s="16" t="s">
        <v>130</v>
      </c>
      <c r="E929" s="16" t="s">
        <v>813</v>
      </c>
      <c r="F929" s="16" t="s">
        <v>135</v>
      </c>
      <c r="G929" s="16">
        <v>2021</v>
      </c>
      <c r="I929" s="16" t="s">
        <v>2060</v>
      </c>
    </row>
    <row r="930" spans="1:10" hidden="1" x14ac:dyDescent="0.35">
      <c r="A930" s="16">
        <v>400</v>
      </c>
      <c r="B930" s="16" t="s">
        <v>2062</v>
      </c>
      <c r="C930" s="16" t="s">
        <v>2063</v>
      </c>
      <c r="D930" s="16" t="s">
        <v>130</v>
      </c>
      <c r="E930" s="16" t="s">
        <v>1126</v>
      </c>
      <c r="F930" s="16" t="s">
        <v>135</v>
      </c>
      <c r="G930" s="16">
        <v>2021</v>
      </c>
      <c r="I930" s="16" t="s">
        <v>2060</v>
      </c>
      <c r="J930" s="16" t="s">
        <v>2064</v>
      </c>
    </row>
    <row r="931" spans="1:10" hidden="1" x14ac:dyDescent="0.35">
      <c r="A931" s="16">
        <v>400</v>
      </c>
      <c r="B931" s="16" t="s">
        <v>2065</v>
      </c>
      <c r="C931" s="16" t="s">
        <v>656</v>
      </c>
      <c r="D931" s="16" t="s">
        <v>130</v>
      </c>
      <c r="E931" s="16" t="s">
        <v>1126</v>
      </c>
      <c r="F931" s="16" t="s">
        <v>135</v>
      </c>
      <c r="G931" s="16">
        <v>2021</v>
      </c>
      <c r="I931" s="16" t="s">
        <v>2060</v>
      </c>
    </row>
    <row r="932" spans="1:10" hidden="1" x14ac:dyDescent="0.35">
      <c r="A932" s="16">
        <v>400</v>
      </c>
      <c r="B932" s="16" t="s">
        <v>2066</v>
      </c>
      <c r="C932" s="16" t="s">
        <v>633</v>
      </c>
      <c r="D932" s="16" t="s">
        <v>130</v>
      </c>
      <c r="E932" s="16" t="s">
        <v>1126</v>
      </c>
      <c r="F932" s="16" t="s">
        <v>135</v>
      </c>
      <c r="G932" s="16">
        <v>2021</v>
      </c>
      <c r="I932" s="16" t="s">
        <v>2060</v>
      </c>
    </row>
    <row r="933" spans="1:10" hidden="1" x14ac:dyDescent="0.35">
      <c r="A933" s="16">
        <v>400</v>
      </c>
      <c r="B933" s="16" t="s">
        <v>2595</v>
      </c>
      <c r="C933" s="16" t="s">
        <v>2067</v>
      </c>
      <c r="D933" s="16" t="s">
        <v>130</v>
      </c>
      <c r="E933" s="16" t="s">
        <v>1126</v>
      </c>
      <c r="F933" s="16" t="s">
        <v>135</v>
      </c>
      <c r="G933" s="16">
        <v>2021</v>
      </c>
      <c r="I933" s="16" t="s">
        <v>2060</v>
      </c>
    </row>
    <row r="934" spans="1:10" hidden="1" x14ac:dyDescent="0.35">
      <c r="A934" s="16">
        <v>400</v>
      </c>
      <c r="B934" s="16" t="s">
        <v>2596</v>
      </c>
      <c r="C934" s="16" t="s">
        <v>2067</v>
      </c>
      <c r="D934" s="16" t="s">
        <v>130</v>
      </c>
      <c r="E934" s="16" t="s">
        <v>1126</v>
      </c>
      <c r="F934" s="16" t="s">
        <v>135</v>
      </c>
      <c r="G934" s="16">
        <v>2021</v>
      </c>
      <c r="I934" s="16" t="s">
        <v>2060</v>
      </c>
    </row>
    <row r="935" spans="1:10" hidden="1" x14ac:dyDescent="0.35">
      <c r="A935" s="16">
        <v>400</v>
      </c>
      <c r="B935" s="16" t="s">
        <v>2597</v>
      </c>
      <c r="C935" s="16" t="s">
        <v>2067</v>
      </c>
      <c r="D935" s="16" t="s">
        <v>130</v>
      </c>
      <c r="E935" s="16" t="s">
        <v>1126</v>
      </c>
      <c r="F935" s="16" t="s">
        <v>135</v>
      </c>
      <c r="G935" s="16">
        <v>2021</v>
      </c>
      <c r="I935" s="16" t="s">
        <v>2060</v>
      </c>
    </row>
    <row r="936" spans="1:10" hidden="1" x14ac:dyDescent="0.35">
      <c r="A936" s="16">
        <v>400</v>
      </c>
      <c r="B936" s="16" t="s">
        <v>2068</v>
      </c>
      <c r="C936" s="16" t="s">
        <v>2067</v>
      </c>
      <c r="D936" s="16" t="s">
        <v>130</v>
      </c>
      <c r="E936" s="16" t="s">
        <v>1126</v>
      </c>
      <c r="F936" s="16" t="s">
        <v>135</v>
      </c>
      <c r="G936" s="16">
        <v>2021</v>
      </c>
      <c r="I936" s="16" t="s">
        <v>2060</v>
      </c>
    </row>
    <row r="937" spans="1:10" hidden="1" x14ac:dyDescent="0.35">
      <c r="A937" s="16">
        <v>400</v>
      </c>
      <c r="B937" s="16" t="s">
        <v>1964</v>
      </c>
      <c r="C937" s="16" t="s">
        <v>633</v>
      </c>
      <c r="D937" s="16" t="s">
        <v>130</v>
      </c>
      <c r="E937" s="16" t="s">
        <v>1126</v>
      </c>
      <c r="F937" s="16" t="s">
        <v>135</v>
      </c>
      <c r="G937" s="16">
        <v>2021</v>
      </c>
      <c r="I937" s="16" t="s">
        <v>2060</v>
      </c>
    </row>
    <row r="938" spans="1:10" hidden="1" x14ac:dyDescent="0.35">
      <c r="A938" s="16">
        <v>400</v>
      </c>
      <c r="B938" s="16" t="s">
        <v>1888</v>
      </c>
      <c r="C938" s="16" t="s">
        <v>633</v>
      </c>
      <c r="D938" s="16" t="s">
        <v>130</v>
      </c>
      <c r="E938" s="16" t="s">
        <v>1126</v>
      </c>
      <c r="F938" s="16" t="s">
        <v>135</v>
      </c>
      <c r="G938" s="16">
        <v>2021</v>
      </c>
      <c r="I938" s="16" t="s">
        <v>2060</v>
      </c>
    </row>
    <row r="939" spans="1:10" hidden="1" x14ac:dyDescent="0.35">
      <c r="A939" s="16">
        <v>400</v>
      </c>
      <c r="B939" s="16" t="s">
        <v>2069</v>
      </c>
      <c r="C939" s="16" t="s">
        <v>633</v>
      </c>
      <c r="D939" s="16" t="s">
        <v>130</v>
      </c>
      <c r="E939" s="16" t="s">
        <v>1126</v>
      </c>
      <c r="F939" s="16" t="s">
        <v>135</v>
      </c>
      <c r="G939" s="16">
        <v>2021</v>
      </c>
      <c r="I939" s="16" t="s">
        <v>2060</v>
      </c>
    </row>
    <row r="940" spans="1:10" hidden="1" x14ac:dyDescent="0.35">
      <c r="A940" s="16">
        <v>400</v>
      </c>
      <c r="B940" s="16" t="s">
        <v>2070</v>
      </c>
      <c r="C940" s="16" t="s">
        <v>2067</v>
      </c>
      <c r="D940" s="16" t="s">
        <v>130</v>
      </c>
      <c r="E940" s="16" t="s">
        <v>1126</v>
      </c>
      <c r="F940" s="16" t="s">
        <v>135</v>
      </c>
      <c r="G940" s="16">
        <v>2021</v>
      </c>
      <c r="I940" s="16" t="s">
        <v>2060</v>
      </c>
    </row>
    <row r="941" spans="1:10" hidden="1" x14ac:dyDescent="0.35">
      <c r="A941" s="16">
        <v>400</v>
      </c>
      <c r="B941" s="16" t="s">
        <v>2598</v>
      </c>
      <c r="C941" s="16" t="s">
        <v>2071</v>
      </c>
      <c r="D941" s="16" t="s">
        <v>130</v>
      </c>
      <c r="E941" s="16" t="s">
        <v>1126</v>
      </c>
      <c r="F941" s="16" t="s">
        <v>135</v>
      </c>
      <c r="G941" s="16">
        <v>2021</v>
      </c>
      <c r="I941" s="16" t="s">
        <v>2060</v>
      </c>
    </row>
    <row r="942" spans="1:10" hidden="1" x14ac:dyDescent="0.35">
      <c r="A942" s="16">
        <v>400</v>
      </c>
      <c r="B942" s="16" t="s">
        <v>2599</v>
      </c>
      <c r="C942" s="16" t="s">
        <v>2071</v>
      </c>
      <c r="D942" s="16" t="s">
        <v>130</v>
      </c>
      <c r="E942" s="16" t="s">
        <v>1126</v>
      </c>
      <c r="F942" s="16" t="s">
        <v>135</v>
      </c>
      <c r="G942" s="16">
        <v>2021</v>
      </c>
      <c r="I942" s="16" t="s">
        <v>2060</v>
      </c>
    </row>
    <row r="943" spans="1:10" hidden="1" x14ac:dyDescent="0.35">
      <c r="A943" s="16">
        <v>400</v>
      </c>
      <c r="B943" s="16" t="s">
        <v>2072</v>
      </c>
      <c r="D943" s="16" t="s">
        <v>130</v>
      </c>
      <c r="E943" s="16" t="s">
        <v>1118</v>
      </c>
      <c r="F943" s="16" t="s">
        <v>135</v>
      </c>
      <c r="G943" s="16">
        <v>2021</v>
      </c>
      <c r="I943" s="16" t="s">
        <v>2073</v>
      </c>
      <c r="J943" s="16" t="s">
        <v>2074</v>
      </c>
    </row>
    <row r="944" spans="1:10" hidden="1" x14ac:dyDescent="0.35">
      <c r="A944" s="16">
        <v>400</v>
      </c>
      <c r="B944" s="16" t="s">
        <v>2075</v>
      </c>
      <c r="C944" s="16" t="s">
        <v>2076</v>
      </c>
      <c r="D944" s="16" t="s">
        <v>130</v>
      </c>
      <c r="E944" s="16" t="s">
        <v>1118</v>
      </c>
      <c r="F944" s="16" t="s">
        <v>135</v>
      </c>
      <c r="G944" s="16">
        <v>2021</v>
      </c>
      <c r="I944" s="16" t="s">
        <v>2073</v>
      </c>
    </row>
    <row r="945" spans="1:10" hidden="1" x14ac:dyDescent="0.35">
      <c r="A945" s="16">
        <v>400</v>
      </c>
      <c r="B945" s="16" t="s">
        <v>2077</v>
      </c>
      <c r="C945" s="16" t="s">
        <v>2078</v>
      </c>
      <c r="D945" s="16" t="s">
        <v>130</v>
      </c>
      <c r="E945" s="16" t="s">
        <v>1118</v>
      </c>
      <c r="F945" s="16" t="s">
        <v>135</v>
      </c>
      <c r="G945" s="16">
        <v>2021</v>
      </c>
      <c r="I945" s="16" t="s">
        <v>2073</v>
      </c>
    </row>
    <row r="946" spans="1:10" hidden="1" x14ac:dyDescent="0.35">
      <c r="A946" s="16">
        <v>400</v>
      </c>
      <c r="B946" s="16" t="s">
        <v>2079</v>
      </c>
      <c r="C946" s="16" t="s">
        <v>2078</v>
      </c>
      <c r="D946" s="16" t="s">
        <v>130</v>
      </c>
      <c r="E946" s="16" t="s">
        <v>1118</v>
      </c>
      <c r="F946" s="16" t="s">
        <v>135</v>
      </c>
      <c r="G946" s="16">
        <v>2021</v>
      </c>
      <c r="I946" s="16" t="s">
        <v>2073</v>
      </c>
    </row>
    <row r="947" spans="1:10" hidden="1" x14ac:dyDescent="0.35">
      <c r="A947" s="16">
        <v>406</v>
      </c>
      <c r="B947" s="16" t="s">
        <v>2080</v>
      </c>
      <c r="C947" s="16" t="s">
        <v>1298</v>
      </c>
      <c r="D947" s="16" t="s">
        <v>130</v>
      </c>
      <c r="E947" s="16" t="s">
        <v>1118</v>
      </c>
      <c r="F947" s="16" t="s">
        <v>1060</v>
      </c>
      <c r="G947" s="16">
        <v>2003</v>
      </c>
      <c r="I947" s="16" t="s">
        <v>2081</v>
      </c>
      <c r="J947" s="16" t="s">
        <v>2082</v>
      </c>
    </row>
    <row r="948" spans="1:10" hidden="1" x14ac:dyDescent="0.35">
      <c r="A948" s="16">
        <v>406</v>
      </c>
      <c r="B948" s="16" t="s">
        <v>2083</v>
      </c>
      <c r="C948" s="16" t="s">
        <v>1298</v>
      </c>
      <c r="D948" s="16" t="s">
        <v>130</v>
      </c>
      <c r="E948" s="16" t="s">
        <v>1118</v>
      </c>
      <c r="F948" s="16" t="s">
        <v>1060</v>
      </c>
      <c r="G948" s="16">
        <v>2003</v>
      </c>
      <c r="I948" s="16" t="s">
        <v>2081</v>
      </c>
      <c r="J948" s="16" t="s">
        <v>2084</v>
      </c>
    </row>
    <row r="949" spans="1:10" hidden="1" x14ac:dyDescent="0.35">
      <c r="A949" s="16">
        <v>441</v>
      </c>
      <c r="B949" s="16" t="s">
        <v>2085</v>
      </c>
      <c r="C949" s="16" t="s">
        <v>633</v>
      </c>
      <c r="D949" s="16" t="s">
        <v>130</v>
      </c>
      <c r="E949" s="16" t="s">
        <v>813</v>
      </c>
      <c r="F949" s="16" t="s">
        <v>2086</v>
      </c>
      <c r="G949" s="16">
        <v>2015</v>
      </c>
      <c r="I949" s="16" t="s">
        <v>2087</v>
      </c>
    </row>
    <row r="950" spans="1:10" hidden="1" x14ac:dyDescent="0.35">
      <c r="A950" s="16">
        <v>441</v>
      </c>
      <c r="B950" s="16" t="s">
        <v>1968</v>
      </c>
      <c r="C950" s="16" t="s">
        <v>2088</v>
      </c>
      <c r="D950" s="16" t="s">
        <v>130</v>
      </c>
      <c r="E950" s="16" t="s">
        <v>813</v>
      </c>
      <c r="F950" s="16" t="s">
        <v>2086</v>
      </c>
      <c r="G950" s="16">
        <v>2015</v>
      </c>
      <c r="I950" s="16" t="s">
        <v>2087</v>
      </c>
    </row>
    <row r="951" spans="1:10" hidden="1" x14ac:dyDescent="0.35">
      <c r="A951" s="16">
        <v>441</v>
      </c>
      <c r="B951" s="16" t="s">
        <v>1966</v>
      </c>
      <c r="D951" s="16" t="s">
        <v>130</v>
      </c>
      <c r="E951" s="16" t="s">
        <v>813</v>
      </c>
      <c r="F951" s="16" t="s">
        <v>2086</v>
      </c>
      <c r="G951" s="16">
        <v>2015</v>
      </c>
      <c r="I951" s="16" t="s">
        <v>2087</v>
      </c>
    </row>
    <row r="952" spans="1:10" hidden="1" x14ac:dyDescent="0.35">
      <c r="A952" s="16">
        <v>441</v>
      </c>
      <c r="B952" s="16" t="s">
        <v>1962</v>
      </c>
      <c r="C952" s="16" t="s">
        <v>633</v>
      </c>
      <c r="D952" s="16" t="s">
        <v>130</v>
      </c>
      <c r="E952" s="16" t="s">
        <v>813</v>
      </c>
      <c r="F952" s="16" t="s">
        <v>2086</v>
      </c>
      <c r="G952" s="16">
        <v>2015</v>
      </c>
      <c r="I952" s="16" t="s">
        <v>2087</v>
      </c>
    </row>
    <row r="953" spans="1:10" hidden="1" x14ac:dyDescent="0.35">
      <c r="A953" s="16">
        <v>441</v>
      </c>
      <c r="B953" s="16" t="s">
        <v>1964</v>
      </c>
      <c r="C953" s="16" t="s">
        <v>633</v>
      </c>
      <c r="D953" s="16" t="s">
        <v>130</v>
      </c>
      <c r="E953" s="16" t="s">
        <v>813</v>
      </c>
      <c r="F953" s="16" t="s">
        <v>2086</v>
      </c>
      <c r="G953" s="16">
        <v>2015</v>
      </c>
      <c r="I953" s="16" t="s">
        <v>2087</v>
      </c>
    </row>
    <row r="954" spans="1:10" hidden="1" x14ac:dyDescent="0.35">
      <c r="A954" s="16">
        <v>441</v>
      </c>
      <c r="B954" s="16" t="s">
        <v>2089</v>
      </c>
      <c r="C954" s="16" t="s">
        <v>633</v>
      </c>
      <c r="D954" s="16" t="s">
        <v>130</v>
      </c>
      <c r="E954" s="16" t="s">
        <v>813</v>
      </c>
      <c r="F954" s="16" t="s">
        <v>2086</v>
      </c>
      <c r="G954" s="16">
        <v>2015</v>
      </c>
      <c r="I954" s="16" t="s">
        <v>2087</v>
      </c>
    </row>
    <row r="955" spans="1:10" hidden="1" x14ac:dyDescent="0.35">
      <c r="A955" s="16">
        <v>441</v>
      </c>
      <c r="B955" s="16" t="s">
        <v>2090</v>
      </c>
      <c r="C955" s="16" t="s">
        <v>633</v>
      </c>
      <c r="D955" s="16" t="s">
        <v>130</v>
      </c>
      <c r="E955" s="16" t="s">
        <v>813</v>
      </c>
      <c r="F955" s="16" t="s">
        <v>2086</v>
      </c>
      <c r="G955" s="16">
        <v>2015</v>
      </c>
      <c r="I955" s="16" t="s">
        <v>2087</v>
      </c>
    </row>
    <row r="956" spans="1:10" hidden="1" x14ac:dyDescent="0.35">
      <c r="A956" s="16">
        <v>441</v>
      </c>
      <c r="B956" s="16" t="s">
        <v>2091</v>
      </c>
      <c r="C956" s="16" t="s">
        <v>633</v>
      </c>
      <c r="D956" s="16" t="s">
        <v>130</v>
      </c>
      <c r="E956" s="16" t="s">
        <v>813</v>
      </c>
      <c r="F956" s="16" t="s">
        <v>2086</v>
      </c>
      <c r="G956" s="16">
        <v>2015</v>
      </c>
      <c r="I956" s="16" t="s">
        <v>2087</v>
      </c>
    </row>
    <row r="957" spans="1:10" hidden="1" x14ac:dyDescent="0.35">
      <c r="A957" s="16">
        <v>441</v>
      </c>
      <c r="B957" s="16" t="s">
        <v>2092</v>
      </c>
      <c r="C957" s="16" t="s">
        <v>633</v>
      </c>
      <c r="D957" s="16" t="s">
        <v>130</v>
      </c>
      <c r="E957" s="16" t="s">
        <v>813</v>
      </c>
      <c r="F957" s="16" t="s">
        <v>2086</v>
      </c>
      <c r="G957" s="16">
        <v>2015</v>
      </c>
      <c r="I957" s="16" t="s">
        <v>2087</v>
      </c>
    </row>
    <row r="958" spans="1:10" hidden="1" x14ac:dyDescent="0.35">
      <c r="A958" s="16">
        <v>441</v>
      </c>
      <c r="B958" s="16" t="s">
        <v>2093</v>
      </c>
      <c r="C958" s="16" t="s">
        <v>2094</v>
      </c>
      <c r="D958" s="16" t="s">
        <v>130</v>
      </c>
      <c r="E958" s="16" t="s">
        <v>813</v>
      </c>
      <c r="F958" s="16" t="s">
        <v>2086</v>
      </c>
      <c r="G958" s="16">
        <v>2015</v>
      </c>
      <c r="I958" s="16" t="s">
        <v>2087</v>
      </c>
    </row>
    <row r="959" spans="1:10" hidden="1" x14ac:dyDescent="0.35">
      <c r="A959" s="16">
        <v>441</v>
      </c>
      <c r="B959" s="16" t="s">
        <v>2095</v>
      </c>
      <c r="C959" s="16" t="s">
        <v>2094</v>
      </c>
      <c r="D959" s="16" t="s">
        <v>130</v>
      </c>
      <c r="E959" s="16" t="s">
        <v>813</v>
      </c>
      <c r="F959" s="16" t="s">
        <v>2086</v>
      </c>
      <c r="G959" s="16">
        <v>2015</v>
      </c>
      <c r="I959" s="16" t="s">
        <v>2087</v>
      </c>
    </row>
    <row r="960" spans="1:10" hidden="1" x14ac:dyDescent="0.35">
      <c r="A960" s="16">
        <v>441</v>
      </c>
      <c r="B960" s="16" t="s">
        <v>2096</v>
      </c>
      <c r="C960" s="16" t="s">
        <v>2097</v>
      </c>
      <c r="D960" s="16" t="s">
        <v>130</v>
      </c>
      <c r="E960" s="16" t="s">
        <v>813</v>
      </c>
      <c r="F960" s="16" t="s">
        <v>2086</v>
      </c>
      <c r="G960" s="16">
        <v>2015</v>
      </c>
      <c r="I960" s="16" t="s">
        <v>2087</v>
      </c>
    </row>
    <row r="961" spans="1:10" hidden="1" x14ac:dyDescent="0.35">
      <c r="A961" s="16">
        <v>441</v>
      </c>
      <c r="B961" s="16" t="s">
        <v>2098</v>
      </c>
      <c r="C961" s="16" t="s">
        <v>633</v>
      </c>
      <c r="D961" s="16" t="s">
        <v>124</v>
      </c>
      <c r="E961" s="16" t="s">
        <v>813</v>
      </c>
      <c r="F961" s="16" t="s">
        <v>2099</v>
      </c>
      <c r="G961" s="16">
        <v>2015</v>
      </c>
      <c r="I961" s="16" t="s">
        <v>2087</v>
      </c>
    </row>
    <row r="962" spans="1:10" hidden="1" x14ac:dyDescent="0.35">
      <c r="A962" s="16">
        <v>441</v>
      </c>
      <c r="B962" s="16" t="s">
        <v>2100</v>
      </c>
      <c r="C962" s="16" t="s">
        <v>633</v>
      </c>
      <c r="D962" s="16" t="s">
        <v>124</v>
      </c>
      <c r="E962" s="16" t="s">
        <v>813</v>
      </c>
      <c r="F962" s="16" t="s">
        <v>2099</v>
      </c>
      <c r="G962" s="16">
        <v>2015</v>
      </c>
      <c r="I962" s="16" t="s">
        <v>2087</v>
      </c>
    </row>
    <row r="963" spans="1:10" hidden="1" x14ac:dyDescent="0.35">
      <c r="A963" s="16">
        <v>441</v>
      </c>
      <c r="B963" s="16" t="s">
        <v>2101</v>
      </c>
      <c r="C963" s="16" t="s">
        <v>2102</v>
      </c>
      <c r="D963" s="16" t="s">
        <v>130</v>
      </c>
      <c r="E963" s="16" t="s">
        <v>1118</v>
      </c>
      <c r="F963" s="16" t="s">
        <v>2086</v>
      </c>
      <c r="G963" s="16">
        <v>2015</v>
      </c>
      <c r="I963" s="16" t="s">
        <v>2087</v>
      </c>
    </row>
    <row r="964" spans="1:10" hidden="1" x14ac:dyDescent="0.35">
      <c r="A964" s="16">
        <v>441</v>
      </c>
      <c r="B964" s="16" t="s">
        <v>2103</v>
      </c>
      <c r="C964" s="16" t="s">
        <v>2102</v>
      </c>
      <c r="D964" s="16" t="s">
        <v>130</v>
      </c>
      <c r="E964" s="16" t="s">
        <v>1118</v>
      </c>
      <c r="F964" s="16" t="s">
        <v>2086</v>
      </c>
      <c r="G964" s="16">
        <v>2015</v>
      </c>
      <c r="I964" s="16" t="s">
        <v>2087</v>
      </c>
    </row>
    <row r="965" spans="1:10" hidden="1" x14ac:dyDescent="0.35">
      <c r="A965" s="16">
        <v>441</v>
      </c>
      <c r="B965" s="16" t="s">
        <v>2104</v>
      </c>
      <c r="C965" s="16" t="s">
        <v>2102</v>
      </c>
      <c r="D965" s="16" t="s">
        <v>130</v>
      </c>
      <c r="E965" s="16" t="s">
        <v>1118</v>
      </c>
      <c r="F965" s="16" t="s">
        <v>2086</v>
      </c>
      <c r="G965" s="16">
        <v>2015</v>
      </c>
      <c r="I965" s="16" t="s">
        <v>2087</v>
      </c>
    </row>
    <row r="966" spans="1:10" hidden="1" x14ac:dyDescent="0.35">
      <c r="A966" s="16">
        <v>441</v>
      </c>
      <c r="B966" s="16" t="s">
        <v>2105</v>
      </c>
      <c r="C966" s="16" t="s">
        <v>2102</v>
      </c>
      <c r="D966" s="16" t="s">
        <v>130</v>
      </c>
      <c r="E966" s="16" t="s">
        <v>1118</v>
      </c>
      <c r="F966" s="16" t="s">
        <v>2086</v>
      </c>
      <c r="G966" s="16">
        <v>2015</v>
      </c>
      <c r="I966" s="16" t="s">
        <v>2087</v>
      </c>
    </row>
    <row r="967" spans="1:10" hidden="1" x14ac:dyDescent="0.35">
      <c r="A967" s="16">
        <v>441</v>
      </c>
      <c r="B967" s="16" t="s">
        <v>2106</v>
      </c>
      <c r="C967" s="16" t="s">
        <v>2107</v>
      </c>
      <c r="D967" s="16" t="s">
        <v>130</v>
      </c>
      <c r="E967" s="16" t="s">
        <v>1118</v>
      </c>
      <c r="F967" s="16" t="s">
        <v>2086</v>
      </c>
      <c r="G967" s="16">
        <v>2015</v>
      </c>
      <c r="I967" s="16" t="s">
        <v>2087</v>
      </c>
    </row>
    <row r="968" spans="1:10" hidden="1" x14ac:dyDescent="0.35">
      <c r="A968" s="16">
        <v>446</v>
      </c>
      <c r="B968" s="16" t="s">
        <v>1966</v>
      </c>
      <c r="C968" s="16" t="s">
        <v>2108</v>
      </c>
      <c r="D968" s="16" t="s">
        <v>130</v>
      </c>
      <c r="E968" s="16" t="s">
        <v>813</v>
      </c>
      <c r="F968" s="16" t="s">
        <v>135</v>
      </c>
      <c r="G968" s="16">
        <v>2020</v>
      </c>
      <c r="I968" s="16" t="s">
        <v>2109</v>
      </c>
      <c r="J968" s="16" t="s">
        <v>2110</v>
      </c>
    </row>
    <row r="969" spans="1:10" hidden="1" x14ac:dyDescent="0.35">
      <c r="A969" s="16">
        <v>446</v>
      </c>
      <c r="B969" s="16" t="s">
        <v>287</v>
      </c>
      <c r="C969" s="16" t="s">
        <v>2111</v>
      </c>
      <c r="D969" s="16" t="s">
        <v>130</v>
      </c>
      <c r="E969" s="16" t="s">
        <v>813</v>
      </c>
      <c r="F969" s="16" t="s">
        <v>135</v>
      </c>
      <c r="G969" s="16">
        <v>2020</v>
      </c>
      <c r="I969" s="16" t="s">
        <v>2109</v>
      </c>
    </row>
    <row r="970" spans="1:10" hidden="1" x14ac:dyDescent="0.35">
      <c r="A970" s="16">
        <v>446</v>
      </c>
      <c r="B970" s="16" t="s">
        <v>2112</v>
      </c>
      <c r="C970" s="16" t="s">
        <v>633</v>
      </c>
      <c r="D970" s="16" t="s">
        <v>130</v>
      </c>
      <c r="E970" s="16" t="s">
        <v>813</v>
      </c>
      <c r="F970" s="16" t="s">
        <v>135</v>
      </c>
      <c r="G970" s="16">
        <v>2020</v>
      </c>
      <c r="I970" s="16" t="s">
        <v>2109</v>
      </c>
    </row>
    <row r="971" spans="1:10" hidden="1" x14ac:dyDescent="0.35">
      <c r="A971" s="16">
        <v>446</v>
      </c>
      <c r="B971" s="16" t="s">
        <v>2113</v>
      </c>
      <c r="C971" s="16" t="s">
        <v>633</v>
      </c>
      <c r="D971" s="16" t="s">
        <v>130</v>
      </c>
      <c r="E971" s="16" t="s">
        <v>813</v>
      </c>
      <c r="F971" s="16" t="s">
        <v>135</v>
      </c>
      <c r="G971" s="16">
        <v>2020</v>
      </c>
      <c r="I971" s="16" t="s">
        <v>2109</v>
      </c>
    </row>
    <row r="972" spans="1:10" hidden="1" x14ac:dyDescent="0.35">
      <c r="A972" s="16">
        <v>446</v>
      </c>
      <c r="B972" s="16" t="s">
        <v>2114</v>
      </c>
      <c r="C972" s="16" t="s">
        <v>1887</v>
      </c>
      <c r="D972" s="16" t="s">
        <v>130</v>
      </c>
      <c r="E972" s="16" t="s">
        <v>813</v>
      </c>
      <c r="F972" s="16" t="s">
        <v>135</v>
      </c>
      <c r="G972" s="16">
        <v>2020</v>
      </c>
      <c r="I972" s="16" t="s">
        <v>2109</v>
      </c>
    </row>
    <row r="973" spans="1:10" hidden="1" x14ac:dyDescent="0.35">
      <c r="A973" s="16">
        <v>446</v>
      </c>
      <c r="B973" s="16" t="s">
        <v>2115</v>
      </c>
      <c r="C973" s="16" t="s">
        <v>633</v>
      </c>
      <c r="D973" s="16" t="s">
        <v>130</v>
      </c>
      <c r="E973" s="16" t="s">
        <v>813</v>
      </c>
      <c r="F973" s="16" t="s">
        <v>135</v>
      </c>
      <c r="G973" s="16">
        <v>2020</v>
      </c>
      <c r="I973" s="16" t="s">
        <v>2109</v>
      </c>
    </row>
    <row r="974" spans="1:10" hidden="1" x14ac:dyDescent="0.35">
      <c r="A974" s="16">
        <v>446</v>
      </c>
      <c r="B974" s="16" t="s">
        <v>2116</v>
      </c>
      <c r="C974" s="16" t="s">
        <v>633</v>
      </c>
      <c r="D974" s="16" t="s">
        <v>130</v>
      </c>
      <c r="E974" s="16" t="s">
        <v>813</v>
      </c>
      <c r="F974" s="16" t="s">
        <v>135</v>
      </c>
      <c r="G974" s="16">
        <v>2020</v>
      </c>
      <c r="I974" s="16" t="s">
        <v>2109</v>
      </c>
    </row>
    <row r="975" spans="1:10" hidden="1" x14ac:dyDescent="0.35">
      <c r="A975" s="16">
        <v>446</v>
      </c>
      <c r="B975" s="16" t="s">
        <v>2117</v>
      </c>
      <c r="C975" s="16" t="s">
        <v>2118</v>
      </c>
      <c r="D975" s="16" t="s">
        <v>130</v>
      </c>
      <c r="E975" s="16" t="s">
        <v>1118</v>
      </c>
      <c r="F975" s="16" t="s">
        <v>135</v>
      </c>
      <c r="G975" s="16">
        <v>2020</v>
      </c>
      <c r="I975" s="16" t="s">
        <v>2109</v>
      </c>
    </row>
    <row r="976" spans="1:10" hidden="1" x14ac:dyDescent="0.35">
      <c r="A976" s="16">
        <v>446</v>
      </c>
      <c r="B976" s="16" t="s">
        <v>2119</v>
      </c>
      <c r="C976" s="16" t="s">
        <v>2120</v>
      </c>
      <c r="D976" s="16" t="s">
        <v>130</v>
      </c>
      <c r="E976" s="16" t="s">
        <v>1118</v>
      </c>
      <c r="F976" s="16" t="s">
        <v>135</v>
      </c>
      <c r="G976" s="16">
        <v>2020</v>
      </c>
      <c r="I976" s="16" t="s">
        <v>2109</v>
      </c>
    </row>
    <row r="977" spans="1:10" hidden="1" x14ac:dyDescent="0.35">
      <c r="A977" s="16">
        <v>446</v>
      </c>
      <c r="B977" s="16" t="s">
        <v>2122</v>
      </c>
      <c r="C977" s="16" t="s">
        <v>2123</v>
      </c>
      <c r="D977" s="16" t="s">
        <v>130</v>
      </c>
      <c r="E977" s="16" t="s">
        <v>1118</v>
      </c>
      <c r="F977" s="16" t="s">
        <v>135</v>
      </c>
      <c r="G977" s="16">
        <v>2020</v>
      </c>
      <c r="I977" s="16" t="s">
        <v>2109</v>
      </c>
    </row>
    <row r="978" spans="1:10" hidden="1" x14ac:dyDescent="0.35">
      <c r="A978" s="16">
        <v>446</v>
      </c>
      <c r="B978" s="16" t="s">
        <v>2600</v>
      </c>
      <c r="C978" s="16" t="s">
        <v>2121</v>
      </c>
      <c r="D978" s="16" t="s">
        <v>130</v>
      </c>
      <c r="E978" s="16" t="s">
        <v>1118</v>
      </c>
      <c r="F978" s="16" t="s">
        <v>135</v>
      </c>
      <c r="G978" s="16">
        <v>2020</v>
      </c>
      <c r="I978" s="16" t="s">
        <v>2109</v>
      </c>
    </row>
    <row r="979" spans="1:10" hidden="1" x14ac:dyDescent="0.35">
      <c r="A979" s="16">
        <v>446</v>
      </c>
      <c r="B979" s="16" t="s">
        <v>2601</v>
      </c>
      <c r="C979" s="16" t="s">
        <v>2121</v>
      </c>
      <c r="D979" s="16" t="s">
        <v>130</v>
      </c>
      <c r="E979" s="16" t="s">
        <v>1118</v>
      </c>
      <c r="F979" s="16" t="s">
        <v>135</v>
      </c>
      <c r="G979" s="16">
        <v>2020</v>
      </c>
      <c r="I979" s="16" t="s">
        <v>2109</v>
      </c>
    </row>
    <row r="980" spans="1:10" hidden="1" x14ac:dyDescent="0.35">
      <c r="A980" s="16">
        <v>446</v>
      </c>
      <c r="B980" s="16" t="s">
        <v>2124</v>
      </c>
      <c r="C980" s="16" t="s">
        <v>2125</v>
      </c>
      <c r="D980" s="16" t="s">
        <v>130</v>
      </c>
      <c r="E980" s="16" t="s">
        <v>538</v>
      </c>
      <c r="F980" s="16" t="s">
        <v>135</v>
      </c>
      <c r="G980" s="16">
        <v>2020</v>
      </c>
      <c r="I980" s="16" t="s">
        <v>2109</v>
      </c>
    </row>
    <row r="981" spans="1:10" hidden="1" x14ac:dyDescent="0.35">
      <c r="A981" s="16">
        <v>446</v>
      </c>
      <c r="B981" s="16" t="s">
        <v>2126</v>
      </c>
      <c r="C981" s="16" t="s">
        <v>2125</v>
      </c>
      <c r="D981" s="16" t="s">
        <v>130</v>
      </c>
      <c r="E981" s="16" t="s">
        <v>538</v>
      </c>
      <c r="F981" s="16" t="s">
        <v>135</v>
      </c>
      <c r="G981" s="16">
        <v>2020</v>
      </c>
      <c r="I981" s="16" t="s">
        <v>2109</v>
      </c>
    </row>
    <row r="982" spans="1:10" hidden="1" x14ac:dyDescent="0.35">
      <c r="A982" s="16">
        <v>446</v>
      </c>
      <c r="B982" s="16" t="s">
        <v>2127</v>
      </c>
      <c r="C982" s="16" t="s">
        <v>2125</v>
      </c>
      <c r="D982" s="16" t="s">
        <v>130</v>
      </c>
      <c r="E982" s="16" t="s">
        <v>538</v>
      </c>
      <c r="F982" s="16" t="s">
        <v>135</v>
      </c>
      <c r="G982" s="16">
        <v>2020</v>
      </c>
      <c r="I982" s="16" t="s">
        <v>2109</v>
      </c>
    </row>
    <row r="983" spans="1:10" hidden="1" x14ac:dyDescent="0.35">
      <c r="A983" s="16">
        <v>446</v>
      </c>
      <c r="B983" s="16" t="s">
        <v>2128</v>
      </c>
      <c r="C983" s="16" t="s">
        <v>2125</v>
      </c>
      <c r="D983" s="16" t="s">
        <v>130</v>
      </c>
      <c r="E983" s="16" t="s">
        <v>538</v>
      </c>
      <c r="F983" s="16" t="s">
        <v>135</v>
      </c>
      <c r="G983" s="16">
        <v>2020</v>
      </c>
      <c r="I983" s="16" t="s">
        <v>2109</v>
      </c>
    </row>
    <row r="984" spans="1:10" hidden="1" x14ac:dyDescent="0.35">
      <c r="A984" s="16">
        <v>446</v>
      </c>
      <c r="B984" s="16" t="s">
        <v>2129</v>
      </c>
      <c r="C984" s="16" t="s">
        <v>2130</v>
      </c>
      <c r="D984" s="16" t="s">
        <v>130</v>
      </c>
      <c r="E984" s="16" t="s">
        <v>538</v>
      </c>
      <c r="F984" s="16" t="s">
        <v>135</v>
      </c>
      <c r="G984" s="16">
        <v>2020</v>
      </c>
      <c r="I984" s="16" t="s">
        <v>2109</v>
      </c>
    </row>
    <row r="985" spans="1:10" hidden="1" x14ac:dyDescent="0.35">
      <c r="A985" s="16">
        <v>446</v>
      </c>
      <c r="B985" s="16" t="s">
        <v>2131</v>
      </c>
      <c r="C985" s="16" t="s">
        <v>2130</v>
      </c>
      <c r="D985" s="16" t="s">
        <v>130</v>
      </c>
      <c r="E985" s="16" t="s">
        <v>538</v>
      </c>
      <c r="F985" s="16" t="s">
        <v>135</v>
      </c>
      <c r="G985" s="16">
        <v>2020</v>
      </c>
      <c r="I985" s="16" t="s">
        <v>2109</v>
      </c>
    </row>
    <row r="986" spans="1:10" hidden="1" x14ac:dyDescent="0.35">
      <c r="A986" s="16">
        <v>449</v>
      </c>
      <c r="B986" s="16" t="s">
        <v>2132</v>
      </c>
      <c r="C986" s="16" t="s">
        <v>2133</v>
      </c>
      <c r="D986" s="16" t="s">
        <v>198</v>
      </c>
      <c r="E986" s="16" t="s">
        <v>538</v>
      </c>
      <c r="F986" s="16" t="s">
        <v>2134</v>
      </c>
      <c r="G986" s="16">
        <v>2007</v>
      </c>
      <c r="I986" s="16" t="s">
        <v>2652</v>
      </c>
    </row>
    <row r="987" spans="1:10" hidden="1" x14ac:dyDescent="0.35">
      <c r="A987" s="16">
        <v>449</v>
      </c>
      <c r="B987" s="16" t="s">
        <v>2136</v>
      </c>
      <c r="C987" s="16" t="s">
        <v>2137</v>
      </c>
      <c r="D987" s="16" t="s">
        <v>198</v>
      </c>
      <c r="E987" s="16" t="s">
        <v>539</v>
      </c>
      <c r="F987" s="16" t="s">
        <v>2134</v>
      </c>
      <c r="G987" s="16">
        <v>2007</v>
      </c>
      <c r="I987" s="16" t="s">
        <v>2653</v>
      </c>
    </row>
    <row r="988" spans="1:10" hidden="1" x14ac:dyDescent="0.35">
      <c r="A988" s="16">
        <v>449</v>
      </c>
      <c r="B988" s="16" t="s">
        <v>2139</v>
      </c>
      <c r="C988" s="16" t="s">
        <v>2140</v>
      </c>
      <c r="D988" s="16" t="s">
        <v>198</v>
      </c>
      <c r="E988" s="16" t="s">
        <v>539</v>
      </c>
      <c r="F988" s="16" t="s">
        <v>2134</v>
      </c>
      <c r="G988" s="16">
        <v>2007</v>
      </c>
      <c r="I988" s="16" t="s">
        <v>2653</v>
      </c>
    </row>
    <row r="989" spans="1:10" hidden="1" x14ac:dyDescent="0.35">
      <c r="A989" s="16">
        <v>449</v>
      </c>
      <c r="B989" s="16" t="s">
        <v>2141</v>
      </c>
      <c r="C989" s="16" t="s">
        <v>2142</v>
      </c>
      <c r="D989" s="16" t="s">
        <v>198</v>
      </c>
      <c r="E989" s="16" t="s">
        <v>539</v>
      </c>
      <c r="F989" s="16" t="s">
        <v>2134</v>
      </c>
      <c r="G989" s="16">
        <v>2007</v>
      </c>
      <c r="I989" s="16" t="s">
        <v>2653</v>
      </c>
    </row>
    <row r="990" spans="1:10" hidden="1" x14ac:dyDescent="0.35">
      <c r="A990" s="16">
        <v>449</v>
      </c>
      <c r="B990" s="16" t="s">
        <v>2143</v>
      </c>
      <c r="C990" s="16" t="s">
        <v>2144</v>
      </c>
      <c r="D990" s="16" t="s">
        <v>198</v>
      </c>
      <c r="E990" s="16" t="s">
        <v>539</v>
      </c>
      <c r="F990" s="16" t="s">
        <v>2134</v>
      </c>
      <c r="G990" s="16">
        <v>2007</v>
      </c>
      <c r="I990" s="16" t="s">
        <v>2653</v>
      </c>
    </row>
    <row r="991" spans="1:10" hidden="1" x14ac:dyDescent="0.35">
      <c r="A991" s="16">
        <v>50</v>
      </c>
      <c r="B991" s="16" t="s">
        <v>2163</v>
      </c>
      <c r="C991" s="16" t="s">
        <v>2164</v>
      </c>
      <c r="D991" s="16" t="s">
        <v>198</v>
      </c>
      <c r="E991" s="16" t="s">
        <v>559</v>
      </c>
      <c r="F991" s="16" t="s">
        <v>135</v>
      </c>
      <c r="G991" s="16" t="s">
        <v>2165</v>
      </c>
      <c r="I991" s="16" t="s">
        <v>2166</v>
      </c>
      <c r="J991" s="16" t="s">
        <v>2167</v>
      </c>
    </row>
    <row r="992" spans="1:10" hidden="1" x14ac:dyDescent="0.35">
      <c r="A992" s="16">
        <v>50</v>
      </c>
      <c r="B992" s="16" t="s">
        <v>2168</v>
      </c>
      <c r="C992" s="16" t="s">
        <v>2164</v>
      </c>
      <c r="D992" s="16" t="s">
        <v>198</v>
      </c>
      <c r="E992" s="16" t="s">
        <v>559</v>
      </c>
      <c r="F992" s="16" t="s">
        <v>135</v>
      </c>
      <c r="G992" s="16" t="s">
        <v>2165</v>
      </c>
      <c r="I992" s="16" t="s">
        <v>2166</v>
      </c>
      <c r="J992" s="16" t="s">
        <v>2167</v>
      </c>
    </row>
    <row r="993" spans="1:10" hidden="1" x14ac:dyDescent="0.35">
      <c r="A993" s="16">
        <v>50</v>
      </c>
      <c r="B993" s="16" t="s">
        <v>2169</v>
      </c>
      <c r="C993" s="16" t="s">
        <v>2164</v>
      </c>
      <c r="D993" s="16" t="s">
        <v>198</v>
      </c>
      <c r="E993" s="16" t="s">
        <v>559</v>
      </c>
      <c r="F993" s="16" t="s">
        <v>135</v>
      </c>
      <c r="G993" s="16" t="s">
        <v>2165</v>
      </c>
      <c r="I993" s="16" t="s">
        <v>2166</v>
      </c>
      <c r="J993" s="16" t="s">
        <v>2167</v>
      </c>
    </row>
    <row r="994" spans="1:10" hidden="1" x14ac:dyDescent="0.35">
      <c r="A994" s="16">
        <v>50</v>
      </c>
      <c r="B994" s="16" t="s">
        <v>2170</v>
      </c>
      <c r="C994" s="16" t="s">
        <v>2164</v>
      </c>
      <c r="D994" s="16" t="s">
        <v>198</v>
      </c>
      <c r="E994" s="16" t="s">
        <v>559</v>
      </c>
      <c r="F994" s="16" t="s">
        <v>135</v>
      </c>
      <c r="G994" s="16" t="s">
        <v>2165</v>
      </c>
      <c r="I994" s="16" t="s">
        <v>2166</v>
      </c>
      <c r="J994" s="16" t="s">
        <v>2167</v>
      </c>
    </row>
    <row r="995" spans="1:10" hidden="1" x14ac:dyDescent="0.35">
      <c r="A995" s="16">
        <v>50</v>
      </c>
      <c r="B995" s="16" t="s">
        <v>2171</v>
      </c>
      <c r="C995" s="16" t="s">
        <v>2164</v>
      </c>
      <c r="D995" s="16" t="s">
        <v>198</v>
      </c>
      <c r="E995" s="16" t="s">
        <v>559</v>
      </c>
      <c r="F995" s="16" t="s">
        <v>135</v>
      </c>
      <c r="G995" s="16" t="s">
        <v>2165</v>
      </c>
      <c r="I995" s="16" t="s">
        <v>2166</v>
      </c>
      <c r="J995" s="16" t="s">
        <v>2167</v>
      </c>
    </row>
    <row r="996" spans="1:10" hidden="1" x14ac:dyDescent="0.35">
      <c r="A996" s="16">
        <v>50</v>
      </c>
      <c r="B996" s="16" t="s">
        <v>2172</v>
      </c>
      <c r="C996" s="16" t="s">
        <v>2173</v>
      </c>
      <c r="D996" s="16" t="s">
        <v>198</v>
      </c>
      <c r="E996" s="16" t="s">
        <v>539</v>
      </c>
      <c r="F996" s="16" t="s">
        <v>135</v>
      </c>
      <c r="G996" s="16" t="s">
        <v>2165</v>
      </c>
      <c r="I996" s="16" t="s">
        <v>2166</v>
      </c>
      <c r="J996" s="16" t="s">
        <v>2167</v>
      </c>
    </row>
    <row r="997" spans="1:10" hidden="1" x14ac:dyDescent="0.35">
      <c r="A997" s="16">
        <v>68</v>
      </c>
      <c r="B997" s="16" t="s">
        <v>2174</v>
      </c>
      <c r="C997" s="16" t="s">
        <v>1960</v>
      </c>
      <c r="D997" s="16" t="s">
        <v>124</v>
      </c>
      <c r="E997" s="16" t="s">
        <v>538</v>
      </c>
      <c r="F997" s="16" t="s">
        <v>135</v>
      </c>
      <c r="G997" s="16">
        <v>2000</v>
      </c>
      <c r="I997" s="16" t="s">
        <v>2175</v>
      </c>
      <c r="J997" s="16" t="s">
        <v>2176</v>
      </c>
    </row>
    <row r="998" spans="1:10" hidden="1" x14ac:dyDescent="0.35">
      <c r="A998" s="16">
        <v>68</v>
      </c>
      <c r="B998" s="16" t="s">
        <v>2177</v>
      </c>
      <c r="C998" s="16" t="s">
        <v>1960</v>
      </c>
      <c r="D998" s="16" t="s">
        <v>124</v>
      </c>
      <c r="E998" s="16" t="s">
        <v>538</v>
      </c>
      <c r="F998" s="16" t="s">
        <v>135</v>
      </c>
      <c r="G998" s="16">
        <v>2000</v>
      </c>
      <c r="I998" s="16" t="s">
        <v>2175</v>
      </c>
      <c r="J998" s="16" t="s">
        <v>2176</v>
      </c>
    </row>
    <row r="999" spans="1:10" hidden="1" x14ac:dyDescent="0.35">
      <c r="A999" s="16">
        <v>68</v>
      </c>
      <c r="B999" s="16" t="s">
        <v>2178</v>
      </c>
      <c r="C999" s="16" t="s">
        <v>1960</v>
      </c>
      <c r="D999" s="16" t="s">
        <v>124</v>
      </c>
      <c r="E999" s="16" t="s">
        <v>538</v>
      </c>
      <c r="F999" s="16" t="s">
        <v>135</v>
      </c>
      <c r="G999" s="16">
        <v>2000</v>
      </c>
      <c r="I999" s="16" t="s">
        <v>2175</v>
      </c>
      <c r="J999" s="16" t="s">
        <v>2176</v>
      </c>
    </row>
    <row r="1000" spans="1:10" hidden="1" x14ac:dyDescent="0.35">
      <c r="A1000" s="16">
        <v>68</v>
      </c>
      <c r="B1000" s="16" t="s">
        <v>2179</v>
      </c>
      <c r="C1000" s="16" t="s">
        <v>1960</v>
      </c>
      <c r="D1000" s="16" t="s">
        <v>124</v>
      </c>
      <c r="E1000" s="16" t="s">
        <v>538</v>
      </c>
      <c r="F1000" s="16" t="s">
        <v>135</v>
      </c>
      <c r="G1000" s="16">
        <v>2000</v>
      </c>
      <c r="I1000" s="16" t="s">
        <v>2175</v>
      </c>
      <c r="J1000" s="16" t="s">
        <v>2176</v>
      </c>
    </row>
    <row r="1001" spans="1:10" hidden="1" x14ac:dyDescent="0.35">
      <c r="A1001" s="16">
        <v>147</v>
      </c>
      <c r="B1001" s="16" t="s">
        <v>2180</v>
      </c>
      <c r="C1001" s="16" t="s">
        <v>2181</v>
      </c>
      <c r="D1001" s="16" t="s">
        <v>124</v>
      </c>
      <c r="E1001" s="16" t="s">
        <v>559</v>
      </c>
      <c r="F1001" s="16" t="s">
        <v>135</v>
      </c>
      <c r="G1001" s="16">
        <v>2006</v>
      </c>
      <c r="I1001" s="16" t="s">
        <v>899</v>
      </c>
      <c r="J1001" s="16" t="s">
        <v>2182</v>
      </c>
    </row>
    <row r="1002" spans="1:10" hidden="1" x14ac:dyDescent="0.35">
      <c r="A1002" s="16">
        <v>147</v>
      </c>
      <c r="B1002" s="16" t="s">
        <v>2630</v>
      </c>
      <c r="C1002" s="16" t="s">
        <v>766</v>
      </c>
      <c r="D1002" s="16" t="s">
        <v>124</v>
      </c>
      <c r="E1002" s="16" t="s">
        <v>538</v>
      </c>
      <c r="F1002" s="16" t="s">
        <v>135</v>
      </c>
      <c r="G1002" s="16">
        <v>2006</v>
      </c>
      <c r="I1002" s="16" t="s">
        <v>2628</v>
      </c>
      <c r="J1002" s="16" t="s">
        <v>2629</v>
      </c>
    </row>
    <row r="1003" spans="1:10" hidden="1" x14ac:dyDescent="0.35">
      <c r="A1003" s="16">
        <v>147</v>
      </c>
      <c r="B1003" s="16" t="s">
        <v>174</v>
      </c>
      <c r="C1003" s="16" t="s">
        <v>2183</v>
      </c>
      <c r="D1003" s="16" t="s">
        <v>124</v>
      </c>
      <c r="E1003" s="16" t="s">
        <v>538</v>
      </c>
      <c r="F1003" s="16" t="s">
        <v>1680</v>
      </c>
      <c r="G1003" s="16">
        <v>2006</v>
      </c>
      <c r="H1003" s="50" t="s">
        <v>2184</v>
      </c>
      <c r="I1003" s="16" t="s">
        <v>899</v>
      </c>
      <c r="J1003" s="16" t="s">
        <v>2182</v>
      </c>
    </row>
    <row r="1004" spans="1:10" hidden="1" x14ac:dyDescent="0.35">
      <c r="A1004" s="16">
        <v>147</v>
      </c>
      <c r="B1004" s="16" t="s">
        <v>174</v>
      </c>
      <c r="C1004" s="16" t="s">
        <v>2185</v>
      </c>
      <c r="D1004" s="16" t="s">
        <v>124</v>
      </c>
      <c r="E1004" s="16" t="s">
        <v>538</v>
      </c>
      <c r="F1004" s="16" t="s">
        <v>1680</v>
      </c>
      <c r="G1004" s="16">
        <v>2006</v>
      </c>
      <c r="H1004" s="50" t="s">
        <v>2184</v>
      </c>
      <c r="I1004" s="16" t="s">
        <v>899</v>
      </c>
      <c r="J1004" s="16" t="s">
        <v>2182</v>
      </c>
    </row>
    <row r="1005" spans="1:10" hidden="1" x14ac:dyDescent="0.35">
      <c r="A1005" s="16">
        <v>147</v>
      </c>
      <c r="B1005" s="16" t="s">
        <v>584</v>
      </c>
      <c r="C1005" s="16" t="s">
        <v>2186</v>
      </c>
      <c r="D1005" s="16" t="s">
        <v>124</v>
      </c>
      <c r="E1005" s="16" t="s">
        <v>538</v>
      </c>
      <c r="F1005" s="16" t="s">
        <v>1680</v>
      </c>
      <c r="G1005" s="16">
        <v>2006</v>
      </c>
      <c r="H1005" s="50" t="s">
        <v>2184</v>
      </c>
      <c r="I1005" s="16" t="s">
        <v>899</v>
      </c>
      <c r="J1005" s="16" t="s">
        <v>2182</v>
      </c>
    </row>
    <row r="1006" spans="1:10" hidden="1" x14ac:dyDescent="0.35">
      <c r="A1006" s="16">
        <v>147</v>
      </c>
      <c r="B1006" s="16" t="s">
        <v>584</v>
      </c>
      <c r="C1006" s="16" t="s">
        <v>2187</v>
      </c>
      <c r="D1006" s="16" t="s">
        <v>124</v>
      </c>
      <c r="E1006" s="16" t="s">
        <v>538</v>
      </c>
      <c r="F1006" s="16" t="s">
        <v>1680</v>
      </c>
      <c r="G1006" s="16">
        <v>2006</v>
      </c>
      <c r="H1006" s="50" t="s">
        <v>2184</v>
      </c>
      <c r="I1006" s="16" t="s">
        <v>899</v>
      </c>
      <c r="J1006" s="16" t="s">
        <v>2182</v>
      </c>
    </row>
    <row r="1007" spans="1:10" x14ac:dyDescent="0.35">
      <c r="A1007" s="16">
        <v>167</v>
      </c>
      <c r="B1007" s="16" t="s">
        <v>2188</v>
      </c>
      <c r="C1007" s="16" t="s">
        <v>633</v>
      </c>
      <c r="D1007" s="16" t="s">
        <v>130</v>
      </c>
      <c r="E1007" s="16" t="s">
        <v>809</v>
      </c>
      <c r="F1007" s="16" t="s">
        <v>2189</v>
      </c>
      <c r="G1007" s="16" t="s">
        <v>2190</v>
      </c>
      <c r="I1007" s="16" t="s">
        <v>534</v>
      </c>
    </row>
    <row r="1008" spans="1:10" x14ac:dyDescent="0.35">
      <c r="A1008" s="16">
        <v>167</v>
      </c>
      <c r="B1008" s="16" t="s">
        <v>2191</v>
      </c>
      <c r="C1008" s="16" t="s">
        <v>633</v>
      </c>
      <c r="D1008" s="16" t="s">
        <v>130</v>
      </c>
      <c r="E1008" s="16" t="s">
        <v>809</v>
      </c>
      <c r="F1008" s="16" t="s">
        <v>2189</v>
      </c>
      <c r="G1008" s="16" t="s">
        <v>2190</v>
      </c>
      <c r="I1008" s="16" t="s">
        <v>534</v>
      </c>
    </row>
    <row r="1009" spans="1:10" x14ac:dyDescent="0.35">
      <c r="A1009" s="16">
        <v>167</v>
      </c>
      <c r="B1009" s="16" t="s">
        <v>2192</v>
      </c>
      <c r="C1009" s="16" t="s">
        <v>633</v>
      </c>
      <c r="D1009" s="16" t="s">
        <v>130</v>
      </c>
      <c r="E1009" s="16" t="s">
        <v>809</v>
      </c>
      <c r="F1009" s="16" t="s">
        <v>2189</v>
      </c>
      <c r="G1009" s="16" t="s">
        <v>2190</v>
      </c>
      <c r="I1009" s="16" t="s">
        <v>534</v>
      </c>
    </row>
    <row r="1010" spans="1:10" x14ac:dyDescent="0.35">
      <c r="A1010" s="16">
        <v>167</v>
      </c>
      <c r="B1010" s="16" t="s">
        <v>286</v>
      </c>
      <c r="C1010" s="16" t="s">
        <v>1967</v>
      </c>
      <c r="D1010" s="16" t="s">
        <v>130</v>
      </c>
      <c r="E1010" s="16" t="s">
        <v>813</v>
      </c>
      <c r="F1010" s="16" t="s">
        <v>2189</v>
      </c>
      <c r="G1010" s="16" t="s">
        <v>2190</v>
      </c>
      <c r="I1010" s="16" t="s">
        <v>534</v>
      </c>
      <c r="J1010" s="16" t="s">
        <v>2193</v>
      </c>
    </row>
    <row r="1011" spans="1:10" x14ac:dyDescent="0.35">
      <c r="A1011" s="16">
        <v>167</v>
      </c>
      <c r="B1011" s="16" t="s">
        <v>2194</v>
      </c>
      <c r="C1011" s="16" t="s">
        <v>633</v>
      </c>
      <c r="D1011" s="16" t="s">
        <v>130</v>
      </c>
      <c r="E1011" s="16" t="s">
        <v>813</v>
      </c>
      <c r="F1011" s="16" t="s">
        <v>2189</v>
      </c>
      <c r="G1011" s="16" t="s">
        <v>2190</v>
      </c>
      <c r="I1011" s="16" t="s">
        <v>534</v>
      </c>
    </row>
    <row r="1012" spans="1:10" x14ac:dyDescent="0.35">
      <c r="A1012" s="16">
        <v>167</v>
      </c>
      <c r="B1012" s="16" t="s">
        <v>2602</v>
      </c>
      <c r="C1012" s="16" t="s">
        <v>2603</v>
      </c>
      <c r="D1012" s="16" t="s">
        <v>130</v>
      </c>
      <c r="E1012" s="16" t="s">
        <v>813</v>
      </c>
      <c r="F1012" s="16" t="s">
        <v>2189</v>
      </c>
      <c r="G1012" s="16" t="s">
        <v>2190</v>
      </c>
      <c r="I1012" s="16" t="s">
        <v>534</v>
      </c>
    </row>
    <row r="1013" spans="1:10" x14ac:dyDescent="0.35">
      <c r="A1013" s="16">
        <v>167</v>
      </c>
      <c r="B1013" s="16" t="s">
        <v>2604</v>
      </c>
      <c r="C1013" s="16" t="s">
        <v>2605</v>
      </c>
      <c r="D1013" s="16" t="s">
        <v>130</v>
      </c>
      <c r="E1013" s="16" t="s">
        <v>813</v>
      </c>
      <c r="F1013" s="16" t="s">
        <v>2189</v>
      </c>
      <c r="G1013" s="16" t="s">
        <v>2190</v>
      </c>
      <c r="I1013" s="16" t="s">
        <v>534</v>
      </c>
    </row>
    <row r="1014" spans="1:10" x14ac:dyDescent="0.35">
      <c r="A1014" s="16">
        <v>167</v>
      </c>
      <c r="B1014" s="16" t="s">
        <v>2606</v>
      </c>
      <c r="C1014" s="16" t="s">
        <v>2607</v>
      </c>
      <c r="D1014" s="16" t="s">
        <v>130</v>
      </c>
      <c r="E1014" s="16" t="s">
        <v>813</v>
      </c>
      <c r="F1014" s="16" t="s">
        <v>2189</v>
      </c>
      <c r="G1014" s="16" t="s">
        <v>2190</v>
      </c>
      <c r="I1014" s="16" t="s">
        <v>534</v>
      </c>
    </row>
    <row r="1015" spans="1:10" x14ac:dyDescent="0.35">
      <c r="A1015" s="16">
        <v>167</v>
      </c>
      <c r="B1015" s="16" t="s">
        <v>2608</v>
      </c>
      <c r="C1015" s="16" t="s">
        <v>2609</v>
      </c>
      <c r="D1015" s="16" t="s">
        <v>130</v>
      </c>
      <c r="E1015" s="16" t="s">
        <v>813</v>
      </c>
      <c r="F1015" s="16" t="s">
        <v>2189</v>
      </c>
      <c r="G1015" s="16" t="s">
        <v>2190</v>
      </c>
      <c r="I1015" s="16" t="s">
        <v>534</v>
      </c>
    </row>
    <row r="1016" spans="1:10" x14ac:dyDescent="0.35">
      <c r="A1016" s="16">
        <v>167</v>
      </c>
      <c r="B1016" s="16" t="s">
        <v>2610</v>
      </c>
      <c r="C1016" s="16" t="s">
        <v>2611</v>
      </c>
      <c r="D1016" s="16" t="s">
        <v>130</v>
      </c>
      <c r="E1016" s="16" t="s">
        <v>813</v>
      </c>
      <c r="F1016" s="16" t="s">
        <v>2189</v>
      </c>
      <c r="G1016" s="16" t="s">
        <v>2190</v>
      </c>
      <c r="I1016" s="16" t="s">
        <v>534</v>
      </c>
    </row>
    <row r="1017" spans="1:10" x14ac:dyDescent="0.35">
      <c r="A1017" s="16">
        <v>167</v>
      </c>
      <c r="B1017" s="16" t="s">
        <v>2612</v>
      </c>
      <c r="C1017" s="16" t="s">
        <v>2613</v>
      </c>
      <c r="D1017" s="16" t="s">
        <v>130</v>
      </c>
      <c r="E1017" s="16" t="s">
        <v>813</v>
      </c>
      <c r="F1017" s="16" t="s">
        <v>2189</v>
      </c>
      <c r="G1017" s="16" t="s">
        <v>2190</v>
      </c>
      <c r="I1017" s="16" t="s">
        <v>534</v>
      </c>
    </row>
    <row r="1018" spans="1:10" x14ac:dyDescent="0.35">
      <c r="A1018" s="16">
        <v>167</v>
      </c>
      <c r="B1018" s="16" t="s">
        <v>2195</v>
      </c>
      <c r="C1018" s="16" t="s">
        <v>2196</v>
      </c>
      <c r="D1018" s="16" t="s">
        <v>130</v>
      </c>
      <c r="E1018" s="16" t="s">
        <v>809</v>
      </c>
      <c r="F1018" s="16" t="s">
        <v>2189</v>
      </c>
      <c r="G1018" s="16" t="s">
        <v>2190</v>
      </c>
      <c r="I1018" s="16" t="s">
        <v>534</v>
      </c>
    </row>
    <row r="1019" spans="1:10" x14ac:dyDescent="0.35">
      <c r="A1019" s="16">
        <v>167</v>
      </c>
      <c r="B1019" s="16" t="s">
        <v>2197</v>
      </c>
      <c r="C1019" s="16" t="s">
        <v>633</v>
      </c>
      <c r="D1019" s="16" t="s">
        <v>130</v>
      </c>
      <c r="E1019" s="16" t="s">
        <v>809</v>
      </c>
      <c r="F1019" s="16" t="s">
        <v>2189</v>
      </c>
      <c r="G1019" s="16" t="s">
        <v>2190</v>
      </c>
      <c r="I1019" s="16" t="s">
        <v>534</v>
      </c>
    </row>
    <row r="1020" spans="1:10" x14ac:dyDescent="0.35">
      <c r="A1020" s="16">
        <v>167</v>
      </c>
      <c r="B1020" s="16" t="s">
        <v>2198</v>
      </c>
      <c r="C1020" s="16" t="s">
        <v>656</v>
      </c>
      <c r="D1020" s="16" t="s">
        <v>130</v>
      </c>
      <c r="E1020" s="16" t="s">
        <v>809</v>
      </c>
      <c r="F1020" s="16" t="s">
        <v>2189</v>
      </c>
      <c r="G1020" s="16" t="s">
        <v>2190</v>
      </c>
      <c r="I1020" s="16" t="s">
        <v>534</v>
      </c>
    </row>
    <row r="1021" spans="1:10" x14ac:dyDescent="0.35">
      <c r="A1021" s="16">
        <v>167</v>
      </c>
      <c r="B1021" s="16" t="s">
        <v>2199</v>
      </c>
      <c r="C1021" s="16" t="s">
        <v>671</v>
      </c>
      <c r="D1021" s="16" t="s">
        <v>130</v>
      </c>
      <c r="E1021" s="16" t="s">
        <v>809</v>
      </c>
      <c r="F1021" s="16" t="s">
        <v>2189</v>
      </c>
      <c r="G1021" s="16" t="s">
        <v>2190</v>
      </c>
      <c r="I1021" s="16" t="s">
        <v>534</v>
      </c>
    </row>
    <row r="1022" spans="1:10" x14ac:dyDescent="0.35">
      <c r="A1022" s="16">
        <v>167</v>
      </c>
      <c r="B1022" s="16" t="s">
        <v>189</v>
      </c>
      <c r="C1022" s="16" t="s">
        <v>671</v>
      </c>
      <c r="D1022" s="16" t="s">
        <v>130</v>
      </c>
      <c r="E1022" s="16" t="s">
        <v>809</v>
      </c>
      <c r="F1022" s="16" t="s">
        <v>2189</v>
      </c>
      <c r="G1022" s="16" t="s">
        <v>2190</v>
      </c>
      <c r="I1022" s="16" t="s">
        <v>534</v>
      </c>
    </row>
    <row r="1023" spans="1:10" x14ac:dyDescent="0.35">
      <c r="A1023" s="16">
        <v>167</v>
      </c>
      <c r="B1023" s="16" t="s">
        <v>189</v>
      </c>
      <c r="C1023" s="16" t="s">
        <v>633</v>
      </c>
      <c r="D1023" s="16" t="s">
        <v>130</v>
      </c>
      <c r="E1023" s="16" t="s">
        <v>809</v>
      </c>
      <c r="F1023" s="16" t="s">
        <v>2189</v>
      </c>
      <c r="G1023" s="16" t="s">
        <v>2190</v>
      </c>
      <c r="I1023" s="16" t="s">
        <v>534</v>
      </c>
    </row>
    <row r="1024" spans="1:10" hidden="1" x14ac:dyDescent="0.35">
      <c r="A1024" s="16">
        <v>173</v>
      </c>
      <c r="B1024" s="16" t="s">
        <v>278</v>
      </c>
      <c r="C1024" s="16" t="s">
        <v>648</v>
      </c>
      <c r="D1024" s="16" t="s">
        <v>130</v>
      </c>
      <c r="E1024" s="16" t="s">
        <v>809</v>
      </c>
      <c r="F1024" s="16" t="s">
        <v>122</v>
      </c>
      <c r="G1024" s="16" t="s">
        <v>2200</v>
      </c>
      <c r="I1024" s="16" t="s">
        <v>2201</v>
      </c>
      <c r="J1024" s="16" t="s">
        <v>2202</v>
      </c>
    </row>
    <row r="1025" spans="1:10" hidden="1" x14ac:dyDescent="0.35">
      <c r="A1025" s="16">
        <v>173</v>
      </c>
      <c r="B1025" s="16" t="s">
        <v>2203</v>
      </c>
      <c r="C1025" s="16" t="s">
        <v>633</v>
      </c>
      <c r="D1025" s="16" t="s">
        <v>130</v>
      </c>
      <c r="E1025" s="16" t="s">
        <v>809</v>
      </c>
      <c r="F1025" s="16" t="s">
        <v>122</v>
      </c>
      <c r="G1025" s="16" t="s">
        <v>2200</v>
      </c>
      <c r="I1025" s="16" t="s">
        <v>2201</v>
      </c>
      <c r="J1025" s="16" t="s">
        <v>2202</v>
      </c>
    </row>
    <row r="1026" spans="1:10" hidden="1" x14ac:dyDescent="0.35">
      <c r="A1026" s="16">
        <v>79</v>
      </c>
      <c r="B1026" s="16" t="s">
        <v>2739</v>
      </c>
      <c r="C1026" s="16" t="s">
        <v>628</v>
      </c>
      <c r="D1026" s="16" t="s">
        <v>124</v>
      </c>
      <c r="E1026" s="16" t="s">
        <v>536</v>
      </c>
      <c r="F1026" s="16" t="s">
        <v>2740</v>
      </c>
      <c r="G1026" s="16" t="s">
        <v>2741</v>
      </c>
      <c r="I1026" s="16" t="s">
        <v>2742</v>
      </c>
      <c r="J1026" s="16" t="s">
        <v>2743</v>
      </c>
    </row>
    <row r="1027" spans="1:10" hidden="1" x14ac:dyDescent="0.35">
      <c r="A1027" s="16">
        <v>79</v>
      </c>
      <c r="B1027" s="16" t="s">
        <v>2744</v>
      </c>
      <c r="C1027" s="16" t="s">
        <v>633</v>
      </c>
      <c r="D1027" s="16" t="s">
        <v>124</v>
      </c>
      <c r="E1027" s="16" t="s">
        <v>536</v>
      </c>
      <c r="F1027" s="16" t="s">
        <v>2740</v>
      </c>
      <c r="G1027" s="16" t="s">
        <v>2741</v>
      </c>
      <c r="I1027" s="16" t="s">
        <v>2745</v>
      </c>
      <c r="J1027" s="16" t="s">
        <v>2743</v>
      </c>
    </row>
    <row r="1028" spans="1:10" hidden="1" x14ac:dyDescent="0.35">
      <c r="A1028" s="16">
        <v>79</v>
      </c>
      <c r="B1028" s="16" t="s">
        <v>442</v>
      </c>
      <c r="C1028" s="16" t="s">
        <v>2746</v>
      </c>
      <c r="D1028" s="16" t="s">
        <v>124</v>
      </c>
      <c r="E1028" s="16" t="s">
        <v>536</v>
      </c>
      <c r="F1028" s="16" t="s">
        <v>2740</v>
      </c>
      <c r="G1028" s="16" t="s">
        <v>2741</v>
      </c>
      <c r="I1028" s="16" t="s">
        <v>2745</v>
      </c>
    </row>
    <row r="1029" spans="1:10" hidden="1" x14ac:dyDescent="0.35">
      <c r="A1029" s="16">
        <v>79</v>
      </c>
      <c r="B1029" s="16" t="s">
        <v>2747</v>
      </c>
      <c r="C1029" s="16" t="s">
        <v>633</v>
      </c>
      <c r="D1029" s="16" t="s">
        <v>130</v>
      </c>
      <c r="E1029" s="16" t="s">
        <v>539</v>
      </c>
      <c r="F1029" s="16" t="s">
        <v>2740</v>
      </c>
      <c r="G1029" s="16" t="s">
        <v>2741</v>
      </c>
      <c r="I1029" s="16" t="s">
        <v>2748</v>
      </c>
    </row>
    <row r="1030" spans="1:10" hidden="1" x14ac:dyDescent="0.35">
      <c r="A1030" s="16">
        <v>79</v>
      </c>
      <c r="B1030" s="16" t="s">
        <v>174</v>
      </c>
      <c r="D1030" s="16" t="s">
        <v>130</v>
      </c>
      <c r="E1030" s="16" t="s">
        <v>539</v>
      </c>
      <c r="F1030" s="16" t="s">
        <v>2740</v>
      </c>
      <c r="G1030" s="16" t="s">
        <v>2741</v>
      </c>
      <c r="I1030" s="16" t="s">
        <v>2749</v>
      </c>
    </row>
    <row r="1031" spans="1:10" hidden="1" x14ac:dyDescent="0.35">
      <c r="A1031" s="16">
        <v>79</v>
      </c>
      <c r="B1031" s="16" t="s">
        <v>584</v>
      </c>
      <c r="D1031" s="16" t="s">
        <v>130</v>
      </c>
      <c r="E1031" s="16" t="s">
        <v>539</v>
      </c>
      <c r="F1031" s="16" t="s">
        <v>2740</v>
      </c>
      <c r="G1031" s="16" t="s">
        <v>2741</v>
      </c>
      <c r="I1031" s="16" t="s">
        <v>2749</v>
      </c>
    </row>
    <row r="1032" spans="1:10" hidden="1" x14ac:dyDescent="0.35">
      <c r="A1032" s="16">
        <v>80</v>
      </c>
      <c r="B1032" s="16" t="s">
        <v>2750</v>
      </c>
      <c r="D1032" s="16" t="s">
        <v>130</v>
      </c>
      <c r="E1032" s="16" t="s">
        <v>559</v>
      </c>
      <c r="F1032" s="16" t="s">
        <v>122</v>
      </c>
      <c r="G1032" s="16">
        <v>2008</v>
      </c>
      <c r="H1032" s="50" t="s">
        <v>403</v>
      </c>
      <c r="I1032" s="16" t="s">
        <v>389</v>
      </c>
    </row>
    <row r="1033" spans="1:10" hidden="1" x14ac:dyDescent="0.35">
      <c r="A1033" s="16">
        <v>80</v>
      </c>
      <c r="B1033" s="16" t="s">
        <v>2751</v>
      </c>
      <c r="D1033" s="16" t="s">
        <v>130</v>
      </c>
      <c r="E1033" s="16" t="s">
        <v>539</v>
      </c>
      <c r="F1033" s="16" t="s">
        <v>122</v>
      </c>
      <c r="G1033" s="16">
        <v>2008</v>
      </c>
      <c r="H1033" s="50" t="s">
        <v>403</v>
      </c>
      <c r="I1033" s="16" t="s">
        <v>389</v>
      </c>
    </row>
    <row r="1034" spans="1:10" hidden="1" x14ac:dyDescent="0.35">
      <c r="A1034" s="16">
        <v>80</v>
      </c>
      <c r="B1034" s="16" t="s">
        <v>2752</v>
      </c>
      <c r="C1034" s="16" t="s">
        <v>633</v>
      </c>
      <c r="D1034" s="16" t="s">
        <v>130</v>
      </c>
      <c r="E1034" s="16" t="s">
        <v>1022</v>
      </c>
      <c r="F1034" s="16" t="s">
        <v>122</v>
      </c>
      <c r="G1034" s="16">
        <v>2008</v>
      </c>
      <c r="H1034" s="50" t="s">
        <v>403</v>
      </c>
      <c r="I1034" s="16" t="s">
        <v>389</v>
      </c>
    </row>
    <row r="1035" spans="1:10" hidden="1" x14ac:dyDescent="0.35">
      <c r="A1035" s="16">
        <v>80</v>
      </c>
      <c r="B1035" s="16" t="s">
        <v>2753</v>
      </c>
      <c r="D1035" s="16" t="s">
        <v>130</v>
      </c>
      <c r="E1035" s="16" t="s">
        <v>539</v>
      </c>
      <c r="F1035" s="16" t="s">
        <v>122</v>
      </c>
      <c r="G1035" s="16">
        <v>2008</v>
      </c>
      <c r="H1035" s="50" t="s">
        <v>403</v>
      </c>
      <c r="I1035" s="16" t="s">
        <v>389</v>
      </c>
    </row>
    <row r="1036" spans="1:10" hidden="1" x14ac:dyDescent="0.35">
      <c r="A1036" s="16">
        <v>80</v>
      </c>
      <c r="B1036" s="16" t="s">
        <v>2754</v>
      </c>
      <c r="D1036" s="16" t="s">
        <v>130</v>
      </c>
      <c r="E1036" s="16" t="s">
        <v>539</v>
      </c>
      <c r="F1036" s="16" t="s">
        <v>122</v>
      </c>
      <c r="G1036" s="16">
        <v>2008</v>
      </c>
      <c r="H1036" s="50" t="s">
        <v>403</v>
      </c>
      <c r="I1036" s="16" t="s">
        <v>389</v>
      </c>
    </row>
    <row r="1037" spans="1:10" hidden="1" x14ac:dyDescent="0.35">
      <c r="A1037" s="16">
        <v>80</v>
      </c>
      <c r="B1037" s="16" t="s">
        <v>2755</v>
      </c>
      <c r="C1037" s="16" t="s">
        <v>633</v>
      </c>
      <c r="D1037" s="16" t="s">
        <v>130</v>
      </c>
      <c r="E1037" s="16" t="s">
        <v>813</v>
      </c>
      <c r="F1037" s="16" t="s">
        <v>122</v>
      </c>
      <c r="G1037" s="16">
        <v>2008</v>
      </c>
      <c r="H1037" s="50" t="s">
        <v>403</v>
      </c>
      <c r="I1037" s="16" t="s">
        <v>2756</v>
      </c>
    </row>
    <row r="1038" spans="1:10" hidden="1" x14ac:dyDescent="0.35">
      <c r="A1038" s="16">
        <v>80</v>
      </c>
      <c r="B1038" s="16" t="s">
        <v>2757</v>
      </c>
      <c r="D1038" s="16" t="s">
        <v>130</v>
      </c>
      <c r="E1038" s="16" t="s">
        <v>813</v>
      </c>
      <c r="F1038" s="16" t="s">
        <v>122</v>
      </c>
      <c r="G1038" s="16">
        <v>2008</v>
      </c>
      <c r="H1038" s="50" t="s">
        <v>403</v>
      </c>
      <c r="I1038" s="16" t="s">
        <v>2756</v>
      </c>
    </row>
    <row r="1039" spans="1:10" hidden="1" x14ac:dyDescent="0.35">
      <c r="A1039" s="16">
        <v>80</v>
      </c>
      <c r="B1039" s="16" t="s">
        <v>2758</v>
      </c>
      <c r="C1039" s="16" t="s">
        <v>633</v>
      </c>
      <c r="D1039" s="16" t="s">
        <v>130</v>
      </c>
      <c r="E1039" s="16" t="s">
        <v>813</v>
      </c>
      <c r="F1039" s="16" t="s">
        <v>122</v>
      </c>
      <c r="G1039" s="16">
        <v>2008</v>
      </c>
      <c r="H1039" s="50" t="s">
        <v>403</v>
      </c>
      <c r="I1039" s="16" t="s">
        <v>2756</v>
      </c>
    </row>
    <row r="1040" spans="1:10" hidden="1" x14ac:dyDescent="0.35">
      <c r="A1040" s="16">
        <v>80</v>
      </c>
      <c r="B1040" s="16" t="s">
        <v>2759</v>
      </c>
      <c r="C1040" s="16" t="s">
        <v>2760</v>
      </c>
      <c r="D1040" s="16" t="s">
        <v>130</v>
      </c>
      <c r="E1040" s="16" t="s">
        <v>813</v>
      </c>
      <c r="F1040" s="16" t="s">
        <v>122</v>
      </c>
      <c r="G1040" s="16">
        <v>2008</v>
      </c>
      <c r="H1040" s="50" t="s">
        <v>403</v>
      </c>
      <c r="I1040" s="16" t="s">
        <v>2756</v>
      </c>
    </row>
    <row r="1041" spans="1:10" hidden="1" x14ac:dyDescent="0.35">
      <c r="A1041" s="16">
        <v>776</v>
      </c>
      <c r="B1041" s="16" t="s">
        <v>2761</v>
      </c>
      <c r="C1041" s="16" t="s">
        <v>2762</v>
      </c>
      <c r="D1041" s="16" t="s">
        <v>124</v>
      </c>
      <c r="E1041" s="16" t="s">
        <v>1118</v>
      </c>
      <c r="F1041" s="16" t="s">
        <v>2763</v>
      </c>
      <c r="G1041" s="16" t="s">
        <v>2764</v>
      </c>
      <c r="I1041" s="16" t="s">
        <v>2765</v>
      </c>
    </row>
    <row r="1042" spans="1:10" hidden="1" x14ac:dyDescent="0.35">
      <c r="A1042" s="16">
        <v>776</v>
      </c>
      <c r="B1042" s="16" t="s">
        <v>134</v>
      </c>
      <c r="D1042" s="16" t="s">
        <v>124</v>
      </c>
      <c r="E1042" s="16" t="s">
        <v>1329</v>
      </c>
      <c r="F1042" s="16" t="s">
        <v>28</v>
      </c>
      <c r="G1042" s="16">
        <v>2017</v>
      </c>
      <c r="I1042" s="16" t="s">
        <v>2766</v>
      </c>
    </row>
    <row r="1043" spans="1:10" hidden="1" x14ac:dyDescent="0.35">
      <c r="A1043" s="16">
        <v>776</v>
      </c>
      <c r="B1043" s="16" t="s">
        <v>2767</v>
      </c>
      <c r="C1043" s="16" t="s">
        <v>656</v>
      </c>
      <c r="D1043" s="16" t="s">
        <v>124</v>
      </c>
      <c r="E1043" s="16" t="s">
        <v>1118</v>
      </c>
      <c r="F1043" s="16" t="s">
        <v>2763</v>
      </c>
      <c r="G1043" s="16" t="s">
        <v>2768</v>
      </c>
      <c r="I1043" s="16" t="s">
        <v>2769</v>
      </c>
      <c r="J1043" s="16" t="s">
        <v>2770</v>
      </c>
    </row>
    <row r="1044" spans="1:10" hidden="1" x14ac:dyDescent="0.35">
      <c r="A1044" s="16">
        <v>776</v>
      </c>
      <c r="B1044" s="16" t="s">
        <v>2771</v>
      </c>
      <c r="C1044" s="16" t="s">
        <v>2772</v>
      </c>
      <c r="D1044" s="16" t="s">
        <v>124</v>
      </c>
      <c r="E1044" s="16" t="s">
        <v>1118</v>
      </c>
      <c r="F1044" s="16" t="s">
        <v>2763</v>
      </c>
      <c r="G1044" s="16" t="s">
        <v>2768</v>
      </c>
      <c r="I1044" s="16" t="s">
        <v>2769</v>
      </c>
      <c r="J1044" s="16" t="s">
        <v>2770</v>
      </c>
    </row>
    <row r="1045" spans="1:10" hidden="1" x14ac:dyDescent="0.35">
      <c r="A1045" s="16">
        <v>776</v>
      </c>
      <c r="B1045" s="16" t="s">
        <v>2773</v>
      </c>
      <c r="C1045" s="16" t="s">
        <v>2774</v>
      </c>
      <c r="D1045" s="16" t="s">
        <v>124</v>
      </c>
      <c r="E1045" s="16" t="s">
        <v>1118</v>
      </c>
      <c r="F1045" s="16" t="s">
        <v>2763</v>
      </c>
      <c r="G1045" s="16" t="s">
        <v>2768</v>
      </c>
      <c r="I1045" s="16" t="s">
        <v>2769</v>
      </c>
      <c r="J1045" s="16" t="s">
        <v>2770</v>
      </c>
    </row>
    <row r="1046" spans="1:10" hidden="1" x14ac:dyDescent="0.35">
      <c r="A1046" s="16">
        <v>776</v>
      </c>
      <c r="B1046" s="16" t="s">
        <v>2775</v>
      </c>
      <c r="D1046" s="16" t="s">
        <v>124</v>
      </c>
      <c r="E1046" s="16" t="s">
        <v>1118</v>
      </c>
      <c r="F1046" s="16" t="s">
        <v>2763</v>
      </c>
      <c r="G1046" s="16" t="s">
        <v>2768</v>
      </c>
      <c r="I1046" s="16" t="s">
        <v>2769</v>
      </c>
      <c r="J1046" s="16" t="s">
        <v>2770</v>
      </c>
    </row>
    <row r="1047" spans="1:10" hidden="1" x14ac:dyDescent="0.35">
      <c r="A1047" s="16">
        <v>776</v>
      </c>
      <c r="B1047" s="16" t="s">
        <v>2776</v>
      </c>
      <c r="C1047" s="16" t="s">
        <v>2777</v>
      </c>
      <c r="D1047" s="16" t="s">
        <v>124</v>
      </c>
      <c r="E1047" s="16" t="s">
        <v>1118</v>
      </c>
      <c r="F1047" s="16" t="s">
        <v>2763</v>
      </c>
      <c r="G1047" s="16" t="s">
        <v>2768</v>
      </c>
      <c r="I1047" s="16" t="s">
        <v>2769</v>
      </c>
      <c r="J1047" s="16" t="s">
        <v>2770</v>
      </c>
    </row>
    <row r="1048" spans="1:10" x14ac:dyDescent="0.35">
      <c r="A1048" s="16">
        <v>780</v>
      </c>
      <c r="B1048" s="16" t="s">
        <v>2778</v>
      </c>
      <c r="C1048" s="16" t="s">
        <v>656</v>
      </c>
      <c r="D1048" s="16" t="s">
        <v>124</v>
      </c>
      <c r="E1048" s="16" t="s">
        <v>1118</v>
      </c>
      <c r="F1048" s="16" t="s">
        <v>2763</v>
      </c>
      <c r="G1048" s="16" t="s">
        <v>2779</v>
      </c>
      <c r="I1048" s="16" t="s">
        <v>2780</v>
      </c>
    </row>
    <row r="1049" spans="1:10" x14ac:dyDescent="0.35">
      <c r="A1049" s="16">
        <v>780</v>
      </c>
      <c r="B1049" s="16" t="s">
        <v>2781</v>
      </c>
      <c r="C1049" s="16" t="s">
        <v>714</v>
      </c>
      <c r="D1049" s="16" t="s">
        <v>124</v>
      </c>
      <c r="E1049" s="16" t="s">
        <v>1118</v>
      </c>
      <c r="F1049" s="16" t="s">
        <v>2763</v>
      </c>
      <c r="G1049" s="16" t="s">
        <v>2779</v>
      </c>
      <c r="I1049" s="16" t="s">
        <v>2780</v>
      </c>
    </row>
    <row r="1050" spans="1:10" x14ac:dyDescent="0.35">
      <c r="A1050" s="16">
        <v>780</v>
      </c>
      <c r="B1050" s="16" t="s">
        <v>2782</v>
      </c>
      <c r="C1050" s="16" t="s">
        <v>714</v>
      </c>
      <c r="D1050" s="16" t="s">
        <v>124</v>
      </c>
      <c r="E1050" s="16" t="s">
        <v>1118</v>
      </c>
      <c r="F1050" s="16" t="s">
        <v>2763</v>
      </c>
      <c r="G1050" s="16" t="s">
        <v>2779</v>
      </c>
      <c r="I1050" s="16" t="s">
        <v>2780</v>
      </c>
    </row>
    <row r="1051" spans="1:10" hidden="1" x14ac:dyDescent="0.35">
      <c r="A1051" s="16">
        <v>795</v>
      </c>
      <c r="B1051" s="16" t="s">
        <v>385</v>
      </c>
      <c r="C1051" s="16" t="s">
        <v>640</v>
      </c>
      <c r="D1051" s="16" t="s">
        <v>124</v>
      </c>
      <c r="E1051" s="16" t="s">
        <v>536</v>
      </c>
      <c r="F1051" s="16" t="s">
        <v>2763</v>
      </c>
      <c r="G1051" s="16" t="s">
        <v>1438</v>
      </c>
      <c r="I1051" s="16" t="s">
        <v>2783</v>
      </c>
      <c r="J1051" s="16" t="s">
        <v>2784</v>
      </c>
    </row>
    <row r="1052" spans="1:10" hidden="1" x14ac:dyDescent="0.35">
      <c r="A1052" s="16">
        <v>795</v>
      </c>
      <c r="B1052" s="16" t="s">
        <v>2785</v>
      </c>
      <c r="C1052" s="16" t="s">
        <v>626</v>
      </c>
      <c r="D1052" s="16" t="s">
        <v>124</v>
      </c>
      <c r="E1052" s="16" t="s">
        <v>536</v>
      </c>
      <c r="F1052" s="16" t="s">
        <v>2763</v>
      </c>
      <c r="G1052" s="16" t="s">
        <v>1438</v>
      </c>
      <c r="I1052" s="16" t="s">
        <v>2783</v>
      </c>
      <c r="J1052" s="16" t="s">
        <v>2784</v>
      </c>
    </row>
    <row r="1053" spans="1:10" hidden="1" x14ac:dyDescent="0.35">
      <c r="A1053" s="16">
        <v>795</v>
      </c>
      <c r="B1053" s="16" t="s">
        <v>2786</v>
      </c>
      <c r="C1053" s="16" t="s">
        <v>656</v>
      </c>
      <c r="D1053" s="16" t="s">
        <v>124</v>
      </c>
      <c r="E1053" s="16" t="s">
        <v>536</v>
      </c>
      <c r="F1053" s="16" t="s">
        <v>2763</v>
      </c>
      <c r="G1053" s="16" t="s">
        <v>1438</v>
      </c>
      <c r="I1053" s="16" t="s">
        <v>2783</v>
      </c>
      <c r="J1053" s="16" t="s">
        <v>2784</v>
      </c>
    </row>
    <row r="1054" spans="1:10" x14ac:dyDescent="0.35">
      <c r="A1054" s="16">
        <v>801</v>
      </c>
      <c r="B1054" s="16" t="s">
        <v>2787</v>
      </c>
      <c r="C1054" s="16" t="s">
        <v>633</v>
      </c>
      <c r="D1054" s="16" t="s">
        <v>124</v>
      </c>
      <c r="E1054" s="16" t="s">
        <v>536</v>
      </c>
      <c r="F1054" s="16" t="s">
        <v>122</v>
      </c>
      <c r="G1054" s="16" t="s">
        <v>2788</v>
      </c>
      <c r="I1054" s="16" t="s">
        <v>2789</v>
      </c>
      <c r="J1054" s="16" t="s">
        <v>2790</v>
      </c>
    </row>
    <row r="1055" spans="1:10" hidden="1" x14ac:dyDescent="0.35">
      <c r="A1055" s="16">
        <v>850</v>
      </c>
      <c r="B1055" s="16" t="s">
        <v>2791</v>
      </c>
      <c r="C1055" s="16" t="s">
        <v>1956</v>
      </c>
      <c r="D1055" s="16" t="s">
        <v>124</v>
      </c>
      <c r="E1055" s="16" t="s">
        <v>559</v>
      </c>
      <c r="F1055" s="16" t="s">
        <v>2792</v>
      </c>
      <c r="G1055" s="16" t="s">
        <v>2793</v>
      </c>
      <c r="I1055" s="16" t="s">
        <v>2794</v>
      </c>
      <c r="J1055" s="16" t="s">
        <v>2795</v>
      </c>
    </row>
    <row r="1056" spans="1:10" x14ac:dyDescent="0.35">
      <c r="A1056" s="16">
        <v>850</v>
      </c>
      <c r="B1056" s="16" t="s">
        <v>2796</v>
      </c>
      <c r="C1056" s="16" t="s">
        <v>628</v>
      </c>
      <c r="D1056" s="16" t="s">
        <v>124</v>
      </c>
      <c r="E1056" s="16" t="s">
        <v>559</v>
      </c>
      <c r="F1056" s="16" t="s">
        <v>122</v>
      </c>
      <c r="G1056" s="16" t="s">
        <v>2055</v>
      </c>
      <c r="I1056" s="16" t="s">
        <v>15</v>
      </c>
    </row>
    <row r="1057" spans="1:13" x14ac:dyDescent="0.35">
      <c r="A1057" s="16">
        <v>850</v>
      </c>
      <c r="B1057" s="16" t="s">
        <v>443</v>
      </c>
      <c r="C1057" s="16" t="s">
        <v>2173</v>
      </c>
      <c r="D1057" s="16" t="s">
        <v>124</v>
      </c>
      <c r="E1057" s="16" t="s">
        <v>538</v>
      </c>
      <c r="F1057" s="16" t="s">
        <v>122</v>
      </c>
      <c r="G1057" s="16" t="s">
        <v>2055</v>
      </c>
      <c r="I1057" s="16" t="s">
        <v>2797</v>
      </c>
    </row>
    <row r="1058" spans="1:13" hidden="1" x14ac:dyDescent="0.35">
      <c r="A1058" s="16">
        <v>856</v>
      </c>
      <c r="B1058" s="16" t="s">
        <v>4662</v>
      </c>
      <c r="C1058" s="16" t="s">
        <v>2798</v>
      </c>
      <c r="D1058" s="16" t="s">
        <v>130</v>
      </c>
      <c r="E1058" s="16" t="s">
        <v>1021</v>
      </c>
      <c r="F1058" s="16" t="s">
        <v>2799</v>
      </c>
      <c r="G1058" s="16">
        <v>2001</v>
      </c>
      <c r="I1058" s="16" t="s">
        <v>2800</v>
      </c>
    </row>
    <row r="1059" spans="1:13" x14ac:dyDescent="0.35">
      <c r="A1059" s="16">
        <v>857</v>
      </c>
      <c r="B1059" s="16" t="s">
        <v>2801</v>
      </c>
      <c r="C1059" s="16" t="s">
        <v>1956</v>
      </c>
      <c r="D1059" s="16" t="s">
        <v>124</v>
      </c>
      <c r="E1059" s="16" t="s">
        <v>536</v>
      </c>
      <c r="F1059" s="16" t="s">
        <v>28</v>
      </c>
      <c r="G1059" s="16" t="s">
        <v>2802</v>
      </c>
      <c r="I1059" s="16" t="s">
        <v>2803</v>
      </c>
    </row>
    <row r="1060" spans="1:13" x14ac:dyDescent="0.35">
      <c r="A1060" s="16">
        <v>857</v>
      </c>
      <c r="B1060" s="16" t="s">
        <v>173</v>
      </c>
      <c r="C1060" s="16" t="s">
        <v>633</v>
      </c>
      <c r="D1060" s="16" t="s">
        <v>124</v>
      </c>
      <c r="E1060" s="16" t="s">
        <v>536</v>
      </c>
      <c r="F1060" s="16" t="s">
        <v>122</v>
      </c>
      <c r="G1060" s="16" t="s">
        <v>2802</v>
      </c>
      <c r="I1060" s="16" t="s">
        <v>2803</v>
      </c>
    </row>
    <row r="1061" spans="1:13" hidden="1" x14ac:dyDescent="0.35">
      <c r="A1061" s="16">
        <v>857</v>
      </c>
      <c r="B1061" s="16" t="s">
        <v>2804</v>
      </c>
      <c r="C1061" s="16" t="s">
        <v>626</v>
      </c>
      <c r="D1061" s="16" t="s">
        <v>124</v>
      </c>
      <c r="E1061" s="16" t="s">
        <v>536</v>
      </c>
      <c r="F1061" s="16" t="s">
        <v>122</v>
      </c>
      <c r="G1061" s="16" t="s">
        <v>2802</v>
      </c>
      <c r="I1061" s="16" t="s">
        <v>2805</v>
      </c>
    </row>
    <row r="1062" spans="1:13" x14ac:dyDescent="0.35">
      <c r="A1062" s="16">
        <v>861</v>
      </c>
      <c r="B1062" s="16" t="s">
        <v>134</v>
      </c>
      <c r="C1062" s="16" t="s">
        <v>1956</v>
      </c>
      <c r="D1062" s="16" t="s">
        <v>124</v>
      </c>
      <c r="E1062" s="16" t="s">
        <v>536</v>
      </c>
      <c r="F1062" s="16" t="s">
        <v>28</v>
      </c>
      <c r="G1062" s="16" t="s">
        <v>2806</v>
      </c>
      <c r="I1062" s="16" t="s">
        <v>2807</v>
      </c>
      <c r="J1062" s="16" t="s">
        <v>2808</v>
      </c>
    </row>
    <row r="1063" spans="1:13" hidden="1" x14ac:dyDescent="0.35">
      <c r="A1063" s="16">
        <v>862</v>
      </c>
      <c r="B1063" s="16" t="s">
        <v>2809</v>
      </c>
      <c r="C1063" s="16" t="s">
        <v>2798</v>
      </c>
      <c r="D1063" s="16" t="s">
        <v>130</v>
      </c>
      <c r="E1063" s="16" t="s">
        <v>1021</v>
      </c>
      <c r="F1063" s="16" t="s">
        <v>2810</v>
      </c>
      <c r="G1063" s="16">
        <v>2022</v>
      </c>
      <c r="I1063" s="16" t="s">
        <v>389</v>
      </c>
      <c r="J1063" s="16" t="s">
        <v>2811</v>
      </c>
    </row>
    <row r="1064" spans="1:13" hidden="1" x14ac:dyDescent="0.35">
      <c r="A1064" s="72">
        <v>527</v>
      </c>
      <c r="B1064" s="72" t="s">
        <v>2838</v>
      </c>
      <c r="C1064" s="72" t="s">
        <v>633</v>
      </c>
      <c r="D1064" s="72" t="s">
        <v>124</v>
      </c>
      <c r="E1064" s="72" t="s">
        <v>559</v>
      </c>
      <c r="F1064" s="72" t="s">
        <v>2839</v>
      </c>
      <c r="G1064" s="72" t="s">
        <v>1446</v>
      </c>
      <c r="H1064" s="78"/>
      <c r="I1064" s="72" t="s">
        <v>2840</v>
      </c>
      <c r="J1064" s="79"/>
      <c r="K1064"/>
      <c r="L1064"/>
      <c r="M1064"/>
    </row>
    <row r="1065" spans="1:13" hidden="1" x14ac:dyDescent="0.35">
      <c r="A1065" s="72">
        <v>527</v>
      </c>
      <c r="B1065" s="72" t="s">
        <v>2841</v>
      </c>
      <c r="C1065" s="72" t="s">
        <v>637</v>
      </c>
      <c r="D1065" s="72" t="s">
        <v>124</v>
      </c>
      <c r="E1065" s="72" t="s">
        <v>539</v>
      </c>
      <c r="F1065" s="72" t="s">
        <v>2839</v>
      </c>
      <c r="G1065" s="72" t="s">
        <v>1446</v>
      </c>
      <c r="H1065" s="78"/>
      <c r="I1065" s="72" t="s">
        <v>2840</v>
      </c>
      <c r="J1065" s="79"/>
      <c r="K1065"/>
      <c r="L1065"/>
      <c r="M1065"/>
    </row>
    <row r="1066" spans="1:13" hidden="1" x14ac:dyDescent="0.35">
      <c r="A1066" s="72">
        <v>527</v>
      </c>
      <c r="B1066" s="72" t="s">
        <v>2842</v>
      </c>
      <c r="C1066" s="72" t="s">
        <v>637</v>
      </c>
      <c r="D1066" s="72" t="s">
        <v>124</v>
      </c>
      <c r="E1066" s="72" t="s">
        <v>539</v>
      </c>
      <c r="F1066" s="72" t="s">
        <v>2839</v>
      </c>
      <c r="G1066" s="72" t="s">
        <v>1446</v>
      </c>
      <c r="H1066" s="78"/>
      <c r="I1066" s="72" t="s">
        <v>2840</v>
      </c>
      <c r="J1066" s="79"/>
      <c r="K1066"/>
      <c r="L1066"/>
      <c r="M1066"/>
    </row>
    <row r="1067" spans="1:13" hidden="1" x14ac:dyDescent="0.35">
      <c r="A1067" s="72">
        <v>527</v>
      </c>
      <c r="B1067" s="72" t="s">
        <v>2843</v>
      </c>
      <c r="C1067" s="72" t="s">
        <v>1037</v>
      </c>
      <c r="D1067" s="72" t="s">
        <v>124</v>
      </c>
      <c r="E1067" s="72" t="s">
        <v>539</v>
      </c>
      <c r="F1067" s="72" t="s">
        <v>2839</v>
      </c>
      <c r="G1067" s="72" t="s">
        <v>1446</v>
      </c>
      <c r="H1067" s="78"/>
      <c r="I1067" s="72" t="s">
        <v>2840</v>
      </c>
      <c r="J1067" s="79"/>
      <c r="K1067"/>
      <c r="L1067"/>
      <c r="M1067"/>
    </row>
    <row r="1068" spans="1:13" hidden="1" x14ac:dyDescent="0.35">
      <c r="A1068" s="72">
        <v>527</v>
      </c>
      <c r="B1068" s="72" t="s">
        <v>2844</v>
      </c>
      <c r="C1068" s="72" t="s">
        <v>1322</v>
      </c>
      <c r="D1068" s="72" t="s">
        <v>124</v>
      </c>
      <c r="E1068" s="72" t="s">
        <v>539</v>
      </c>
      <c r="F1068" s="72" t="s">
        <v>2839</v>
      </c>
      <c r="G1068" s="72" t="s">
        <v>1446</v>
      </c>
      <c r="H1068" s="78"/>
      <c r="I1068" s="72" t="s">
        <v>2840</v>
      </c>
      <c r="J1068" s="79"/>
      <c r="K1068"/>
      <c r="L1068"/>
      <c r="M1068"/>
    </row>
    <row r="1069" spans="1:13" hidden="1" x14ac:dyDescent="0.35">
      <c r="A1069" s="72">
        <v>527</v>
      </c>
      <c r="B1069" s="72" t="s">
        <v>2845</v>
      </c>
      <c r="C1069" s="72" t="s">
        <v>633</v>
      </c>
      <c r="D1069" s="72" t="s">
        <v>124</v>
      </c>
      <c r="E1069" s="72" t="s">
        <v>538</v>
      </c>
      <c r="F1069" s="72" t="s">
        <v>2839</v>
      </c>
      <c r="G1069" s="72" t="s">
        <v>1446</v>
      </c>
      <c r="H1069" s="78"/>
      <c r="I1069" s="72" t="s">
        <v>2840</v>
      </c>
      <c r="J1069" s="79"/>
      <c r="K1069"/>
      <c r="L1069"/>
      <c r="M1069"/>
    </row>
    <row r="1070" spans="1:13" hidden="1" x14ac:dyDescent="0.35">
      <c r="A1070" s="72">
        <v>527</v>
      </c>
      <c r="B1070" s="72" t="s">
        <v>2846</v>
      </c>
      <c r="C1070" s="72" t="s">
        <v>2173</v>
      </c>
      <c r="D1070" s="72" t="s">
        <v>130</v>
      </c>
      <c r="E1070" s="72" t="s">
        <v>813</v>
      </c>
      <c r="F1070" s="72" t="s">
        <v>2847</v>
      </c>
      <c r="G1070" s="72" t="s">
        <v>1446</v>
      </c>
      <c r="H1070" s="78"/>
      <c r="I1070" s="72" t="s">
        <v>2840</v>
      </c>
      <c r="J1070" s="79"/>
      <c r="K1070"/>
      <c r="L1070"/>
      <c r="M1070"/>
    </row>
    <row r="1071" spans="1:13" hidden="1" x14ac:dyDescent="0.35">
      <c r="A1071" s="72">
        <v>527</v>
      </c>
      <c r="B1071" s="72" t="s">
        <v>2848</v>
      </c>
      <c r="C1071" s="72" t="s">
        <v>633</v>
      </c>
      <c r="D1071" s="72" t="s">
        <v>130</v>
      </c>
      <c r="E1071" s="72" t="s">
        <v>813</v>
      </c>
      <c r="F1071" s="72" t="s">
        <v>2847</v>
      </c>
      <c r="G1071" s="72" t="s">
        <v>1446</v>
      </c>
      <c r="H1071" s="78"/>
      <c r="I1071" s="72" t="s">
        <v>2840</v>
      </c>
      <c r="J1071" s="79"/>
      <c r="K1071"/>
      <c r="L1071"/>
      <c r="M1071"/>
    </row>
    <row r="1072" spans="1:13" hidden="1" x14ac:dyDescent="0.35">
      <c r="A1072" s="72">
        <v>527</v>
      </c>
      <c r="B1072" s="72" t="s">
        <v>2849</v>
      </c>
      <c r="C1072" s="72" t="s">
        <v>2850</v>
      </c>
      <c r="D1072" s="72" t="s">
        <v>130</v>
      </c>
      <c r="E1072" s="72" t="s">
        <v>813</v>
      </c>
      <c r="F1072" s="72" t="s">
        <v>2847</v>
      </c>
      <c r="G1072" s="72" t="s">
        <v>1446</v>
      </c>
      <c r="H1072" s="78"/>
      <c r="I1072" s="72" t="s">
        <v>2840</v>
      </c>
      <c r="J1072" s="79"/>
      <c r="K1072"/>
      <c r="L1072"/>
      <c r="M1072"/>
    </row>
    <row r="1073" spans="1:13" hidden="1" x14ac:dyDescent="0.35">
      <c r="A1073" s="72">
        <v>527</v>
      </c>
      <c r="B1073" s="72" t="s">
        <v>2851</v>
      </c>
      <c r="C1073" s="72" t="s">
        <v>2850</v>
      </c>
      <c r="D1073" s="72" t="s">
        <v>130</v>
      </c>
      <c r="E1073" s="72" t="s">
        <v>813</v>
      </c>
      <c r="F1073" s="72" t="s">
        <v>2847</v>
      </c>
      <c r="G1073" s="72" t="s">
        <v>1446</v>
      </c>
      <c r="H1073" s="78"/>
      <c r="I1073" s="72" t="s">
        <v>2840</v>
      </c>
      <c r="J1073" s="79"/>
      <c r="K1073"/>
      <c r="L1073"/>
      <c r="M1073"/>
    </row>
    <row r="1074" spans="1:13" hidden="1" x14ac:dyDescent="0.35">
      <c r="A1074" s="72">
        <v>527</v>
      </c>
      <c r="B1074" s="72" t="s">
        <v>2852</v>
      </c>
      <c r="C1074" s="72" t="s">
        <v>2850</v>
      </c>
      <c r="D1074" s="72" t="s">
        <v>130</v>
      </c>
      <c r="E1074" s="72" t="s">
        <v>813</v>
      </c>
      <c r="F1074" s="72" t="s">
        <v>2847</v>
      </c>
      <c r="G1074" s="72" t="s">
        <v>1446</v>
      </c>
      <c r="H1074" s="78"/>
      <c r="I1074" s="72" t="s">
        <v>2840</v>
      </c>
      <c r="J1074" s="79"/>
      <c r="K1074"/>
      <c r="L1074"/>
      <c r="M1074"/>
    </row>
    <row r="1075" spans="1:13" hidden="1" x14ac:dyDescent="0.35">
      <c r="A1075" s="72">
        <v>527</v>
      </c>
      <c r="B1075" s="72" t="s">
        <v>2853</v>
      </c>
      <c r="C1075" s="72" t="s">
        <v>2850</v>
      </c>
      <c r="D1075" s="72" t="s">
        <v>130</v>
      </c>
      <c r="E1075" s="72" t="s">
        <v>813</v>
      </c>
      <c r="F1075" s="72" t="s">
        <v>2847</v>
      </c>
      <c r="G1075" s="72" t="s">
        <v>1446</v>
      </c>
      <c r="H1075" s="78"/>
      <c r="I1075" s="72" t="s">
        <v>2840</v>
      </c>
      <c r="J1075" s="79"/>
      <c r="K1075"/>
      <c r="L1075"/>
      <c r="M1075"/>
    </row>
    <row r="1076" spans="1:13" hidden="1" x14ac:dyDescent="0.35">
      <c r="A1076" s="72">
        <v>527</v>
      </c>
      <c r="B1076" s="72" t="s">
        <v>4660</v>
      </c>
      <c r="C1076" s="72" t="s">
        <v>633</v>
      </c>
      <c r="D1076" s="72" t="s">
        <v>124</v>
      </c>
      <c r="E1076" s="72" t="s">
        <v>559</v>
      </c>
      <c r="F1076" s="72" t="s">
        <v>2839</v>
      </c>
      <c r="G1076" s="72" t="s">
        <v>1446</v>
      </c>
      <c r="H1076" s="78"/>
      <c r="I1076" s="72" t="s">
        <v>2840</v>
      </c>
      <c r="J1076" s="79"/>
      <c r="K1076"/>
      <c r="L1076"/>
      <c r="M1076"/>
    </row>
    <row r="1077" spans="1:13" hidden="1" x14ac:dyDescent="0.35">
      <c r="A1077" s="72">
        <v>535</v>
      </c>
      <c r="B1077" s="72" t="s">
        <v>2854</v>
      </c>
      <c r="C1077" s="72" t="s">
        <v>633</v>
      </c>
      <c r="D1077" s="72" t="s">
        <v>124</v>
      </c>
      <c r="E1077" s="72" t="s">
        <v>536</v>
      </c>
      <c r="F1077" s="72" t="s">
        <v>2855</v>
      </c>
      <c r="G1077" s="72" t="s">
        <v>1837</v>
      </c>
      <c r="H1077" s="78"/>
      <c r="I1077" s="78" t="s">
        <v>962</v>
      </c>
      <c r="J1077" s="79" t="s">
        <v>2856</v>
      </c>
      <c r="K1077"/>
      <c r="L1077"/>
      <c r="M1077"/>
    </row>
    <row r="1078" spans="1:13" hidden="1" x14ac:dyDescent="0.35">
      <c r="A1078" s="72">
        <v>535</v>
      </c>
      <c r="B1078" s="72" t="s">
        <v>2857</v>
      </c>
      <c r="C1078" s="72" t="s">
        <v>2858</v>
      </c>
      <c r="D1078" s="72" t="s">
        <v>124</v>
      </c>
      <c r="E1078" s="72" t="s">
        <v>536</v>
      </c>
      <c r="F1078" s="72" t="s">
        <v>2855</v>
      </c>
      <c r="G1078" s="72" t="s">
        <v>1330</v>
      </c>
      <c r="H1078" s="78"/>
      <c r="I1078" s="78" t="s">
        <v>2855</v>
      </c>
      <c r="J1078" s="79"/>
      <c r="K1078"/>
      <c r="L1078"/>
      <c r="M1078"/>
    </row>
    <row r="1079" spans="1:13" hidden="1" x14ac:dyDescent="0.35">
      <c r="A1079" s="72">
        <v>535</v>
      </c>
      <c r="B1079" s="72" t="s">
        <v>2859</v>
      </c>
      <c r="C1079" s="72" t="s">
        <v>633</v>
      </c>
      <c r="D1079" s="72" t="s">
        <v>124</v>
      </c>
      <c r="E1079" s="72" t="s">
        <v>536</v>
      </c>
      <c r="F1079" s="72" t="s">
        <v>2855</v>
      </c>
      <c r="G1079" s="72" t="s">
        <v>1330</v>
      </c>
      <c r="H1079" s="78"/>
      <c r="I1079" s="72" t="s">
        <v>2860</v>
      </c>
      <c r="J1079" s="79"/>
      <c r="K1079"/>
      <c r="L1079"/>
      <c r="M1079"/>
    </row>
    <row r="1080" spans="1:13" hidden="1" x14ac:dyDescent="0.35">
      <c r="A1080" s="72">
        <v>535</v>
      </c>
      <c r="B1080" s="72" t="s">
        <v>2861</v>
      </c>
      <c r="C1080" s="72" t="s">
        <v>644</v>
      </c>
      <c r="D1080" s="72" t="s">
        <v>124</v>
      </c>
      <c r="E1080" s="72" t="s">
        <v>536</v>
      </c>
      <c r="F1080" s="72" t="s">
        <v>2855</v>
      </c>
      <c r="G1080" s="72" t="s">
        <v>1330</v>
      </c>
      <c r="H1080" s="78"/>
      <c r="I1080" s="72" t="s">
        <v>2862</v>
      </c>
      <c r="J1080" s="80" t="s">
        <v>2863</v>
      </c>
      <c r="K1080"/>
      <c r="L1080"/>
      <c r="M1080"/>
    </row>
    <row r="1081" spans="1:13" hidden="1" x14ac:dyDescent="0.35">
      <c r="A1081" s="72">
        <v>535</v>
      </c>
      <c r="B1081" s="72" t="s">
        <v>2864</v>
      </c>
      <c r="C1081" s="72" t="s">
        <v>633</v>
      </c>
      <c r="D1081" s="72" t="s">
        <v>124</v>
      </c>
      <c r="E1081" s="72" t="s">
        <v>536</v>
      </c>
      <c r="F1081" s="72" t="s">
        <v>2855</v>
      </c>
      <c r="G1081" s="72" t="s">
        <v>1330</v>
      </c>
      <c r="H1081" s="78"/>
      <c r="I1081" s="72" t="s">
        <v>2865</v>
      </c>
      <c r="J1081" s="80"/>
      <c r="K1081"/>
      <c r="L1081"/>
      <c r="M1081"/>
    </row>
    <row r="1082" spans="1:13" hidden="1" x14ac:dyDescent="0.35">
      <c r="A1082" s="72">
        <v>535</v>
      </c>
      <c r="B1082" s="72" t="s">
        <v>2866</v>
      </c>
      <c r="C1082" s="72" t="s">
        <v>2867</v>
      </c>
      <c r="D1082" s="72" t="s">
        <v>124</v>
      </c>
      <c r="E1082" s="72" t="s">
        <v>536</v>
      </c>
      <c r="F1082" s="72" t="s">
        <v>2868</v>
      </c>
      <c r="G1082" s="72" t="s">
        <v>2869</v>
      </c>
      <c r="H1082" s="78"/>
      <c r="I1082" s="72" t="s">
        <v>2870</v>
      </c>
      <c r="J1082" s="79"/>
      <c r="K1082"/>
      <c r="L1082"/>
      <c r="M1082"/>
    </row>
    <row r="1083" spans="1:13" hidden="1" x14ac:dyDescent="0.35">
      <c r="A1083" s="72">
        <v>535</v>
      </c>
      <c r="B1083" s="72" t="s">
        <v>2871</v>
      </c>
      <c r="C1083" s="72" t="s">
        <v>2867</v>
      </c>
      <c r="D1083" s="72" t="s">
        <v>124</v>
      </c>
      <c r="E1083" s="72" t="s">
        <v>536</v>
      </c>
      <c r="F1083" s="72" t="s">
        <v>2868</v>
      </c>
      <c r="G1083" s="72" t="s">
        <v>2872</v>
      </c>
      <c r="H1083" s="78"/>
      <c r="I1083" s="72" t="s">
        <v>2873</v>
      </c>
      <c r="J1083" s="79"/>
      <c r="K1083"/>
      <c r="L1083"/>
      <c r="M1083"/>
    </row>
    <row r="1084" spans="1:13" hidden="1" x14ac:dyDescent="0.35">
      <c r="A1084" s="72">
        <v>535</v>
      </c>
      <c r="B1084" s="72" t="s">
        <v>900</v>
      </c>
      <c r="C1084" s="72" t="s">
        <v>2874</v>
      </c>
      <c r="D1084" s="72" t="s">
        <v>124</v>
      </c>
      <c r="E1084" s="72" t="s">
        <v>559</v>
      </c>
      <c r="F1084" s="72" t="s">
        <v>2868</v>
      </c>
      <c r="G1084" s="72" t="s">
        <v>2872</v>
      </c>
      <c r="H1084" s="78"/>
      <c r="I1084" s="78" t="s">
        <v>2855</v>
      </c>
      <c r="J1084" s="79"/>
      <c r="K1084"/>
      <c r="L1084"/>
      <c r="M1084"/>
    </row>
    <row r="1085" spans="1:13" hidden="1" x14ac:dyDescent="0.35">
      <c r="A1085" s="72">
        <v>535</v>
      </c>
      <c r="B1085" s="72" t="s">
        <v>2875</v>
      </c>
      <c r="C1085" s="72" t="s">
        <v>2876</v>
      </c>
      <c r="D1085" s="72" t="s">
        <v>124</v>
      </c>
      <c r="E1085" s="72" t="s">
        <v>536</v>
      </c>
      <c r="F1085" s="72" t="s">
        <v>2868</v>
      </c>
      <c r="G1085" s="72" t="s">
        <v>2872</v>
      </c>
      <c r="H1085" s="78"/>
      <c r="I1085" s="78" t="s">
        <v>2855</v>
      </c>
      <c r="J1085" s="79"/>
      <c r="K1085"/>
      <c r="L1085"/>
      <c r="M1085"/>
    </row>
    <row r="1086" spans="1:13" hidden="1" x14ac:dyDescent="0.35">
      <c r="A1086" s="72">
        <v>535</v>
      </c>
      <c r="B1086" s="72" t="s">
        <v>2877</v>
      </c>
      <c r="C1086" s="72" t="s">
        <v>2858</v>
      </c>
      <c r="D1086" s="72" t="s">
        <v>124</v>
      </c>
      <c r="E1086" s="72" t="s">
        <v>536</v>
      </c>
      <c r="F1086" s="72" t="s">
        <v>2868</v>
      </c>
      <c r="G1086" s="72" t="s">
        <v>2872</v>
      </c>
      <c r="H1086" s="78"/>
      <c r="I1086" s="78" t="s">
        <v>2855</v>
      </c>
      <c r="J1086" s="79" t="s">
        <v>2878</v>
      </c>
      <c r="K1086"/>
      <c r="L1086"/>
      <c r="M1086"/>
    </row>
    <row r="1087" spans="1:13" hidden="1" x14ac:dyDescent="0.35">
      <c r="A1087" s="72">
        <v>536</v>
      </c>
      <c r="B1087" s="72" t="s">
        <v>2879</v>
      </c>
      <c r="C1087" s="72" t="s">
        <v>2880</v>
      </c>
      <c r="D1087" s="72" t="s">
        <v>124</v>
      </c>
      <c r="E1087" s="72" t="s">
        <v>538</v>
      </c>
      <c r="F1087" s="72" t="s">
        <v>2881</v>
      </c>
      <c r="G1087" s="72" t="s">
        <v>1546</v>
      </c>
      <c r="H1087" s="78"/>
      <c r="I1087" s="72" t="s">
        <v>2549</v>
      </c>
      <c r="J1087" s="79" t="s">
        <v>2856</v>
      </c>
      <c r="K1087"/>
      <c r="L1087"/>
      <c r="M1087"/>
    </row>
    <row r="1088" spans="1:13" hidden="1" x14ac:dyDescent="0.35">
      <c r="A1088" s="72">
        <v>536</v>
      </c>
      <c r="B1088" s="72" t="s">
        <v>2882</v>
      </c>
      <c r="C1088" s="72" t="s">
        <v>1319</v>
      </c>
      <c r="D1088" s="72" t="s">
        <v>124</v>
      </c>
      <c r="E1088" s="72" t="s">
        <v>539</v>
      </c>
      <c r="F1088" s="72" t="s">
        <v>2881</v>
      </c>
      <c r="G1088" s="72" t="s">
        <v>1546</v>
      </c>
      <c r="H1088" s="78"/>
      <c r="I1088" s="72" t="s">
        <v>2883</v>
      </c>
      <c r="J1088" s="79"/>
      <c r="K1088"/>
      <c r="L1088"/>
      <c r="M1088"/>
    </row>
    <row r="1089" spans="1:13" hidden="1" x14ac:dyDescent="0.35">
      <c r="A1089" s="72">
        <v>536</v>
      </c>
      <c r="B1089" s="72" t="s">
        <v>2884</v>
      </c>
      <c r="C1089" s="72" t="s">
        <v>1319</v>
      </c>
      <c r="D1089" s="72" t="s">
        <v>124</v>
      </c>
      <c r="E1089" s="72" t="s">
        <v>539</v>
      </c>
      <c r="F1089" s="72" t="s">
        <v>2881</v>
      </c>
      <c r="G1089" s="72" t="s">
        <v>1546</v>
      </c>
      <c r="H1089" s="78"/>
      <c r="I1089" s="72" t="s">
        <v>2883</v>
      </c>
      <c r="J1089" s="79"/>
      <c r="K1089"/>
      <c r="L1089"/>
      <c r="M1089"/>
    </row>
    <row r="1090" spans="1:13" hidden="1" x14ac:dyDescent="0.35">
      <c r="A1090" s="72">
        <v>536</v>
      </c>
      <c r="B1090" s="72" t="s">
        <v>4661</v>
      </c>
      <c r="C1090" s="72" t="s">
        <v>633</v>
      </c>
      <c r="D1090" s="72" t="s">
        <v>124</v>
      </c>
      <c r="E1090" s="72" t="s">
        <v>559</v>
      </c>
      <c r="F1090" s="72" t="s">
        <v>2881</v>
      </c>
      <c r="G1090" s="72" t="s">
        <v>1546</v>
      </c>
      <c r="H1090" s="78"/>
      <c r="I1090" s="72" t="s">
        <v>2883</v>
      </c>
      <c r="J1090" s="79"/>
      <c r="K1090"/>
      <c r="L1090"/>
      <c r="M1090"/>
    </row>
    <row r="1091" spans="1:13" hidden="1" x14ac:dyDescent="0.35">
      <c r="A1091" s="72">
        <v>536</v>
      </c>
      <c r="B1091" s="72" t="s">
        <v>2885</v>
      </c>
      <c r="C1091" s="72" t="s">
        <v>633</v>
      </c>
      <c r="D1091" s="72" t="s">
        <v>124</v>
      </c>
      <c r="E1091" s="72" t="s">
        <v>536</v>
      </c>
      <c r="F1091" s="72" t="s">
        <v>2881</v>
      </c>
      <c r="G1091" s="72" t="s">
        <v>1546</v>
      </c>
      <c r="H1091" s="78"/>
      <c r="I1091" s="72" t="s">
        <v>2886</v>
      </c>
      <c r="J1091" s="79"/>
      <c r="K1091"/>
      <c r="L1091"/>
      <c r="M1091"/>
    </row>
    <row r="1092" spans="1:13" hidden="1" x14ac:dyDescent="0.35">
      <c r="A1092" s="72">
        <v>536</v>
      </c>
      <c r="B1092" s="72" t="s">
        <v>2887</v>
      </c>
      <c r="C1092" s="72" t="s">
        <v>2173</v>
      </c>
      <c r="D1092" s="72" t="s">
        <v>124</v>
      </c>
      <c r="E1092" s="72" t="s">
        <v>538</v>
      </c>
      <c r="F1092" s="72" t="s">
        <v>2881</v>
      </c>
      <c r="G1092" s="72" t="s">
        <v>1546</v>
      </c>
      <c r="H1092" s="78"/>
      <c r="I1092" s="72" t="s">
        <v>2883</v>
      </c>
      <c r="J1092" s="79"/>
      <c r="K1092"/>
      <c r="L1092"/>
      <c r="M1092"/>
    </row>
    <row r="1093" spans="1:13" x14ac:dyDescent="0.35">
      <c r="A1093" s="72">
        <v>556</v>
      </c>
      <c r="B1093" s="72" t="s">
        <v>2888</v>
      </c>
      <c r="C1093" s="72" t="s">
        <v>2173</v>
      </c>
      <c r="D1093" s="72" t="s">
        <v>124</v>
      </c>
      <c r="E1093" s="72" t="s">
        <v>1329</v>
      </c>
      <c r="F1093" s="72" t="s">
        <v>1956</v>
      </c>
      <c r="G1093" s="72" t="s">
        <v>2229</v>
      </c>
      <c r="H1093" s="78"/>
      <c r="I1093" s="72" t="s">
        <v>2889</v>
      </c>
      <c r="J1093" s="79"/>
      <c r="K1093"/>
      <c r="L1093"/>
      <c r="M1093"/>
    </row>
    <row r="1094" spans="1:13" x14ac:dyDescent="0.35">
      <c r="A1094" s="72">
        <v>556</v>
      </c>
      <c r="B1094" s="72" t="s">
        <v>2890</v>
      </c>
      <c r="C1094" s="72" t="s">
        <v>2173</v>
      </c>
      <c r="D1094" s="72" t="s">
        <v>124</v>
      </c>
      <c r="E1094" s="72" t="s">
        <v>1329</v>
      </c>
      <c r="F1094" s="72" t="s">
        <v>1956</v>
      </c>
      <c r="G1094" s="72" t="s">
        <v>2229</v>
      </c>
      <c r="H1094" s="78"/>
      <c r="I1094" s="72" t="s">
        <v>2891</v>
      </c>
      <c r="J1094" s="79"/>
      <c r="K1094"/>
      <c r="L1094"/>
      <c r="M1094"/>
    </row>
    <row r="1095" spans="1:13" x14ac:dyDescent="0.35">
      <c r="A1095" s="72">
        <v>556</v>
      </c>
      <c r="B1095" s="72" t="s">
        <v>2892</v>
      </c>
      <c r="C1095" s="72" t="s">
        <v>2173</v>
      </c>
      <c r="D1095" s="72" t="s">
        <v>124</v>
      </c>
      <c r="E1095" s="72" t="s">
        <v>1329</v>
      </c>
      <c r="F1095" s="72" t="s">
        <v>1956</v>
      </c>
      <c r="G1095" s="72" t="s">
        <v>2229</v>
      </c>
      <c r="H1095" s="78"/>
      <c r="I1095" s="72" t="s">
        <v>2891</v>
      </c>
      <c r="J1095" s="79"/>
      <c r="K1095"/>
      <c r="L1095"/>
      <c r="M1095"/>
    </row>
    <row r="1096" spans="1:13" x14ac:dyDescent="0.35">
      <c r="A1096" s="72">
        <v>556</v>
      </c>
      <c r="B1096" s="72" t="s">
        <v>2893</v>
      </c>
      <c r="C1096" s="72" t="s">
        <v>2173</v>
      </c>
      <c r="D1096" s="72" t="s">
        <v>124</v>
      </c>
      <c r="E1096" s="72" t="s">
        <v>1329</v>
      </c>
      <c r="F1096" s="72" t="s">
        <v>1956</v>
      </c>
      <c r="G1096" s="72" t="s">
        <v>2229</v>
      </c>
      <c r="H1096" s="78"/>
      <c r="I1096" s="72" t="s">
        <v>2891</v>
      </c>
      <c r="J1096" s="79"/>
      <c r="K1096"/>
      <c r="L1096"/>
      <c r="M1096"/>
    </row>
    <row r="1097" spans="1:13" x14ac:dyDescent="0.35">
      <c r="A1097" s="72">
        <v>556</v>
      </c>
      <c r="B1097" s="72" t="s">
        <v>2894</v>
      </c>
      <c r="C1097" s="72" t="s">
        <v>2173</v>
      </c>
      <c r="D1097" s="72" t="s">
        <v>124</v>
      </c>
      <c r="E1097" s="72" t="s">
        <v>1329</v>
      </c>
      <c r="F1097" s="72" t="s">
        <v>1956</v>
      </c>
      <c r="G1097" s="72" t="s">
        <v>2229</v>
      </c>
      <c r="H1097" s="78"/>
      <c r="I1097" s="72" t="s">
        <v>2891</v>
      </c>
      <c r="J1097" s="79"/>
      <c r="K1097"/>
      <c r="L1097"/>
      <c r="M1097"/>
    </row>
    <row r="1098" spans="1:13" x14ac:dyDescent="0.35">
      <c r="A1098" s="72">
        <v>556</v>
      </c>
      <c r="B1098" s="72" t="s">
        <v>2895</v>
      </c>
      <c r="C1098" s="72" t="s">
        <v>2173</v>
      </c>
      <c r="D1098" s="72" t="s">
        <v>124</v>
      </c>
      <c r="E1098" s="72" t="s">
        <v>1329</v>
      </c>
      <c r="F1098" s="72" t="s">
        <v>1956</v>
      </c>
      <c r="G1098" s="72" t="s">
        <v>2229</v>
      </c>
      <c r="H1098" s="78"/>
      <c r="I1098" s="72" t="s">
        <v>2891</v>
      </c>
      <c r="J1098" s="79"/>
      <c r="K1098"/>
      <c r="L1098"/>
      <c r="M1098"/>
    </row>
    <row r="1099" spans="1:13" x14ac:dyDescent="0.35">
      <c r="A1099" s="72">
        <v>556</v>
      </c>
      <c r="B1099" s="72" t="s">
        <v>2896</v>
      </c>
      <c r="C1099" s="72" t="s">
        <v>2173</v>
      </c>
      <c r="D1099" s="72" t="s">
        <v>124</v>
      </c>
      <c r="E1099" s="72" t="s">
        <v>1329</v>
      </c>
      <c r="F1099" s="72" t="s">
        <v>1956</v>
      </c>
      <c r="G1099" s="72" t="s">
        <v>2229</v>
      </c>
      <c r="H1099" s="78"/>
      <c r="I1099" s="72" t="s">
        <v>2891</v>
      </c>
      <c r="J1099" s="79"/>
      <c r="K1099"/>
      <c r="L1099"/>
      <c r="M1099"/>
    </row>
    <row r="1100" spans="1:13" x14ac:dyDescent="0.35">
      <c r="A1100" s="72">
        <v>556</v>
      </c>
      <c r="B1100" s="72" t="s">
        <v>2897</v>
      </c>
      <c r="C1100" s="72" t="s">
        <v>2173</v>
      </c>
      <c r="D1100" s="72" t="s">
        <v>124</v>
      </c>
      <c r="E1100" s="72" t="s">
        <v>1329</v>
      </c>
      <c r="F1100" s="72" t="s">
        <v>1956</v>
      </c>
      <c r="G1100" s="72" t="s">
        <v>2229</v>
      </c>
      <c r="H1100" s="78"/>
      <c r="I1100" s="72" t="s">
        <v>2891</v>
      </c>
      <c r="J1100" s="79"/>
      <c r="K1100"/>
      <c r="L1100"/>
      <c r="M1100"/>
    </row>
    <row r="1101" spans="1:13" x14ac:dyDescent="0.35">
      <c r="A1101" s="72">
        <v>556</v>
      </c>
      <c r="B1101" s="72" t="s">
        <v>2898</v>
      </c>
      <c r="C1101" s="72" t="s">
        <v>2173</v>
      </c>
      <c r="D1101" s="72" t="s">
        <v>124</v>
      </c>
      <c r="E1101" s="72" t="s">
        <v>1329</v>
      </c>
      <c r="F1101" s="72" t="s">
        <v>1956</v>
      </c>
      <c r="G1101" s="72" t="s">
        <v>2229</v>
      </c>
      <c r="H1101" s="78"/>
      <c r="I1101" s="72" t="s">
        <v>2891</v>
      </c>
      <c r="J1101" s="79"/>
      <c r="K1101"/>
      <c r="L1101"/>
      <c r="M1101"/>
    </row>
    <row r="1102" spans="1:13" x14ac:dyDescent="0.35">
      <c r="A1102" s="72">
        <v>556</v>
      </c>
      <c r="B1102" s="72" t="s">
        <v>2899</v>
      </c>
      <c r="C1102" s="72" t="s">
        <v>2173</v>
      </c>
      <c r="D1102" s="72" t="s">
        <v>124</v>
      </c>
      <c r="E1102" s="72" t="s">
        <v>1329</v>
      </c>
      <c r="F1102" s="72" t="s">
        <v>1956</v>
      </c>
      <c r="G1102" s="72" t="s">
        <v>2229</v>
      </c>
      <c r="H1102" s="78"/>
      <c r="I1102" s="72" t="s">
        <v>2891</v>
      </c>
      <c r="J1102" s="79"/>
      <c r="K1102"/>
      <c r="L1102"/>
      <c r="M1102"/>
    </row>
    <row r="1103" spans="1:13" x14ac:dyDescent="0.35">
      <c r="A1103" s="72">
        <v>556</v>
      </c>
      <c r="B1103" s="72" t="s">
        <v>2900</v>
      </c>
      <c r="C1103" s="72" t="s">
        <v>2173</v>
      </c>
      <c r="D1103" s="72" t="s">
        <v>124</v>
      </c>
      <c r="E1103" s="72" t="s">
        <v>1329</v>
      </c>
      <c r="F1103" s="72" t="s">
        <v>1956</v>
      </c>
      <c r="G1103" s="72" t="s">
        <v>2229</v>
      </c>
      <c r="H1103" s="78"/>
      <c r="I1103" s="72" t="s">
        <v>2891</v>
      </c>
      <c r="J1103" s="79"/>
      <c r="K1103"/>
      <c r="L1103"/>
      <c r="M1103"/>
    </row>
    <row r="1104" spans="1:13" x14ac:dyDescent="0.35">
      <c r="A1104" s="72">
        <v>556</v>
      </c>
      <c r="B1104" s="72" t="s">
        <v>2901</v>
      </c>
      <c r="C1104" s="72" t="s">
        <v>2902</v>
      </c>
      <c r="D1104" s="72" t="s">
        <v>124</v>
      </c>
      <c r="E1104" s="72" t="s">
        <v>1329</v>
      </c>
      <c r="F1104" s="72" t="s">
        <v>1956</v>
      </c>
      <c r="G1104" s="72" t="s">
        <v>2229</v>
      </c>
      <c r="H1104" s="78"/>
      <c r="I1104" s="72" t="s">
        <v>2891</v>
      </c>
      <c r="J1104" s="79"/>
      <c r="K1104"/>
      <c r="L1104"/>
      <c r="M1104"/>
    </row>
    <row r="1105" spans="1:13" x14ac:dyDescent="0.35">
      <c r="A1105" s="72">
        <v>556</v>
      </c>
      <c r="B1105" s="72" t="s">
        <v>2903</v>
      </c>
      <c r="C1105" s="72" t="s">
        <v>2902</v>
      </c>
      <c r="D1105" s="72" t="s">
        <v>124</v>
      </c>
      <c r="E1105" s="72" t="s">
        <v>1329</v>
      </c>
      <c r="F1105" s="72" t="s">
        <v>1956</v>
      </c>
      <c r="G1105" s="72" t="s">
        <v>2229</v>
      </c>
      <c r="H1105" s="78"/>
      <c r="I1105" s="72" t="s">
        <v>2891</v>
      </c>
      <c r="J1105" s="79"/>
      <c r="K1105"/>
      <c r="L1105"/>
      <c r="M1105"/>
    </row>
    <row r="1106" spans="1:13" x14ac:dyDescent="0.35">
      <c r="A1106" s="72">
        <v>556</v>
      </c>
      <c r="B1106" s="72" t="s">
        <v>2904</v>
      </c>
      <c r="C1106" s="72" t="s">
        <v>2902</v>
      </c>
      <c r="D1106" s="72" t="s">
        <v>124</v>
      </c>
      <c r="E1106" s="72" t="s">
        <v>1329</v>
      </c>
      <c r="F1106" s="72" t="s">
        <v>1956</v>
      </c>
      <c r="G1106" s="72" t="s">
        <v>2229</v>
      </c>
      <c r="H1106" s="78"/>
      <c r="I1106" s="72" t="s">
        <v>2891</v>
      </c>
      <c r="J1106" s="79"/>
      <c r="K1106"/>
      <c r="L1106"/>
      <c r="M1106"/>
    </row>
    <row r="1107" spans="1:13" x14ac:dyDescent="0.35">
      <c r="A1107" s="72">
        <v>556</v>
      </c>
      <c r="B1107" s="72" t="s">
        <v>2904</v>
      </c>
      <c r="C1107" s="72" t="s">
        <v>2902</v>
      </c>
      <c r="D1107" s="72" t="s">
        <v>124</v>
      </c>
      <c r="E1107" s="72" t="s">
        <v>1329</v>
      </c>
      <c r="F1107" s="72" t="s">
        <v>1956</v>
      </c>
      <c r="G1107" s="72" t="s">
        <v>2229</v>
      </c>
      <c r="H1107" s="78"/>
      <c r="I1107" s="72" t="s">
        <v>2891</v>
      </c>
      <c r="J1107" s="79"/>
      <c r="K1107"/>
      <c r="L1107"/>
      <c r="M1107"/>
    </row>
    <row r="1108" spans="1:13" hidden="1" x14ac:dyDescent="0.35">
      <c r="A1108" s="72">
        <v>556</v>
      </c>
      <c r="B1108" s="72" t="s">
        <v>2905</v>
      </c>
      <c r="C1108" s="72" t="s">
        <v>2173</v>
      </c>
      <c r="D1108" s="72" t="s">
        <v>124</v>
      </c>
      <c r="E1108" s="72" t="s">
        <v>1329</v>
      </c>
      <c r="F1108" s="72" t="s">
        <v>1956</v>
      </c>
      <c r="G1108" s="72" t="s">
        <v>2229</v>
      </c>
      <c r="H1108" s="78"/>
      <c r="I1108" s="81"/>
      <c r="J1108" s="79" t="s">
        <v>2906</v>
      </c>
      <c r="K1108"/>
      <c r="L1108"/>
      <c r="M1108"/>
    </row>
    <row r="1109" spans="1:13" hidden="1" x14ac:dyDescent="0.35">
      <c r="A1109" s="72">
        <v>556</v>
      </c>
      <c r="B1109" s="72" t="s">
        <v>2907</v>
      </c>
      <c r="C1109" s="72" t="s">
        <v>2173</v>
      </c>
      <c r="D1109" s="72" t="s">
        <v>124</v>
      </c>
      <c r="E1109" s="72" t="s">
        <v>1329</v>
      </c>
      <c r="F1109" s="72" t="s">
        <v>1956</v>
      </c>
      <c r="G1109" s="72" t="s">
        <v>2229</v>
      </c>
      <c r="H1109" s="78"/>
      <c r="I1109" s="81"/>
      <c r="J1109" s="79" t="s">
        <v>2906</v>
      </c>
      <c r="K1109"/>
      <c r="L1109"/>
      <c r="M1109"/>
    </row>
    <row r="1110" spans="1:13" hidden="1" x14ac:dyDescent="0.35">
      <c r="A1110" s="72">
        <v>556</v>
      </c>
      <c r="B1110" s="72" t="s">
        <v>2908</v>
      </c>
      <c r="C1110" s="72" t="s">
        <v>2173</v>
      </c>
      <c r="D1110" s="72" t="s">
        <v>124</v>
      </c>
      <c r="E1110" s="72" t="s">
        <v>1329</v>
      </c>
      <c r="F1110" s="72" t="s">
        <v>1956</v>
      </c>
      <c r="G1110" s="72" t="s">
        <v>2229</v>
      </c>
      <c r="H1110" s="78"/>
      <c r="I1110" s="81"/>
      <c r="J1110" s="79" t="s">
        <v>2906</v>
      </c>
      <c r="K1110"/>
      <c r="L1110"/>
      <c r="M1110"/>
    </row>
    <row r="1111" spans="1:13" hidden="1" x14ac:dyDescent="0.35">
      <c r="A1111" s="72">
        <v>556</v>
      </c>
      <c r="B1111" s="72" t="s">
        <v>2909</v>
      </c>
      <c r="C1111" s="72" t="s">
        <v>633</v>
      </c>
      <c r="D1111" s="72" t="s">
        <v>124</v>
      </c>
      <c r="E1111" s="72" t="s">
        <v>1329</v>
      </c>
      <c r="F1111" s="72" t="s">
        <v>1956</v>
      </c>
      <c r="G1111" s="72" t="s">
        <v>2229</v>
      </c>
      <c r="H1111" s="78"/>
      <c r="I1111" s="81"/>
      <c r="J1111" s="79" t="s">
        <v>2906</v>
      </c>
      <c r="K1111"/>
      <c r="L1111"/>
      <c r="M1111"/>
    </row>
    <row r="1112" spans="1:13" hidden="1" x14ac:dyDescent="0.35">
      <c r="A1112" s="72">
        <v>556</v>
      </c>
      <c r="B1112" s="72" t="s">
        <v>2910</v>
      </c>
      <c r="C1112" s="72" t="s">
        <v>633</v>
      </c>
      <c r="D1112" s="72" t="s">
        <v>124</v>
      </c>
      <c r="E1112" s="72" t="s">
        <v>1329</v>
      </c>
      <c r="F1112" s="72" t="s">
        <v>1956</v>
      </c>
      <c r="G1112" s="72" t="s">
        <v>2229</v>
      </c>
      <c r="H1112" s="78"/>
      <c r="I1112" s="81"/>
      <c r="J1112" s="79" t="s">
        <v>2906</v>
      </c>
      <c r="K1112"/>
      <c r="L1112"/>
      <c r="M1112"/>
    </row>
    <row r="1113" spans="1:13" hidden="1" x14ac:dyDescent="0.35">
      <c r="A1113" s="72">
        <v>556</v>
      </c>
      <c r="B1113" s="72" t="s">
        <v>2911</v>
      </c>
      <c r="C1113" s="72" t="s">
        <v>633</v>
      </c>
      <c r="D1113" s="72" t="s">
        <v>124</v>
      </c>
      <c r="E1113" s="72" t="s">
        <v>1329</v>
      </c>
      <c r="F1113" s="72" t="s">
        <v>1956</v>
      </c>
      <c r="G1113" s="72" t="s">
        <v>2229</v>
      </c>
      <c r="H1113" s="78"/>
      <c r="I1113" s="81"/>
      <c r="J1113" s="79" t="s">
        <v>2906</v>
      </c>
      <c r="K1113"/>
      <c r="L1113"/>
      <c r="M1113"/>
    </row>
    <row r="1114" spans="1:13" hidden="1" x14ac:dyDescent="0.35">
      <c r="A1114" s="72">
        <v>557</v>
      </c>
      <c r="B1114" s="72" t="s">
        <v>2912</v>
      </c>
      <c r="C1114" s="72" t="s">
        <v>2173</v>
      </c>
      <c r="D1114" s="72" t="s">
        <v>124</v>
      </c>
      <c r="E1114" s="72" t="s">
        <v>1329</v>
      </c>
      <c r="F1114" s="72" t="s">
        <v>1956</v>
      </c>
      <c r="G1114" s="72" t="s">
        <v>2913</v>
      </c>
      <c r="H1114" s="78"/>
      <c r="I1114" s="72" t="s">
        <v>2914</v>
      </c>
      <c r="J1114" s="79"/>
      <c r="K1114"/>
      <c r="L1114"/>
      <c r="M1114"/>
    </row>
    <row r="1115" spans="1:13" hidden="1" x14ac:dyDescent="0.35">
      <c r="A1115" s="72">
        <v>557</v>
      </c>
      <c r="B1115" s="72" t="s">
        <v>2915</v>
      </c>
      <c r="C1115" s="72" t="s">
        <v>2173</v>
      </c>
      <c r="D1115" s="72" t="s">
        <v>124</v>
      </c>
      <c r="E1115" s="72" t="s">
        <v>1329</v>
      </c>
      <c r="F1115" s="72" t="s">
        <v>1956</v>
      </c>
      <c r="G1115" s="72" t="s">
        <v>2916</v>
      </c>
      <c r="H1115" s="78"/>
      <c r="I1115" s="72" t="s">
        <v>2914</v>
      </c>
      <c r="J1115" s="79"/>
      <c r="K1115"/>
      <c r="L1115"/>
      <c r="M1115"/>
    </row>
    <row r="1116" spans="1:13" hidden="1" x14ac:dyDescent="0.35">
      <c r="A1116" s="72">
        <v>557</v>
      </c>
      <c r="B1116" s="72" t="s">
        <v>2917</v>
      </c>
      <c r="C1116" s="72" t="s">
        <v>2173</v>
      </c>
      <c r="D1116" s="72" t="s">
        <v>124</v>
      </c>
      <c r="E1116" s="72" t="s">
        <v>1126</v>
      </c>
      <c r="F1116" s="72" t="s">
        <v>122</v>
      </c>
      <c r="G1116" s="72" t="s">
        <v>2913</v>
      </c>
      <c r="H1116" s="78"/>
      <c r="I1116" s="72" t="s">
        <v>930</v>
      </c>
      <c r="J1116" s="79"/>
      <c r="K1116"/>
      <c r="L1116"/>
      <c r="M1116"/>
    </row>
    <row r="1117" spans="1:13" hidden="1" x14ac:dyDescent="0.35">
      <c r="A1117" s="72">
        <v>557</v>
      </c>
      <c r="B1117" s="72" t="s">
        <v>2918</v>
      </c>
      <c r="C1117" s="72" t="s">
        <v>2173</v>
      </c>
      <c r="D1117" s="72" t="s">
        <v>124</v>
      </c>
      <c r="E1117" s="72" t="s">
        <v>536</v>
      </c>
      <c r="F1117" s="72" t="s">
        <v>122</v>
      </c>
      <c r="G1117" s="72" t="s">
        <v>2913</v>
      </c>
      <c r="H1117" s="78"/>
      <c r="I1117" s="72" t="s">
        <v>930</v>
      </c>
      <c r="J1117" s="79"/>
      <c r="K1117"/>
      <c r="L1117"/>
      <c r="M1117"/>
    </row>
    <row r="1118" spans="1:13" hidden="1" x14ac:dyDescent="0.35">
      <c r="A1118" s="72">
        <v>557</v>
      </c>
      <c r="B1118" s="72" t="s">
        <v>2919</v>
      </c>
      <c r="C1118" s="72" t="s">
        <v>2173</v>
      </c>
      <c r="D1118" s="72" t="s">
        <v>124</v>
      </c>
      <c r="E1118" s="72" t="s">
        <v>536</v>
      </c>
      <c r="F1118" s="72" t="s">
        <v>122</v>
      </c>
      <c r="G1118" s="72" t="s">
        <v>2913</v>
      </c>
      <c r="H1118" s="78"/>
      <c r="I1118" s="72" t="s">
        <v>930</v>
      </c>
      <c r="J1118" s="79"/>
      <c r="K1118"/>
      <c r="L1118"/>
      <c r="M1118"/>
    </row>
    <row r="1119" spans="1:13" hidden="1" x14ac:dyDescent="0.35">
      <c r="A1119" s="72">
        <v>557</v>
      </c>
      <c r="B1119" s="72" t="s">
        <v>2920</v>
      </c>
      <c r="C1119" s="72" t="s">
        <v>2173</v>
      </c>
      <c r="D1119" s="72" t="s">
        <v>124</v>
      </c>
      <c r="E1119" s="72" t="s">
        <v>536</v>
      </c>
      <c r="F1119" s="72" t="s">
        <v>122</v>
      </c>
      <c r="G1119" s="72" t="s">
        <v>2913</v>
      </c>
      <c r="H1119" s="78"/>
      <c r="I1119" s="72" t="s">
        <v>930</v>
      </c>
      <c r="J1119" s="79"/>
      <c r="K1119"/>
      <c r="L1119"/>
      <c r="M1119"/>
    </row>
    <row r="1120" spans="1:13" hidden="1" x14ac:dyDescent="0.35">
      <c r="A1120" s="72">
        <v>557</v>
      </c>
      <c r="B1120" s="72" t="s">
        <v>2921</v>
      </c>
      <c r="C1120" s="72" t="s">
        <v>2173</v>
      </c>
      <c r="D1120" s="72" t="s">
        <v>124</v>
      </c>
      <c r="E1120" s="72" t="s">
        <v>559</v>
      </c>
      <c r="F1120" s="72" t="s">
        <v>122</v>
      </c>
      <c r="G1120" s="72" t="s">
        <v>2913</v>
      </c>
      <c r="H1120" s="78"/>
      <c r="I1120" s="72" t="s">
        <v>930</v>
      </c>
      <c r="J1120" s="79"/>
      <c r="K1120"/>
      <c r="L1120"/>
      <c r="M1120"/>
    </row>
    <row r="1121" spans="1:13" hidden="1" x14ac:dyDescent="0.35">
      <c r="A1121" s="72">
        <v>557</v>
      </c>
      <c r="B1121" s="72" t="s">
        <v>2922</v>
      </c>
      <c r="C1121" s="72" t="s">
        <v>633</v>
      </c>
      <c r="D1121" s="72" t="s">
        <v>124</v>
      </c>
      <c r="E1121" s="72" t="s">
        <v>536</v>
      </c>
      <c r="F1121" s="81"/>
      <c r="G1121" s="81"/>
      <c r="H1121" s="78"/>
      <c r="I1121" s="81"/>
      <c r="J1121" s="79" t="s">
        <v>2923</v>
      </c>
      <c r="K1121"/>
      <c r="L1121"/>
      <c r="M1121"/>
    </row>
    <row r="1122" spans="1:13" hidden="1" x14ac:dyDescent="0.35">
      <c r="A1122" s="72">
        <v>557</v>
      </c>
      <c r="B1122" s="72" t="s">
        <v>2924</v>
      </c>
      <c r="C1122" s="81"/>
      <c r="D1122" s="72" t="s">
        <v>124</v>
      </c>
      <c r="E1122" s="72" t="s">
        <v>536</v>
      </c>
      <c r="F1122" s="81"/>
      <c r="G1122" s="81"/>
      <c r="H1122" s="78"/>
      <c r="I1122" s="81"/>
      <c r="J1122" s="79" t="s">
        <v>2925</v>
      </c>
      <c r="K1122"/>
      <c r="L1122"/>
      <c r="M1122"/>
    </row>
    <row r="1123" spans="1:13" hidden="1" x14ac:dyDescent="0.35">
      <c r="A1123" s="72">
        <v>563</v>
      </c>
      <c r="B1123" s="72" t="s">
        <v>2926</v>
      </c>
      <c r="C1123" s="72" t="s">
        <v>628</v>
      </c>
      <c r="D1123" s="72" t="s">
        <v>124</v>
      </c>
      <c r="E1123" s="72" t="s">
        <v>559</v>
      </c>
      <c r="F1123" s="72" t="s">
        <v>2927</v>
      </c>
      <c r="G1123" s="72">
        <v>2002</v>
      </c>
      <c r="H1123" s="78"/>
      <c r="I1123" s="72" t="s">
        <v>2928</v>
      </c>
      <c r="J1123" s="79"/>
      <c r="K1123"/>
      <c r="L1123"/>
      <c r="M1123"/>
    </row>
    <row r="1124" spans="1:13" hidden="1" x14ac:dyDescent="0.35">
      <c r="A1124" s="72">
        <v>563</v>
      </c>
      <c r="B1124" s="72" t="s">
        <v>2929</v>
      </c>
      <c r="C1124" s="72" t="s">
        <v>628</v>
      </c>
      <c r="D1124" s="72" t="s">
        <v>124</v>
      </c>
      <c r="E1124" s="72" t="s">
        <v>559</v>
      </c>
      <c r="F1124" s="72" t="s">
        <v>2927</v>
      </c>
      <c r="G1124" s="72">
        <v>2002</v>
      </c>
      <c r="H1124" s="78"/>
      <c r="I1124" s="72" t="s">
        <v>2928</v>
      </c>
      <c r="J1124" s="79"/>
      <c r="K1124"/>
      <c r="L1124"/>
      <c r="M1124"/>
    </row>
    <row r="1125" spans="1:13" hidden="1" x14ac:dyDescent="0.35">
      <c r="A1125" s="72">
        <v>563</v>
      </c>
      <c r="B1125" s="72" t="s">
        <v>2930</v>
      </c>
      <c r="C1125" s="72" t="s">
        <v>628</v>
      </c>
      <c r="D1125" s="72" t="s">
        <v>124</v>
      </c>
      <c r="E1125" s="72" t="s">
        <v>559</v>
      </c>
      <c r="F1125" s="72" t="s">
        <v>2927</v>
      </c>
      <c r="G1125" s="72">
        <v>2002</v>
      </c>
      <c r="H1125" s="78"/>
      <c r="I1125" s="72" t="s">
        <v>2931</v>
      </c>
      <c r="J1125" s="79" t="s">
        <v>2932</v>
      </c>
      <c r="K1125"/>
      <c r="L1125"/>
      <c r="M1125"/>
    </row>
    <row r="1126" spans="1:13" hidden="1" x14ac:dyDescent="0.35">
      <c r="A1126" s="72">
        <v>563</v>
      </c>
      <c r="B1126" s="72" t="s">
        <v>2933</v>
      </c>
      <c r="C1126" s="72" t="s">
        <v>628</v>
      </c>
      <c r="D1126" s="72" t="s">
        <v>124</v>
      </c>
      <c r="E1126" s="72" t="s">
        <v>559</v>
      </c>
      <c r="F1126" s="72" t="s">
        <v>2927</v>
      </c>
      <c r="G1126" s="72">
        <v>2002</v>
      </c>
      <c r="H1126" s="78"/>
      <c r="I1126" s="72" t="s">
        <v>2934</v>
      </c>
      <c r="J1126" s="79"/>
      <c r="K1126"/>
      <c r="L1126"/>
      <c r="M1126"/>
    </row>
    <row r="1127" spans="1:13" hidden="1" x14ac:dyDescent="0.35">
      <c r="A1127" s="72">
        <v>563</v>
      </c>
      <c r="B1127" s="72" t="s">
        <v>2935</v>
      </c>
      <c r="C1127" s="82" t="s">
        <v>2173</v>
      </c>
      <c r="D1127" s="72" t="s">
        <v>124</v>
      </c>
      <c r="E1127" s="72" t="s">
        <v>536</v>
      </c>
      <c r="F1127" s="72" t="s">
        <v>2927</v>
      </c>
      <c r="G1127" s="72">
        <v>2002</v>
      </c>
      <c r="H1127" s="78"/>
      <c r="I1127" s="72" t="s">
        <v>2936</v>
      </c>
      <c r="J1127" s="79" t="s">
        <v>2937</v>
      </c>
      <c r="K1127"/>
      <c r="L1127"/>
      <c r="M1127"/>
    </row>
    <row r="1128" spans="1:13" hidden="1" x14ac:dyDescent="0.35">
      <c r="A1128" s="72">
        <v>563</v>
      </c>
      <c r="B1128" s="72" t="s">
        <v>2938</v>
      </c>
      <c r="C1128" s="82" t="s">
        <v>2173</v>
      </c>
      <c r="D1128" s="72" t="s">
        <v>124</v>
      </c>
      <c r="E1128" s="72" t="s">
        <v>539</v>
      </c>
      <c r="F1128" s="72" t="s">
        <v>2927</v>
      </c>
      <c r="G1128" s="72">
        <v>2002</v>
      </c>
      <c r="H1128" s="78"/>
      <c r="I1128" s="72" t="s">
        <v>2939</v>
      </c>
      <c r="J1128" s="79" t="s">
        <v>2940</v>
      </c>
      <c r="K1128"/>
      <c r="L1128"/>
      <c r="M1128"/>
    </row>
    <row r="1129" spans="1:13" hidden="1" x14ac:dyDescent="0.35">
      <c r="A1129" s="72">
        <v>563</v>
      </c>
      <c r="B1129" s="72" t="s">
        <v>2941</v>
      </c>
      <c r="C1129" s="82" t="s">
        <v>2173</v>
      </c>
      <c r="D1129" s="72" t="s">
        <v>124</v>
      </c>
      <c r="E1129" s="72" t="s">
        <v>559</v>
      </c>
      <c r="F1129" s="72" t="s">
        <v>2927</v>
      </c>
      <c r="G1129" s="72">
        <v>2002</v>
      </c>
      <c r="H1129" s="78"/>
      <c r="I1129" s="72" t="s">
        <v>2942</v>
      </c>
      <c r="J1129" s="79" t="s">
        <v>2940</v>
      </c>
      <c r="K1129"/>
      <c r="L1129"/>
      <c r="M1129"/>
    </row>
    <row r="1130" spans="1:13" hidden="1" x14ac:dyDescent="0.35">
      <c r="A1130" s="72">
        <v>563</v>
      </c>
      <c r="B1130" s="72" t="s">
        <v>2943</v>
      </c>
      <c r="C1130" s="82" t="s">
        <v>2173</v>
      </c>
      <c r="D1130" s="72" t="s">
        <v>124</v>
      </c>
      <c r="E1130" s="72" t="s">
        <v>559</v>
      </c>
      <c r="F1130" s="72" t="s">
        <v>2927</v>
      </c>
      <c r="G1130" s="72">
        <v>2002</v>
      </c>
      <c r="H1130" s="78"/>
      <c r="I1130" s="72" t="s">
        <v>2944</v>
      </c>
      <c r="J1130" s="79" t="s">
        <v>2940</v>
      </c>
      <c r="K1130"/>
      <c r="L1130"/>
      <c r="M1130"/>
    </row>
    <row r="1131" spans="1:13" hidden="1" x14ac:dyDescent="0.35">
      <c r="A1131" s="72">
        <v>563</v>
      </c>
      <c r="B1131" s="72" t="s">
        <v>2945</v>
      </c>
      <c r="C1131" s="72" t="s">
        <v>633</v>
      </c>
      <c r="D1131" s="72" t="s">
        <v>124</v>
      </c>
      <c r="E1131" s="72" t="s">
        <v>559</v>
      </c>
      <c r="F1131" s="72" t="s">
        <v>2927</v>
      </c>
      <c r="G1131" s="72">
        <v>2002</v>
      </c>
      <c r="H1131" s="78"/>
      <c r="I1131" s="72" t="s">
        <v>2928</v>
      </c>
      <c r="J1131" s="79" t="s">
        <v>2946</v>
      </c>
      <c r="K1131"/>
      <c r="L1131"/>
      <c r="M1131"/>
    </row>
    <row r="1132" spans="1:13" hidden="1" x14ac:dyDescent="0.35">
      <c r="A1132" s="72">
        <v>563</v>
      </c>
      <c r="B1132" s="72" t="s">
        <v>1940</v>
      </c>
      <c r="C1132" s="72" t="s">
        <v>633</v>
      </c>
      <c r="D1132" s="72" t="s">
        <v>124</v>
      </c>
      <c r="E1132" s="72" t="s">
        <v>559</v>
      </c>
      <c r="F1132" s="72" t="s">
        <v>2927</v>
      </c>
      <c r="G1132" s="72">
        <v>2002</v>
      </c>
      <c r="H1132" s="78"/>
      <c r="I1132" s="72" t="s">
        <v>2947</v>
      </c>
      <c r="J1132" s="79" t="s">
        <v>2932</v>
      </c>
      <c r="K1132"/>
      <c r="L1132"/>
      <c r="M1132"/>
    </row>
    <row r="1133" spans="1:13" hidden="1" x14ac:dyDescent="0.35">
      <c r="A1133" s="72">
        <v>563</v>
      </c>
      <c r="B1133" s="72" t="s">
        <v>2948</v>
      </c>
      <c r="C1133" s="72" t="s">
        <v>2949</v>
      </c>
      <c r="D1133" s="72" t="s">
        <v>124</v>
      </c>
      <c r="E1133" s="72" t="s">
        <v>559</v>
      </c>
      <c r="F1133" s="72" t="s">
        <v>2927</v>
      </c>
      <c r="G1133" s="72">
        <v>2002</v>
      </c>
      <c r="H1133" s="78"/>
      <c r="I1133" s="72" t="s">
        <v>2928</v>
      </c>
      <c r="J1133" s="79"/>
      <c r="K1133"/>
      <c r="L1133"/>
      <c r="M1133"/>
    </row>
    <row r="1134" spans="1:13" hidden="1" x14ac:dyDescent="0.35">
      <c r="A1134" s="72">
        <v>563</v>
      </c>
      <c r="B1134" s="72" t="s">
        <v>2950</v>
      </c>
      <c r="C1134" s="72" t="s">
        <v>633</v>
      </c>
      <c r="D1134" s="72" t="s">
        <v>124</v>
      </c>
      <c r="E1134" s="72" t="s">
        <v>536</v>
      </c>
      <c r="F1134" s="72" t="s">
        <v>2927</v>
      </c>
      <c r="G1134" s="72">
        <v>2002</v>
      </c>
      <c r="H1134" s="78"/>
      <c r="I1134" s="72" t="s">
        <v>2928</v>
      </c>
      <c r="J1134" s="79"/>
      <c r="K1134"/>
      <c r="L1134"/>
      <c r="M1134"/>
    </row>
    <row r="1135" spans="1:13" hidden="1" x14ac:dyDescent="0.35">
      <c r="A1135" s="72">
        <v>563</v>
      </c>
      <c r="B1135" s="72" t="s">
        <v>2951</v>
      </c>
      <c r="C1135" s="72" t="s">
        <v>2952</v>
      </c>
      <c r="D1135" s="72" t="s">
        <v>124</v>
      </c>
      <c r="E1135" s="72" t="s">
        <v>559</v>
      </c>
      <c r="F1135" s="72" t="s">
        <v>2927</v>
      </c>
      <c r="G1135" s="72">
        <v>2002</v>
      </c>
      <c r="H1135" s="78"/>
      <c r="I1135" s="72" t="s">
        <v>157</v>
      </c>
      <c r="J1135" s="79"/>
      <c r="K1135"/>
      <c r="L1135"/>
      <c r="M1135"/>
    </row>
    <row r="1136" spans="1:13" hidden="1" x14ac:dyDescent="0.35">
      <c r="A1136" s="72">
        <v>563</v>
      </c>
      <c r="B1136" s="72" t="s">
        <v>2953</v>
      </c>
      <c r="C1136" s="72" t="s">
        <v>2954</v>
      </c>
      <c r="D1136" s="72" t="s">
        <v>124</v>
      </c>
      <c r="E1136" s="72" t="s">
        <v>559</v>
      </c>
      <c r="F1136" s="72" t="s">
        <v>2927</v>
      </c>
      <c r="G1136" s="72">
        <v>2002</v>
      </c>
      <c r="H1136" s="78"/>
      <c r="I1136" s="72" t="s">
        <v>157</v>
      </c>
      <c r="J1136" s="79"/>
      <c r="K1136"/>
      <c r="L1136"/>
      <c r="M1136"/>
    </row>
    <row r="1137" spans="1:13" hidden="1" x14ac:dyDescent="0.35">
      <c r="A1137" s="72">
        <v>564</v>
      </c>
      <c r="B1137" s="72" t="s">
        <v>2955</v>
      </c>
      <c r="C1137" s="72" t="s">
        <v>2173</v>
      </c>
      <c r="D1137" s="72" t="s">
        <v>124</v>
      </c>
      <c r="E1137" s="72" t="s">
        <v>1329</v>
      </c>
      <c r="F1137" s="72"/>
      <c r="G1137" s="72" t="s">
        <v>2827</v>
      </c>
      <c r="H1137" s="78"/>
      <c r="I1137" s="72" t="s">
        <v>389</v>
      </c>
      <c r="J1137" s="79"/>
      <c r="K1137"/>
      <c r="L1137"/>
      <c r="M1137"/>
    </row>
    <row r="1138" spans="1:13" hidden="1" x14ac:dyDescent="0.35">
      <c r="A1138" s="72">
        <v>564</v>
      </c>
      <c r="B1138" s="72" t="s">
        <v>2956</v>
      </c>
      <c r="C1138" s="72" t="s">
        <v>2173</v>
      </c>
      <c r="D1138" s="72" t="s">
        <v>124</v>
      </c>
      <c r="E1138" s="72" t="s">
        <v>1329</v>
      </c>
      <c r="F1138" s="72"/>
      <c r="G1138" s="72" t="s">
        <v>2827</v>
      </c>
      <c r="H1138" s="78"/>
      <c r="I1138" s="72" t="s">
        <v>389</v>
      </c>
      <c r="J1138" s="79"/>
      <c r="K1138"/>
      <c r="L1138"/>
      <c r="M1138"/>
    </row>
    <row r="1139" spans="1:13" hidden="1" x14ac:dyDescent="0.35">
      <c r="A1139" s="72">
        <v>564</v>
      </c>
      <c r="B1139" s="72" t="s">
        <v>2957</v>
      </c>
      <c r="C1139" s="72" t="s">
        <v>2173</v>
      </c>
      <c r="D1139" s="72" t="s">
        <v>124</v>
      </c>
      <c r="E1139" s="72" t="s">
        <v>1329</v>
      </c>
      <c r="F1139" s="72"/>
      <c r="G1139" s="72" t="s">
        <v>2827</v>
      </c>
      <c r="H1139" s="78"/>
      <c r="I1139" s="72" t="s">
        <v>2958</v>
      </c>
      <c r="J1139" s="79"/>
      <c r="K1139"/>
      <c r="L1139"/>
      <c r="M1139"/>
    </row>
    <row r="1140" spans="1:13" hidden="1" x14ac:dyDescent="0.35">
      <c r="A1140" s="72">
        <v>564</v>
      </c>
      <c r="B1140" s="72" t="s">
        <v>2959</v>
      </c>
      <c r="C1140" s="72" t="s">
        <v>633</v>
      </c>
      <c r="D1140" s="72" t="s">
        <v>124</v>
      </c>
      <c r="E1140" s="72" t="s">
        <v>559</v>
      </c>
      <c r="F1140" s="72"/>
      <c r="G1140" s="72" t="s">
        <v>2960</v>
      </c>
      <c r="H1140" s="78"/>
      <c r="I1140" s="72" t="s">
        <v>2961</v>
      </c>
      <c r="J1140" s="79" t="s">
        <v>2932</v>
      </c>
      <c r="K1140"/>
      <c r="L1140"/>
      <c r="M1140"/>
    </row>
    <row r="1141" spans="1:13" hidden="1" x14ac:dyDescent="0.35">
      <c r="A1141" s="72">
        <v>564</v>
      </c>
      <c r="B1141" s="72" t="s">
        <v>2962</v>
      </c>
      <c r="C1141" s="72" t="s">
        <v>633</v>
      </c>
      <c r="D1141" s="72" t="s">
        <v>124</v>
      </c>
      <c r="E1141" s="72" t="s">
        <v>559</v>
      </c>
      <c r="F1141" s="72"/>
      <c r="G1141" s="72" t="s">
        <v>2960</v>
      </c>
      <c r="H1141" s="78"/>
      <c r="I1141" s="72" t="s">
        <v>2958</v>
      </c>
      <c r="J1141" s="79"/>
      <c r="K1141"/>
      <c r="L1141"/>
      <c r="M1141"/>
    </row>
    <row r="1142" spans="1:13" hidden="1" x14ac:dyDescent="0.35">
      <c r="A1142" s="72">
        <v>564</v>
      </c>
      <c r="B1142" s="72" t="s">
        <v>1978</v>
      </c>
      <c r="C1142" s="72" t="s">
        <v>637</v>
      </c>
      <c r="D1142" s="72" t="s">
        <v>198</v>
      </c>
      <c r="E1142" s="72" t="s">
        <v>539</v>
      </c>
      <c r="F1142" s="72"/>
      <c r="G1142" s="72" t="s">
        <v>2960</v>
      </c>
      <c r="H1142" s="78"/>
      <c r="I1142" s="72" t="s">
        <v>2958</v>
      </c>
      <c r="J1142" s="79"/>
      <c r="K1142"/>
      <c r="L1142"/>
      <c r="M1142"/>
    </row>
    <row r="1143" spans="1:13" hidden="1" x14ac:dyDescent="0.35">
      <c r="A1143" s="72">
        <v>564</v>
      </c>
      <c r="B1143" s="72" t="s">
        <v>2963</v>
      </c>
      <c r="C1143" s="72" t="s">
        <v>2173</v>
      </c>
      <c r="D1143" s="72" t="s">
        <v>198</v>
      </c>
      <c r="E1143" s="72" t="s">
        <v>538</v>
      </c>
      <c r="F1143" s="72"/>
      <c r="G1143" s="72" t="s">
        <v>2960</v>
      </c>
      <c r="H1143" s="78"/>
      <c r="I1143" s="72" t="s">
        <v>2958</v>
      </c>
      <c r="J1143" s="79"/>
      <c r="K1143"/>
      <c r="L1143"/>
      <c r="M1143"/>
    </row>
    <row r="1144" spans="1:13" hidden="1" x14ac:dyDescent="0.35">
      <c r="A1144" s="72">
        <v>564</v>
      </c>
      <c r="B1144" s="72" t="s">
        <v>2964</v>
      </c>
      <c r="C1144" s="81"/>
      <c r="D1144" s="72" t="s">
        <v>198</v>
      </c>
      <c r="E1144" s="72" t="s">
        <v>538</v>
      </c>
      <c r="F1144" s="72"/>
      <c r="G1144" s="72" t="s">
        <v>2960</v>
      </c>
      <c r="H1144" s="78"/>
      <c r="I1144" s="72" t="s">
        <v>2965</v>
      </c>
      <c r="J1144" s="79" t="s">
        <v>2966</v>
      </c>
      <c r="K1144"/>
      <c r="L1144"/>
      <c r="M1144"/>
    </row>
    <row r="1145" spans="1:13" hidden="1" x14ac:dyDescent="0.35">
      <c r="A1145" s="72">
        <v>571</v>
      </c>
      <c r="B1145" t="s">
        <v>2967</v>
      </c>
      <c r="C1145" s="72" t="s">
        <v>2968</v>
      </c>
      <c r="D1145" s="16" t="s">
        <v>428</v>
      </c>
      <c r="E1145" s="16" t="s">
        <v>809</v>
      </c>
      <c r="F1145" s="71" t="s">
        <v>2969</v>
      </c>
      <c r="G1145" t="s">
        <v>2970</v>
      </c>
      <c r="H1145"/>
      <c r="I1145" t="s">
        <v>2971</v>
      </c>
      <c r="J1145" t="s">
        <v>4744</v>
      </c>
      <c r="K1145"/>
      <c r="L1145"/>
      <c r="M1145"/>
    </row>
    <row r="1146" spans="1:13" hidden="1" x14ac:dyDescent="0.35">
      <c r="A1146" s="72">
        <v>571</v>
      </c>
      <c r="B1146" t="s">
        <v>2972</v>
      </c>
      <c r="C1146" s="72" t="s">
        <v>916</v>
      </c>
      <c r="D1146" s="16" t="s">
        <v>428</v>
      </c>
      <c r="E1146" s="16" t="s">
        <v>809</v>
      </c>
      <c r="F1146" s="71" t="s">
        <v>2969</v>
      </c>
      <c r="G1146" t="s">
        <v>2970</v>
      </c>
      <c r="H1146"/>
      <c r="I1146" t="s">
        <v>2971</v>
      </c>
      <c r="J1146" t="s">
        <v>4744</v>
      </c>
      <c r="K1146"/>
      <c r="L1146"/>
      <c r="M1146"/>
    </row>
    <row r="1147" spans="1:13" hidden="1" x14ac:dyDescent="0.35">
      <c r="A1147" s="72">
        <v>571</v>
      </c>
      <c r="B1147" s="71" t="s">
        <v>2973</v>
      </c>
      <c r="C1147" s="72" t="s">
        <v>2974</v>
      </c>
      <c r="D1147" s="16" t="s">
        <v>428</v>
      </c>
      <c r="E1147" s="16" t="s">
        <v>809</v>
      </c>
      <c r="F1147" s="71" t="s">
        <v>2969</v>
      </c>
      <c r="G1147" t="s">
        <v>2970</v>
      </c>
      <c r="H1147"/>
      <c r="I1147" t="s">
        <v>2971</v>
      </c>
      <c r="J1147" t="s">
        <v>4744</v>
      </c>
      <c r="K1147"/>
      <c r="L1147"/>
      <c r="M1147"/>
    </row>
    <row r="1148" spans="1:13" hidden="1" x14ac:dyDescent="0.35">
      <c r="A1148" s="72">
        <v>571</v>
      </c>
      <c r="B1148" s="71" t="s">
        <v>286</v>
      </c>
      <c r="C1148" s="72" t="s">
        <v>2173</v>
      </c>
      <c r="D1148" s="16" t="s">
        <v>428</v>
      </c>
      <c r="E1148" s="16" t="s">
        <v>813</v>
      </c>
      <c r="F1148" s="71" t="s">
        <v>2969</v>
      </c>
      <c r="G1148" t="s">
        <v>2970</v>
      </c>
      <c r="H1148"/>
      <c r="I1148" t="s">
        <v>2971</v>
      </c>
      <c r="J1148" t="s">
        <v>4744</v>
      </c>
      <c r="K1148"/>
      <c r="L1148"/>
      <c r="M1148"/>
    </row>
    <row r="1149" spans="1:13" hidden="1" x14ac:dyDescent="0.35">
      <c r="A1149" s="72">
        <v>571</v>
      </c>
      <c r="B1149" s="71" t="s">
        <v>2975</v>
      </c>
      <c r="C1149" s="72" t="s">
        <v>2111</v>
      </c>
      <c r="D1149" s="16" t="s">
        <v>428</v>
      </c>
      <c r="E1149" s="16" t="s">
        <v>809</v>
      </c>
      <c r="F1149" s="71" t="s">
        <v>2969</v>
      </c>
      <c r="G1149" t="s">
        <v>2970</v>
      </c>
      <c r="H1149"/>
      <c r="I1149" t="s">
        <v>2971</v>
      </c>
      <c r="J1149" t="s">
        <v>4744</v>
      </c>
      <c r="K1149"/>
      <c r="L1149"/>
      <c r="M1149"/>
    </row>
    <row r="1150" spans="1:13" hidden="1" x14ac:dyDescent="0.35">
      <c r="A1150" s="72">
        <v>571</v>
      </c>
      <c r="B1150" s="71" t="s">
        <v>2976</v>
      </c>
      <c r="C1150" s="72" t="s">
        <v>633</v>
      </c>
      <c r="D1150" s="16" t="s">
        <v>428</v>
      </c>
      <c r="E1150" s="16" t="s">
        <v>813</v>
      </c>
      <c r="F1150" s="71" t="s">
        <v>2969</v>
      </c>
      <c r="G1150" t="s">
        <v>2970</v>
      </c>
      <c r="H1150"/>
      <c r="I1150" t="s">
        <v>2971</v>
      </c>
      <c r="J1150" t="s">
        <v>4744</v>
      </c>
      <c r="K1150"/>
      <c r="L1150"/>
      <c r="M1150"/>
    </row>
    <row r="1151" spans="1:13" hidden="1" x14ac:dyDescent="0.35">
      <c r="A1151" s="72">
        <v>571</v>
      </c>
      <c r="B1151" s="71" t="s">
        <v>2977</v>
      </c>
      <c r="C1151" s="72" t="s">
        <v>2978</v>
      </c>
      <c r="D1151" s="16" t="s">
        <v>428</v>
      </c>
      <c r="E1151" s="16" t="s">
        <v>813</v>
      </c>
      <c r="F1151" s="71" t="s">
        <v>2969</v>
      </c>
      <c r="G1151" t="s">
        <v>2970</v>
      </c>
      <c r="H1151"/>
      <c r="I1151" t="s">
        <v>2971</v>
      </c>
      <c r="J1151" t="s">
        <v>4744</v>
      </c>
      <c r="K1151"/>
      <c r="L1151"/>
      <c r="M1151"/>
    </row>
    <row r="1152" spans="1:13" hidden="1" x14ac:dyDescent="0.35">
      <c r="A1152" s="72">
        <v>571</v>
      </c>
      <c r="B1152" s="71" t="s">
        <v>2979</v>
      </c>
      <c r="C1152" s="72" t="s">
        <v>2978</v>
      </c>
      <c r="D1152" s="16" t="s">
        <v>428</v>
      </c>
      <c r="E1152" s="16" t="s">
        <v>813</v>
      </c>
      <c r="F1152" s="71" t="s">
        <v>2969</v>
      </c>
      <c r="G1152" t="s">
        <v>2970</v>
      </c>
      <c r="H1152"/>
      <c r="I1152" t="s">
        <v>2971</v>
      </c>
      <c r="J1152" t="s">
        <v>4744</v>
      </c>
      <c r="K1152"/>
      <c r="L1152"/>
      <c r="M1152"/>
    </row>
    <row r="1153" spans="1:13" hidden="1" x14ac:dyDescent="0.35">
      <c r="A1153" s="72">
        <v>571</v>
      </c>
      <c r="B1153" s="71" t="s">
        <v>2980</v>
      </c>
      <c r="C1153" s="72" t="s">
        <v>2978</v>
      </c>
      <c r="D1153" s="16" t="s">
        <v>428</v>
      </c>
      <c r="E1153" s="16" t="s">
        <v>813</v>
      </c>
      <c r="F1153" s="71" t="s">
        <v>2969</v>
      </c>
      <c r="G1153" t="s">
        <v>2970</v>
      </c>
      <c r="H1153"/>
      <c r="I1153" t="s">
        <v>2971</v>
      </c>
      <c r="J1153" t="s">
        <v>4744</v>
      </c>
      <c r="K1153"/>
      <c r="L1153"/>
      <c r="M1153"/>
    </row>
    <row r="1154" spans="1:13" hidden="1" x14ac:dyDescent="0.35">
      <c r="A1154" s="72">
        <v>571</v>
      </c>
      <c r="B1154" t="s">
        <v>2981</v>
      </c>
      <c r="C1154" s="72" t="s">
        <v>633</v>
      </c>
      <c r="D1154" s="72" t="s">
        <v>124</v>
      </c>
      <c r="E1154" s="16" t="s">
        <v>559</v>
      </c>
      <c r="F1154" s="71" t="s">
        <v>2982</v>
      </c>
      <c r="G1154" t="s">
        <v>1521</v>
      </c>
      <c r="H1154"/>
      <c r="I1154" t="s">
        <v>2983</v>
      </c>
      <c r="J1154"/>
      <c r="K1154"/>
      <c r="L1154"/>
      <c r="M1154"/>
    </row>
    <row r="1155" spans="1:13" hidden="1" x14ac:dyDescent="0.35">
      <c r="A1155" s="72">
        <v>571</v>
      </c>
      <c r="B1155" s="71" t="s">
        <v>2984</v>
      </c>
      <c r="C1155" s="72" t="s">
        <v>1330</v>
      </c>
      <c r="D1155" s="72" t="s">
        <v>124</v>
      </c>
      <c r="E1155" s="16" t="s">
        <v>1126</v>
      </c>
      <c r="F1155" s="71" t="s">
        <v>2982</v>
      </c>
      <c r="G1155" t="s">
        <v>2970</v>
      </c>
      <c r="H1155"/>
      <c r="I1155" t="s">
        <v>2985</v>
      </c>
      <c r="J1155"/>
      <c r="K1155"/>
      <c r="L1155"/>
      <c r="M1155"/>
    </row>
    <row r="1156" spans="1:13" hidden="1" x14ac:dyDescent="0.35">
      <c r="A1156" s="72">
        <v>571</v>
      </c>
      <c r="B1156" s="71" t="s">
        <v>2986</v>
      </c>
      <c r="C1156" s="72" t="s">
        <v>2987</v>
      </c>
      <c r="D1156" s="72" t="s">
        <v>124</v>
      </c>
      <c r="E1156" s="16" t="s">
        <v>1126</v>
      </c>
      <c r="F1156" s="71" t="s">
        <v>2982</v>
      </c>
      <c r="G1156" t="s">
        <v>2988</v>
      </c>
      <c r="H1156"/>
      <c r="I1156" t="s">
        <v>2985</v>
      </c>
      <c r="J1156"/>
      <c r="K1156"/>
      <c r="L1156"/>
      <c r="M1156"/>
    </row>
    <row r="1157" spans="1:13" hidden="1" x14ac:dyDescent="0.35">
      <c r="A1157" s="72">
        <v>571</v>
      </c>
      <c r="B1157" s="71" t="s">
        <v>2989</v>
      </c>
      <c r="C1157" s="72" t="s">
        <v>2987</v>
      </c>
      <c r="D1157" s="72" t="s">
        <v>124</v>
      </c>
      <c r="E1157" s="16" t="s">
        <v>1126</v>
      </c>
      <c r="F1157" s="71" t="s">
        <v>2982</v>
      </c>
      <c r="G1157" t="s">
        <v>2988</v>
      </c>
      <c r="H1157"/>
      <c r="I1157" t="s">
        <v>2985</v>
      </c>
      <c r="J1157"/>
      <c r="K1157"/>
      <c r="L1157"/>
      <c r="M1157"/>
    </row>
    <row r="1158" spans="1:13" hidden="1" x14ac:dyDescent="0.35">
      <c r="A1158" s="72">
        <v>571</v>
      </c>
      <c r="B1158" s="71" t="s">
        <v>2990</v>
      </c>
      <c r="C1158" s="72" t="s">
        <v>633</v>
      </c>
      <c r="D1158" s="72" t="s">
        <v>124</v>
      </c>
      <c r="E1158" s="16" t="s">
        <v>1126</v>
      </c>
      <c r="F1158" s="71" t="s">
        <v>2982</v>
      </c>
      <c r="G1158" t="s">
        <v>2988</v>
      </c>
      <c r="H1158"/>
      <c r="I1158" t="s">
        <v>2985</v>
      </c>
      <c r="J1158"/>
      <c r="K1158"/>
      <c r="L1158"/>
      <c r="M1158"/>
    </row>
    <row r="1159" spans="1:13" hidden="1" x14ac:dyDescent="0.35">
      <c r="A1159" s="72">
        <v>571</v>
      </c>
      <c r="B1159" s="71" t="s">
        <v>2991</v>
      </c>
      <c r="C1159" s="72" t="s">
        <v>2992</v>
      </c>
      <c r="D1159" s="72" t="s">
        <v>198</v>
      </c>
      <c r="E1159" s="16" t="s">
        <v>559</v>
      </c>
      <c r="F1159" s="71" t="s">
        <v>2969</v>
      </c>
      <c r="G1159" t="s">
        <v>1521</v>
      </c>
      <c r="H1159"/>
      <c r="I1159" t="s">
        <v>2993</v>
      </c>
      <c r="J1159" s="79" t="s">
        <v>2932</v>
      </c>
      <c r="K1159"/>
      <c r="L1159"/>
      <c r="M1159"/>
    </row>
    <row r="1160" spans="1:13" hidden="1" x14ac:dyDescent="0.35">
      <c r="A1160" s="72">
        <v>571</v>
      </c>
      <c r="B1160" s="71" t="s">
        <v>2994</v>
      </c>
      <c r="C1160" s="72" t="s">
        <v>2992</v>
      </c>
      <c r="D1160" s="72" t="s">
        <v>198</v>
      </c>
      <c r="E1160" s="16" t="s">
        <v>559</v>
      </c>
      <c r="F1160" s="71" t="s">
        <v>2969</v>
      </c>
      <c r="G1160" t="s">
        <v>1521</v>
      </c>
      <c r="H1160"/>
      <c r="I1160" t="s">
        <v>2983</v>
      </c>
      <c r="J1160"/>
      <c r="K1160"/>
      <c r="L1160"/>
      <c r="M1160"/>
    </row>
    <row r="1161" spans="1:13" hidden="1" x14ac:dyDescent="0.35">
      <c r="A1161" s="72">
        <v>571</v>
      </c>
      <c r="B1161" s="71" t="s">
        <v>2995</v>
      </c>
      <c r="C1161" s="72" t="s">
        <v>2992</v>
      </c>
      <c r="D1161" s="72" t="s">
        <v>198</v>
      </c>
      <c r="E1161" s="16" t="s">
        <v>559</v>
      </c>
      <c r="F1161" s="71" t="s">
        <v>2969</v>
      </c>
      <c r="G1161" t="s">
        <v>1521</v>
      </c>
      <c r="H1161"/>
      <c r="I1161" t="s">
        <v>2983</v>
      </c>
      <c r="J1161"/>
      <c r="K1161"/>
      <c r="L1161"/>
      <c r="M1161"/>
    </row>
    <row r="1162" spans="1:13" hidden="1" x14ac:dyDescent="0.35">
      <c r="A1162" s="72">
        <v>571</v>
      </c>
      <c r="B1162" s="71" t="s">
        <v>2996</v>
      </c>
      <c r="C1162" s="72" t="s">
        <v>2992</v>
      </c>
      <c r="D1162" s="72" t="s">
        <v>198</v>
      </c>
      <c r="E1162" s="16" t="s">
        <v>559</v>
      </c>
      <c r="F1162" s="71" t="s">
        <v>2969</v>
      </c>
      <c r="G1162" t="s">
        <v>1521</v>
      </c>
      <c r="H1162"/>
      <c r="I1162" t="s">
        <v>2983</v>
      </c>
      <c r="J1162"/>
      <c r="K1162"/>
      <c r="L1162"/>
      <c r="M1162"/>
    </row>
    <row r="1163" spans="1:13" hidden="1" x14ac:dyDescent="0.35">
      <c r="A1163" s="72">
        <v>571</v>
      </c>
      <c r="B1163" s="71" t="s">
        <v>2997</v>
      </c>
      <c r="C1163" s="72" t="s">
        <v>2992</v>
      </c>
      <c r="D1163" s="72" t="s">
        <v>198</v>
      </c>
      <c r="E1163" s="16" t="s">
        <v>559</v>
      </c>
      <c r="F1163" s="71" t="s">
        <v>2969</v>
      </c>
      <c r="G1163" t="s">
        <v>1521</v>
      </c>
      <c r="H1163"/>
      <c r="I1163" t="s">
        <v>2983</v>
      </c>
      <c r="J1163"/>
      <c r="K1163"/>
      <c r="L1163"/>
      <c r="M1163"/>
    </row>
    <row r="1164" spans="1:13" hidden="1" x14ac:dyDescent="0.35">
      <c r="A1164" s="72">
        <v>571</v>
      </c>
      <c r="B1164" s="71" t="s">
        <v>2998</v>
      </c>
      <c r="C1164" s="72" t="s">
        <v>2999</v>
      </c>
      <c r="D1164" s="72" t="s">
        <v>198</v>
      </c>
      <c r="E1164" s="16" t="s">
        <v>559</v>
      </c>
      <c r="F1164" s="71" t="s">
        <v>2982</v>
      </c>
      <c r="G1164" t="s">
        <v>2970</v>
      </c>
      <c r="H1164"/>
      <c r="I1164" t="s">
        <v>2983</v>
      </c>
      <c r="J1164" t="s">
        <v>3000</v>
      </c>
      <c r="K1164"/>
      <c r="L1164"/>
      <c r="M1164"/>
    </row>
    <row r="1165" spans="1:13" hidden="1" x14ac:dyDescent="0.35">
      <c r="A1165" s="72">
        <v>571</v>
      </c>
      <c r="B1165" s="71" t="s">
        <v>3001</v>
      </c>
      <c r="C1165" s="72" t="s">
        <v>2999</v>
      </c>
      <c r="D1165" s="72" t="s">
        <v>198</v>
      </c>
      <c r="E1165" s="16" t="s">
        <v>559</v>
      </c>
      <c r="F1165" s="71" t="s">
        <v>2982</v>
      </c>
      <c r="G1165" t="s">
        <v>2970</v>
      </c>
      <c r="H1165"/>
      <c r="I1165" t="s">
        <v>2983</v>
      </c>
      <c r="J1165"/>
      <c r="K1165"/>
      <c r="L1165"/>
      <c r="M1165"/>
    </row>
    <row r="1166" spans="1:13" hidden="1" x14ac:dyDescent="0.35">
      <c r="A1166" s="72">
        <v>571</v>
      </c>
      <c r="B1166" s="71" t="s">
        <v>3002</v>
      </c>
      <c r="C1166" s="72" t="s">
        <v>2999</v>
      </c>
      <c r="D1166" s="72" t="s">
        <v>198</v>
      </c>
      <c r="E1166" s="16" t="s">
        <v>559</v>
      </c>
      <c r="F1166" s="71" t="s">
        <v>2982</v>
      </c>
      <c r="G1166" t="s">
        <v>2970</v>
      </c>
      <c r="H1166"/>
      <c r="I1166" t="s">
        <v>2983</v>
      </c>
      <c r="J1166"/>
      <c r="K1166"/>
      <c r="L1166"/>
      <c r="M1166"/>
    </row>
    <row r="1167" spans="1:13" hidden="1" x14ac:dyDescent="0.35">
      <c r="A1167" s="72">
        <v>571</v>
      </c>
      <c r="B1167" s="71" t="s">
        <v>3003</v>
      </c>
      <c r="C1167" s="72" t="s">
        <v>2999</v>
      </c>
      <c r="D1167" s="72" t="s">
        <v>198</v>
      </c>
      <c r="E1167" s="16" t="s">
        <v>559</v>
      </c>
      <c r="F1167" s="71" t="s">
        <v>2982</v>
      </c>
      <c r="G1167" t="s">
        <v>2970</v>
      </c>
      <c r="H1167"/>
      <c r="I1167" t="s">
        <v>2983</v>
      </c>
      <c r="J1167"/>
      <c r="K1167"/>
      <c r="L1167"/>
      <c r="M1167"/>
    </row>
    <row r="1168" spans="1:13" hidden="1" x14ac:dyDescent="0.35">
      <c r="A1168" s="72">
        <v>571</v>
      </c>
      <c r="B1168" s="71" t="s">
        <v>3004</v>
      </c>
      <c r="C1168" s="72" t="s">
        <v>2999</v>
      </c>
      <c r="D1168" s="72" t="s">
        <v>198</v>
      </c>
      <c r="E1168" s="16" t="s">
        <v>559</v>
      </c>
      <c r="F1168" s="71" t="s">
        <v>2982</v>
      </c>
      <c r="G1168" t="s">
        <v>2970</v>
      </c>
      <c r="H1168"/>
      <c r="I1168" t="s">
        <v>2983</v>
      </c>
      <c r="J1168"/>
      <c r="K1168"/>
      <c r="L1168"/>
      <c r="M1168"/>
    </row>
    <row r="1169" spans="1:13" hidden="1" x14ac:dyDescent="0.35">
      <c r="A1169" s="72">
        <v>571</v>
      </c>
      <c r="B1169" s="71" t="s">
        <v>3005</v>
      </c>
      <c r="C1169" s="72" t="s">
        <v>2999</v>
      </c>
      <c r="D1169" s="72" t="s">
        <v>198</v>
      </c>
      <c r="E1169" s="16" t="s">
        <v>559</v>
      </c>
      <c r="F1169" s="71" t="s">
        <v>2982</v>
      </c>
      <c r="G1169" t="s">
        <v>2970</v>
      </c>
      <c r="H1169"/>
      <c r="I1169" t="s">
        <v>2983</v>
      </c>
      <c r="J1169"/>
      <c r="K1169"/>
      <c r="L1169"/>
      <c r="M1169"/>
    </row>
    <row r="1170" spans="1:13" hidden="1" x14ac:dyDescent="0.35">
      <c r="A1170" s="72">
        <v>573</v>
      </c>
      <c r="B1170" t="s">
        <v>2838</v>
      </c>
      <c r="C1170" s="72" t="s">
        <v>633</v>
      </c>
      <c r="D1170" s="72" t="s">
        <v>124</v>
      </c>
      <c r="E1170" s="16" t="s">
        <v>559</v>
      </c>
      <c r="F1170" s="16" t="s">
        <v>122</v>
      </c>
      <c r="G1170" s="16" t="s">
        <v>1487</v>
      </c>
      <c r="H1170"/>
      <c r="I1170" s="71" t="s">
        <v>3006</v>
      </c>
      <c r="J1170" s="79" t="s">
        <v>2932</v>
      </c>
      <c r="K1170"/>
      <c r="L1170"/>
      <c r="M1170"/>
    </row>
    <row r="1171" spans="1:13" hidden="1" x14ac:dyDescent="0.35">
      <c r="A1171" s="72">
        <v>573</v>
      </c>
      <c r="B1171" t="s">
        <v>3007</v>
      </c>
      <c r="C1171" s="72" t="s">
        <v>637</v>
      </c>
      <c r="D1171" s="72" t="s">
        <v>124</v>
      </c>
      <c r="E1171" s="16" t="s">
        <v>539</v>
      </c>
      <c r="F1171" s="16" t="s">
        <v>122</v>
      </c>
      <c r="G1171" s="16" t="s">
        <v>1487</v>
      </c>
      <c r="H1171"/>
      <c r="I1171" s="71" t="s">
        <v>3008</v>
      </c>
      <c r="J1171"/>
      <c r="K1171"/>
      <c r="L1171"/>
      <c r="M1171"/>
    </row>
    <row r="1172" spans="1:13" hidden="1" x14ac:dyDescent="0.35">
      <c r="A1172" s="72">
        <v>573</v>
      </c>
      <c r="B1172" t="s">
        <v>3009</v>
      </c>
      <c r="C1172" s="72" t="s">
        <v>2173</v>
      </c>
      <c r="D1172" s="72" t="s">
        <v>124</v>
      </c>
      <c r="E1172" s="16" t="s">
        <v>539</v>
      </c>
      <c r="F1172" s="16" t="s">
        <v>122</v>
      </c>
      <c r="G1172" s="16" t="s">
        <v>1487</v>
      </c>
      <c r="H1172"/>
      <c r="I1172" s="71" t="s">
        <v>3008</v>
      </c>
      <c r="J1172"/>
      <c r="K1172"/>
      <c r="L1172"/>
      <c r="M1172"/>
    </row>
    <row r="1173" spans="1:13" hidden="1" x14ac:dyDescent="0.35">
      <c r="A1173" s="72">
        <v>573</v>
      </c>
      <c r="B1173" t="s">
        <v>3010</v>
      </c>
      <c r="C1173" s="72" t="s">
        <v>2173</v>
      </c>
      <c r="D1173" s="72" t="s">
        <v>124</v>
      </c>
      <c r="E1173" s="16" t="s">
        <v>539</v>
      </c>
      <c r="F1173" s="16" t="s">
        <v>122</v>
      </c>
      <c r="G1173" s="16" t="s">
        <v>1487</v>
      </c>
      <c r="H1173"/>
      <c r="I1173" s="71" t="s">
        <v>3008</v>
      </c>
      <c r="J1173"/>
      <c r="K1173"/>
      <c r="L1173"/>
      <c r="M1173"/>
    </row>
    <row r="1174" spans="1:13" hidden="1" x14ac:dyDescent="0.35">
      <c r="A1174" s="72">
        <v>573</v>
      </c>
      <c r="B1174" t="s">
        <v>1913</v>
      </c>
      <c r="C1174" s="72" t="s">
        <v>2173</v>
      </c>
      <c r="D1174" s="72" t="s">
        <v>124</v>
      </c>
      <c r="E1174" s="16" t="s">
        <v>539</v>
      </c>
      <c r="F1174" s="16" t="s">
        <v>122</v>
      </c>
      <c r="G1174" s="16" t="s">
        <v>1487</v>
      </c>
      <c r="H1174"/>
      <c r="I1174" s="71" t="s">
        <v>3011</v>
      </c>
      <c r="J1174"/>
      <c r="K1174"/>
      <c r="L1174"/>
      <c r="M1174"/>
    </row>
    <row r="1175" spans="1:13" hidden="1" x14ac:dyDescent="0.35">
      <c r="A1175" s="72">
        <v>573</v>
      </c>
      <c r="B1175" t="s">
        <v>3012</v>
      </c>
      <c r="C1175" s="72" t="s">
        <v>2173</v>
      </c>
      <c r="D1175" s="72" t="s">
        <v>124</v>
      </c>
      <c r="E1175" s="16" t="s">
        <v>538</v>
      </c>
      <c r="F1175" s="16" t="s">
        <v>122</v>
      </c>
      <c r="G1175" s="16" t="s">
        <v>1487</v>
      </c>
      <c r="H1175"/>
      <c r="I1175" s="71" t="s">
        <v>3013</v>
      </c>
      <c r="J1175"/>
      <c r="K1175"/>
      <c r="L1175"/>
      <c r="M1175"/>
    </row>
    <row r="1176" spans="1:13" hidden="1" x14ac:dyDescent="0.35">
      <c r="A1176" s="72">
        <v>573</v>
      </c>
      <c r="B1176" t="s">
        <v>3014</v>
      </c>
      <c r="C1176" s="72" t="s">
        <v>626</v>
      </c>
      <c r="D1176" s="72" t="s">
        <v>124</v>
      </c>
      <c r="E1176" s="16" t="s">
        <v>559</v>
      </c>
      <c r="F1176" s="16" t="s">
        <v>122</v>
      </c>
      <c r="G1176" s="16" t="s">
        <v>1487</v>
      </c>
      <c r="H1176"/>
      <c r="I1176" s="71" t="s">
        <v>3015</v>
      </c>
      <c r="J1176" s="79" t="s">
        <v>2932</v>
      </c>
      <c r="K1176"/>
      <c r="L1176"/>
      <c r="M1176"/>
    </row>
    <row r="1177" spans="1:13" hidden="1" x14ac:dyDescent="0.35">
      <c r="A1177" s="72">
        <v>573</v>
      </c>
      <c r="B1177" s="71" t="s">
        <v>3016</v>
      </c>
      <c r="C1177" s="72" t="s">
        <v>2173</v>
      </c>
      <c r="D1177" s="72" t="s">
        <v>124</v>
      </c>
      <c r="E1177" s="16" t="s">
        <v>538</v>
      </c>
      <c r="F1177" s="16" t="s">
        <v>122</v>
      </c>
      <c r="G1177" s="16" t="s">
        <v>1487</v>
      </c>
      <c r="H1177"/>
      <c r="I1177" s="71" t="s">
        <v>3017</v>
      </c>
      <c r="J1177" s="79"/>
      <c r="K1177"/>
      <c r="L1177"/>
      <c r="M1177"/>
    </row>
    <row r="1178" spans="1:13" hidden="1" x14ac:dyDescent="0.35">
      <c r="A1178" s="72">
        <v>573</v>
      </c>
      <c r="B1178" t="s">
        <v>3018</v>
      </c>
      <c r="C1178" s="72" t="s">
        <v>633</v>
      </c>
      <c r="D1178" s="72" t="s">
        <v>124</v>
      </c>
      <c r="E1178" s="16" t="s">
        <v>536</v>
      </c>
      <c r="F1178" s="16" t="s">
        <v>122</v>
      </c>
      <c r="G1178" s="16" t="s">
        <v>1487</v>
      </c>
      <c r="H1178"/>
      <c r="I1178" s="71" t="s">
        <v>3011</v>
      </c>
      <c r="J1178"/>
      <c r="K1178"/>
      <c r="L1178"/>
      <c r="M1178"/>
    </row>
    <row r="1179" spans="1:13" hidden="1" x14ac:dyDescent="0.35">
      <c r="A1179" s="72">
        <v>573</v>
      </c>
      <c r="B1179" t="s">
        <v>3019</v>
      </c>
      <c r="C1179" s="72" t="s">
        <v>2173</v>
      </c>
      <c r="D1179" s="72" t="s">
        <v>124</v>
      </c>
      <c r="E1179" s="16" t="s">
        <v>536</v>
      </c>
      <c r="F1179" s="16" t="s">
        <v>122</v>
      </c>
      <c r="G1179" s="16" t="s">
        <v>1487</v>
      </c>
      <c r="H1179"/>
      <c r="I1179" s="71" t="s">
        <v>3011</v>
      </c>
      <c r="J1179"/>
      <c r="K1179"/>
      <c r="L1179"/>
      <c r="M1179"/>
    </row>
    <row r="1180" spans="1:13" hidden="1" x14ac:dyDescent="0.35">
      <c r="A1180" s="72">
        <v>595</v>
      </c>
      <c r="B1180" s="71" t="s">
        <v>3020</v>
      </c>
      <c r="C1180" s="72" t="s">
        <v>633</v>
      </c>
      <c r="D1180" s="72" t="s">
        <v>124</v>
      </c>
      <c r="E1180" s="16" t="s">
        <v>559</v>
      </c>
      <c r="F1180"/>
      <c r="G1180" s="16" t="s">
        <v>3021</v>
      </c>
      <c r="H1180"/>
      <c r="I1180" s="83"/>
      <c r="J1180"/>
      <c r="K1180"/>
      <c r="L1180"/>
      <c r="M1180"/>
    </row>
    <row r="1181" spans="1:13" hidden="1" x14ac:dyDescent="0.35">
      <c r="A1181" s="72">
        <v>595</v>
      </c>
      <c r="B1181" s="71" t="s">
        <v>399</v>
      </c>
      <c r="C1181" s="72" t="s">
        <v>637</v>
      </c>
      <c r="D1181" s="72" t="s">
        <v>124</v>
      </c>
      <c r="E1181" s="16" t="s">
        <v>539</v>
      </c>
      <c r="F1181"/>
      <c r="G1181" s="16" t="s">
        <v>3021</v>
      </c>
      <c r="H1181"/>
      <c r="I1181" s="71" t="s">
        <v>3022</v>
      </c>
      <c r="J1181" s="79" t="s">
        <v>2932</v>
      </c>
      <c r="K1181"/>
      <c r="L1181"/>
      <c r="M1181"/>
    </row>
    <row r="1182" spans="1:13" hidden="1" x14ac:dyDescent="0.35">
      <c r="A1182" s="72">
        <v>595</v>
      </c>
      <c r="B1182" s="71" t="s">
        <v>3023</v>
      </c>
      <c r="C1182" s="72" t="s">
        <v>2173</v>
      </c>
      <c r="D1182" s="72" t="s">
        <v>124</v>
      </c>
      <c r="E1182" s="16" t="s">
        <v>539</v>
      </c>
      <c r="F1182"/>
      <c r="G1182" s="16" t="s">
        <v>3021</v>
      </c>
      <c r="H1182"/>
      <c r="I1182" s="71" t="s">
        <v>3022</v>
      </c>
      <c r="J1182"/>
      <c r="K1182"/>
      <c r="L1182"/>
      <c r="M1182"/>
    </row>
    <row r="1183" spans="1:13" hidden="1" x14ac:dyDescent="0.35">
      <c r="A1183" s="72">
        <v>595</v>
      </c>
      <c r="B1183" s="71" t="s">
        <v>3024</v>
      </c>
      <c r="C1183" s="72" t="s">
        <v>2173</v>
      </c>
      <c r="D1183" s="72" t="s">
        <v>124</v>
      </c>
      <c r="E1183" s="16" t="s">
        <v>538</v>
      </c>
      <c r="F1183"/>
      <c r="G1183" s="16" t="s">
        <v>3021</v>
      </c>
      <c r="H1183"/>
      <c r="I1183" s="71" t="s">
        <v>3025</v>
      </c>
      <c r="J1183"/>
      <c r="K1183"/>
      <c r="L1183"/>
      <c r="M1183"/>
    </row>
    <row r="1184" spans="1:13" hidden="1" x14ac:dyDescent="0.35">
      <c r="A1184" s="72">
        <v>595</v>
      </c>
      <c r="B1184" s="71" t="s">
        <v>3026</v>
      </c>
      <c r="C1184" s="72" t="s">
        <v>2173</v>
      </c>
      <c r="D1184" s="72" t="s">
        <v>124</v>
      </c>
      <c r="E1184" s="16" t="s">
        <v>538</v>
      </c>
      <c r="F1184"/>
      <c r="G1184" s="16" t="s">
        <v>3021</v>
      </c>
      <c r="H1184"/>
      <c r="I1184" s="71" t="s">
        <v>3025</v>
      </c>
      <c r="J1184" s="71" t="s">
        <v>3027</v>
      </c>
      <c r="K1184"/>
      <c r="L1184"/>
      <c r="M1184"/>
    </row>
    <row r="1185" spans="1:13" hidden="1" x14ac:dyDescent="0.35">
      <c r="A1185" s="72">
        <v>595</v>
      </c>
      <c r="B1185" t="s">
        <v>3028</v>
      </c>
      <c r="C1185" s="72" t="s">
        <v>2173</v>
      </c>
      <c r="D1185" s="72" t="s">
        <v>124</v>
      </c>
      <c r="E1185" s="16" t="s">
        <v>559</v>
      </c>
      <c r="F1185"/>
      <c r="G1185" s="16" t="s">
        <v>3021</v>
      </c>
      <c r="H1185"/>
      <c r="I1185" s="71" t="s">
        <v>3025</v>
      </c>
      <c r="J1185"/>
      <c r="K1185"/>
      <c r="L1185"/>
      <c r="M1185"/>
    </row>
    <row r="1186" spans="1:13" hidden="1" x14ac:dyDescent="0.35">
      <c r="A1186" s="72">
        <v>595</v>
      </c>
      <c r="B1186" t="s">
        <v>1966</v>
      </c>
      <c r="C1186" s="72" t="s">
        <v>2173</v>
      </c>
      <c r="D1186" s="72" t="s">
        <v>130</v>
      </c>
      <c r="E1186" s="16" t="s">
        <v>813</v>
      </c>
      <c r="F1186"/>
      <c r="G1186" s="16" t="s">
        <v>3021</v>
      </c>
      <c r="H1186"/>
      <c r="I1186" s="71" t="s">
        <v>3025</v>
      </c>
      <c r="J1186"/>
      <c r="K1186"/>
      <c r="L1186"/>
      <c r="M1186"/>
    </row>
    <row r="1187" spans="1:13" hidden="1" x14ac:dyDescent="0.35">
      <c r="A1187" s="72">
        <v>595</v>
      </c>
      <c r="B1187" t="s">
        <v>1998</v>
      </c>
      <c r="C1187" s="72" t="s">
        <v>1330</v>
      </c>
      <c r="D1187" s="72" t="s">
        <v>130</v>
      </c>
      <c r="E1187" s="16" t="s">
        <v>813</v>
      </c>
      <c r="F1187"/>
      <c r="G1187" s="16" t="s">
        <v>3021</v>
      </c>
      <c r="H1187"/>
      <c r="I1187" s="71" t="s">
        <v>3025</v>
      </c>
      <c r="J1187" s="71" t="s">
        <v>3029</v>
      </c>
      <c r="K1187"/>
      <c r="L1187"/>
      <c r="M1187"/>
    </row>
    <row r="1188" spans="1:13" hidden="1" x14ac:dyDescent="0.35">
      <c r="A1188" s="72">
        <v>595</v>
      </c>
      <c r="B1188" s="71" t="s">
        <v>3030</v>
      </c>
      <c r="C1188" s="72" t="s">
        <v>3031</v>
      </c>
      <c r="D1188" s="72" t="s">
        <v>130</v>
      </c>
      <c r="E1188" s="16" t="s">
        <v>809</v>
      </c>
      <c r="F1188"/>
      <c r="G1188" s="16" t="s">
        <v>3021</v>
      </c>
      <c r="H1188"/>
      <c r="I1188" s="71" t="s">
        <v>3025</v>
      </c>
      <c r="J1188"/>
      <c r="K1188"/>
      <c r="L1188"/>
      <c r="M1188"/>
    </row>
    <row r="1189" spans="1:13" hidden="1" x14ac:dyDescent="0.35">
      <c r="A1189" s="72">
        <v>595</v>
      </c>
      <c r="B1189" s="71" t="s">
        <v>3032</v>
      </c>
      <c r="C1189" s="72" t="s">
        <v>633</v>
      </c>
      <c r="D1189" s="72" t="s">
        <v>130</v>
      </c>
      <c r="E1189" s="16" t="s">
        <v>813</v>
      </c>
      <c r="F1189"/>
      <c r="G1189" s="16" t="s">
        <v>3021</v>
      </c>
      <c r="H1189"/>
      <c r="I1189" s="71" t="s">
        <v>3025</v>
      </c>
      <c r="J1189"/>
      <c r="K1189"/>
      <c r="L1189"/>
      <c r="M1189"/>
    </row>
    <row r="1190" spans="1:13" hidden="1" x14ac:dyDescent="0.35">
      <c r="A1190" s="72">
        <v>595</v>
      </c>
      <c r="B1190" t="s">
        <v>3033</v>
      </c>
      <c r="C1190" s="72" t="s">
        <v>633</v>
      </c>
      <c r="D1190" s="72" t="s">
        <v>130</v>
      </c>
      <c r="E1190" s="16" t="s">
        <v>1126</v>
      </c>
      <c r="F1190"/>
      <c r="G1190" s="16" t="s">
        <v>3021</v>
      </c>
      <c r="H1190"/>
      <c r="I1190" s="71" t="s">
        <v>3025</v>
      </c>
      <c r="J1190" s="71" t="s">
        <v>3034</v>
      </c>
      <c r="K1190"/>
      <c r="L1190"/>
      <c r="M1190"/>
    </row>
    <row r="1191" spans="1:13" hidden="1" x14ac:dyDescent="0.35">
      <c r="A1191" s="72">
        <v>595</v>
      </c>
      <c r="B1191" s="71" t="s">
        <v>3035</v>
      </c>
      <c r="C1191" s="72" t="s">
        <v>1330</v>
      </c>
      <c r="D1191" s="72" t="s">
        <v>130</v>
      </c>
      <c r="E1191" s="16" t="s">
        <v>1126</v>
      </c>
      <c r="F1191"/>
      <c r="G1191" s="16" t="s">
        <v>3021</v>
      </c>
      <c r="H1191"/>
      <c r="I1191" s="71" t="s">
        <v>3025</v>
      </c>
      <c r="J1191" s="71" t="s">
        <v>3034</v>
      </c>
      <c r="K1191"/>
      <c r="L1191"/>
      <c r="M1191"/>
    </row>
    <row r="1192" spans="1:13" hidden="1" x14ac:dyDescent="0.35">
      <c r="A1192" s="72">
        <v>595</v>
      </c>
      <c r="B1192" s="71" t="s">
        <v>3036</v>
      </c>
      <c r="C1192" s="72" t="s">
        <v>1330</v>
      </c>
      <c r="D1192" s="72" t="s">
        <v>130</v>
      </c>
      <c r="E1192" s="16" t="s">
        <v>1126</v>
      </c>
      <c r="F1192"/>
      <c r="G1192" s="16" t="s">
        <v>3021</v>
      </c>
      <c r="H1192"/>
      <c r="I1192" s="71" t="s">
        <v>3025</v>
      </c>
      <c r="J1192" s="71" t="s">
        <v>3034</v>
      </c>
      <c r="K1192"/>
      <c r="L1192"/>
      <c r="M1192"/>
    </row>
    <row r="1193" spans="1:13" hidden="1" x14ac:dyDescent="0.35">
      <c r="A1193" s="72">
        <v>595</v>
      </c>
      <c r="B1193" s="71" t="s">
        <v>3037</v>
      </c>
      <c r="C1193" s="72" t="s">
        <v>1330</v>
      </c>
      <c r="D1193" s="72" t="s">
        <v>130</v>
      </c>
      <c r="E1193" s="16" t="s">
        <v>1126</v>
      </c>
      <c r="F1193"/>
      <c r="G1193" s="16" t="s">
        <v>3021</v>
      </c>
      <c r="H1193"/>
      <c r="I1193" s="71" t="s">
        <v>3025</v>
      </c>
      <c r="J1193" s="71" t="s">
        <v>3034</v>
      </c>
      <c r="K1193"/>
      <c r="L1193"/>
      <c r="M1193"/>
    </row>
    <row r="1194" spans="1:13" hidden="1" x14ac:dyDescent="0.35">
      <c r="A1194" s="72">
        <v>595</v>
      </c>
      <c r="B1194" s="71" t="s">
        <v>3038</v>
      </c>
      <c r="C1194" s="72" t="s">
        <v>1330</v>
      </c>
      <c r="D1194" s="72" t="s">
        <v>130</v>
      </c>
      <c r="E1194" s="16" t="s">
        <v>1126</v>
      </c>
      <c r="F1194"/>
      <c r="G1194" s="16" t="s">
        <v>3021</v>
      </c>
      <c r="H1194"/>
      <c r="I1194" s="71" t="s">
        <v>3025</v>
      </c>
      <c r="J1194" s="71" t="s">
        <v>3034</v>
      </c>
      <c r="K1194"/>
      <c r="L1194"/>
      <c r="M1194"/>
    </row>
    <row r="1195" spans="1:13" hidden="1" x14ac:dyDescent="0.35">
      <c r="A1195" s="72">
        <v>595</v>
      </c>
      <c r="B1195" t="s">
        <v>3039</v>
      </c>
      <c r="C1195" s="72" t="s">
        <v>3040</v>
      </c>
      <c r="D1195" s="72" t="s">
        <v>130</v>
      </c>
      <c r="E1195" s="84" t="s">
        <v>150</v>
      </c>
      <c r="F1195"/>
      <c r="G1195" s="16" t="s">
        <v>3021</v>
      </c>
      <c r="H1195"/>
      <c r="I1195" s="71" t="s">
        <v>3025</v>
      </c>
      <c r="J1195" s="71" t="s">
        <v>3041</v>
      </c>
      <c r="K1195"/>
      <c r="L1195"/>
      <c r="M1195"/>
    </row>
    <row r="1196" spans="1:13" hidden="1" x14ac:dyDescent="0.35">
      <c r="A1196" s="72">
        <v>595</v>
      </c>
      <c r="B1196" t="s">
        <v>3042</v>
      </c>
      <c r="C1196" s="72" t="s">
        <v>633</v>
      </c>
      <c r="D1196" s="72" t="s">
        <v>130</v>
      </c>
      <c r="E1196" s="16" t="s">
        <v>150</v>
      </c>
      <c r="F1196"/>
      <c r="G1196" s="16" t="s">
        <v>3021</v>
      </c>
      <c r="H1196"/>
      <c r="I1196" s="71" t="s">
        <v>3025</v>
      </c>
      <c r="J1196" s="71" t="s">
        <v>3041</v>
      </c>
      <c r="K1196"/>
      <c r="L1196"/>
      <c r="M1196"/>
    </row>
    <row r="1197" spans="1:13" hidden="1" x14ac:dyDescent="0.35">
      <c r="A1197" s="72">
        <v>595</v>
      </c>
      <c r="B1197" t="s">
        <v>3043</v>
      </c>
      <c r="C1197" s="72" t="s">
        <v>1330</v>
      </c>
      <c r="D1197" s="72" t="s">
        <v>130</v>
      </c>
      <c r="E1197" s="16" t="s">
        <v>150</v>
      </c>
      <c r="F1197"/>
      <c r="G1197" s="16" t="s">
        <v>3021</v>
      </c>
      <c r="H1197"/>
      <c r="I1197" s="71" t="s">
        <v>3025</v>
      </c>
      <c r="J1197" s="71" t="s">
        <v>3041</v>
      </c>
      <c r="K1197"/>
      <c r="L1197"/>
      <c r="M1197"/>
    </row>
    <row r="1198" spans="1:13" hidden="1" x14ac:dyDescent="0.35">
      <c r="A1198" s="72">
        <v>595</v>
      </c>
      <c r="B1198" t="s">
        <v>3044</v>
      </c>
      <c r="C1198" s="72" t="s">
        <v>1330</v>
      </c>
      <c r="D1198" s="72" t="s">
        <v>130</v>
      </c>
      <c r="E1198" s="16" t="s">
        <v>150</v>
      </c>
      <c r="F1198"/>
      <c r="G1198" s="16" t="s">
        <v>3021</v>
      </c>
      <c r="H1198"/>
      <c r="I1198" s="71" t="s">
        <v>3025</v>
      </c>
      <c r="J1198" s="71" t="s">
        <v>3045</v>
      </c>
      <c r="K1198"/>
      <c r="L1198"/>
      <c r="M1198"/>
    </row>
    <row r="1199" spans="1:13" hidden="1" x14ac:dyDescent="0.35">
      <c r="A1199" s="72">
        <v>595</v>
      </c>
      <c r="B1199" t="s">
        <v>3046</v>
      </c>
      <c r="C1199" s="72" t="s">
        <v>1330</v>
      </c>
      <c r="D1199" s="72" t="s">
        <v>130</v>
      </c>
      <c r="E1199" s="16" t="s">
        <v>150</v>
      </c>
      <c r="F1199"/>
      <c r="G1199" s="16" t="s">
        <v>3021</v>
      </c>
      <c r="H1199"/>
      <c r="I1199" s="71" t="s">
        <v>3025</v>
      </c>
      <c r="J1199" s="71" t="s">
        <v>3045</v>
      </c>
      <c r="K1199"/>
      <c r="L1199"/>
      <c r="M1199"/>
    </row>
    <row r="1200" spans="1:13" hidden="1" x14ac:dyDescent="0.35">
      <c r="A1200" s="72">
        <v>595</v>
      </c>
      <c r="B1200" s="71" t="s">
        <v>3047</v>
      </c>
      <c r="C1200" s="72" t="s">
        <v>3048</v>
      </c>
      <c r="D1200" s="72" t="s">
        <v>130</v>
      </c>
      <c r="E1200" s="16" t="s">
        <v>150</v>
      </c>
      <c r="F1200"/>
      <c r="G1200" s="16" t="s">
        <v>3021</v>
      </c>
      <c r="H1200"/>
      <c r="I1200" s="71" t="s">
        <v>3025</v>
      </c>
      <c r="J1200" s="71" t="s">
        <v>3049</v>
      </c>
      <c r="K1200"/>
      <c r="L1200"/>
      <c r="M1200"/>
    </row>
    <row r="1201" spans="1:13" hidden="1" x14ac:dyDescent="0.35">
      <c r="A1201" s="72">
        <v>595</v>
      </c>
      <c r="B1201" s="71" t="s">
        <v>2122</v>
      </c>
      <c r="C1201" s="72" t="s">
        <v>3050</v>
      </c>
      <c r="D1201" s="72" t="s">
        <v>130</v>
      </c>
      <c r="E1201" s="16" t="s">
        <v>150</v>
      </c>
      <c r="F1201"/>
      <c r="G1201" s="16" t="s">
        <v>3021</v>
      </c>
      <c r="H1201"/>
      <c r="I1201" s="71" t="s">
        <v>3025</v>
      </c>
      <c r="J1201" s="71" t="s">
        <v>3049</v>
      </c>
      <c r="K1201"/>
      <c r="L1201"/>
      <c r="M1201"/>
    </row>
    <row r="1202" spans="1:13" hidden="1" x14ac:dyDescent="0.35">
      <c r="A1202" s="72">
        <v>595</v>
      </c>
      <c r="B1202" s="71" t="s">
        <v>3051</v>
      </c>
      <c r="C1202" s="72" t="s">
        <v>3052</v>
      </c>
      <c r="D1202" s="72" t="s">
        <v>130</v>
      </c>
      <c r="E1202" s="16" t="s">
        <v>150</v>
      </c>
      <c r="F1202"/>
      <c r="G1202" s="16" t="s">
        <v>3021</v>
      </c>
      <c r="H1202"/>
      <c r="I1202" s="71" t="s">
        <v>3025</v>
      </c>
      <c r="J1202" s="71" t="s">
        <v>3049</v>
      </c>
      <c r="K1202"/>
      <c r="L1202"/>
      <c r="M1202"/>
    </row>
    <row r="1203" spans="1:13" hidden="1" x14ac:dyDescent="0.35">
      <c r="A1203" s="72">
        <v>595</v>
      </c>
      <c r="B1203" s="71" t="s">
        <v>3053</v>
      </c>
      <c r="C1203" s="72" t="s">
        <v>3052</v>
      </c>
      <c r="D1203" s="72" t="s">
        <v>130</v>
      </c>
      <c r="E1203" s="16" t="s">
        <v>150</v>
      </c>
      <c r="F1203"/>
      <c r="G1203" s="16" t="s">
        <v>3021</v>
      </c>
      <c r="H1203"/>
      <c r="I1203" s="71" t="s">
        <v>3025</v>
      </c>
      <c r="J1203" s="71" t="s">
        <v>3049</v>
      </c>
      <c r="K1203"/>
      <c r="L1203"/>
      <c r="M1203"/>
    </row>
    <row r="1204" spans="1:13" hidden="1" x14ac:dyDescent="0.35">
      <c r="A1204" s="72">
        <v>595</v>
      </c>
      <c r="B1204" s="71" t="s">
        <v>3054</v>
      </c>
      <c r="C1204" s="72" t="s">
        <v>1330</v>
      </c>
      <c r="D1204" s="72" t="s">
        <v>130</v>
      </c>
      <c r="E1204" s="16" t="s">
        <v>1126</v>
      </c>
      <c r="F1204"/>
      <c r="G1204" s="16" t="s">
        <v>3021</v>
      </c>
      <c r="H1204"/>
      <c r="I1204" s="71" t="s">
        <v>3025</v>
      </c>
      <c r="J1204" s="71" t="s">
        <v>3055</v>
      </c>
      <c r="K1204"/>
      <c r="L1204"/>
      <c r="M1204"/>
    </row>
    <row r="1205" spans="1:13" hidden="1" x14ac:dyDescent="0.35">
      <c r="A1205" s="72">
        <v>595</v>
      </c>
      <c r="B1205" t="s">
        <v>901</v>
      </c>
      <c r="C1205" s="72" t="s">
        <v>1330</v>
      </c>
      <c r="D1205" s="72" t="s">
        <v>124</v>
      </c>
      <c r="E1205" s="16" t="s">
        <v>150</v>
      </c>
      <c r="F1205"/>
      <c r="G1205" s="16" t="s">
        <v>3021</v>
      </c>
      <c r="H1205"/>
      <c r="I1205" s="71" t="s">
        <v>3025</v>
      </c>
      <c r="J1205" s="71" t="s">
        <v>3056</v>
      </c>
      <c r="K1205"/>
      <c r="L1205"/>
      <c r="M1205"/>
    </row>
    <row r="1206" spans="1:13" hidden="1" x14ac:dyDescent="0.35">
      <c r="A1206" s="82">
        <v>595</v>
      </c>
      <c r="B1206" s="69" t="s">
        <v>3057</v>
      </c>
      <c r="C1206" s="83" t="s">
        <v>2173</v>
      </c>
      <c r="D1206" s="82" t="s">
        <v>428</v>
      </c>
      <c r="E1206" s="55" t="s">
        <v>1126</v>
      </c>
      <c r="F1206" s="69"/>
      <c r="G1206" s="55" t="s">
        <v>3021</v>
      </c>
      <c r="H1206" s="69"/>
      <c r="I1206" s="83" t="s">
        <v>3025</v>
      </c>
      <c r="J1206" s="83" t="s">
        <v>3058</v>
      </c>
      <c r="K1206"/>
      <c r="L1206"/>
      <c r="M1206"/>
    </row>
    <row r="1207" spans="1:13" hidden="1" x14ac:dyDescent="0.35">
      <c r="A1207" s="85">
        <v>93</v>
      </c>
      <c r="B1207" s="85" t="s">
        <v>3124</v>
      </c>
      <c r="C1207" s="85" t="s">
        <v>3125</v>
      </c>
      <c r="D1207" s="85" t="s">
        <v>198</v>
      </c>
      <c r="E1207" s="85" t="s">
        <v>539</v>
      </c>
      <c r="F1207" s="85" t="s">
        <v>3126</v>
      </c>
      <c r="G1207" s="85" t="s">
        <v>3127</v>
      </c>
      <c r="H1207" s="86"/>
      <c r="I1207" s="85" t="s">
        <v>389</v>
      </c>
      <c r="J1207" s="87" t="s">
        <v>3128</v>
      </c>
      <c r="K1207" s="88"/>
      <c r="L1207" s="88"/>
      <c r="M1207" s="88"/>
    </row>
    <row r="1208" spans="1:13" hidden="1" x14ac:dyDescent="0.35">
      <c r="A1208" s="16">
        <v>93</v>
      </c>
      <c r="B1208" s="16" t="s">
        <v>2031</v>
      </c>
      <c r="C1208" s="16" t="s">
        <v>3129</v>
      </c>
      <c r="D1208" s="16" t="s">
        <v>198</v>
      </c>
      <c r="E1208" s="16" t="s">
        <v>539</v>
      </c>
      <c r="F1208" s="16" t="s">
        <v>3126</v>
      </c>
      <c r="G1208" s="16" t="s">
        <v>3127</v>
      </c>
      <c r="I1208" s="16" t="s">
        <v>389</v>
      </c>
      <c r="J1208" s="89" t="s">
        <v>3128</v>
      </c>
      <c r="K1208"/>
      <c r="L1208"/>
      <c r="M1208"/>
    </row>
    <row r="1209" spans="1:13" hidden="1" x14ac:dyDescent="0.35">
      <c r="A1209" s="16">
        <v>93</v>
      </c>
      <c r="B1209" s="16" t="s">
        <v>3130</v>
      </c>
      <c r="C1209" s="16" t="s">
        <v>2173</v>
      </c>
      <c r="D1209" s="16" t="s">
        <v>198</v>
      </c>
      <c r="E1209" s="16" t="s">
        <v>539</v>
      </c>
      <c r="F1209" s="16" t="s">
        <v>3126</v>
      </c>
      <c r="G1209" s="16" t="s">
        <v>3127</v>
      </c>
      <c r="I1209" s="16" t="s">
        <v>389</v>
      </c>
      <c r="J1209" s="89" t="s">
        <v>3128</v>
      </c>
      <c r="K1209"/>
      <c r="L1209"/>
      <c r="M1209"/>
    </row>
    <row r="1210" spans="1:13" hidden="1" x14ac:dyDescent="0.35">
      <c r="A1210" s="16">
        <v>93</v>
      </c>
      <c r="B1210" s="16" t="s">
        <v>3012</v>
      </c>
      <c r="C1210" s="16" t="s">
        <v>3131</v>
      </c>
      <c r="D1210" s="16" t="s">
        <v>198</v>
      </c>
      <c r="E1210" s="16" t="s">
        <v>539</v>
      </c>
      <c r="F1210" s="16" t="s">
        <v>3126</v>
      </c>
      <c r="G1210" s="16" t="s">
        <v>3127</v>
      </c>
      <c r="I1210" s="16" t="s">
        <v>389</v>
      </c>
      <c r="J1210" s="89" t="s">
        <v>3128</v>
      </c>
      <c r="K1210"/>
      <c r="L1210"/>
      <c r="M1210"/>
    </row>
    <row r="1211" spans="1:13" ht="16.5" hidden="1" x14ac:dyDescent="0.45">
      <c r="A1211" s="16">
        <v>96</v>
      </c>
      <c r="B1211" s="16" t="s">
        <v>3132</v>
      </c>
      <c r="C1211" t="s">
        <v>3133</v>
      </c>
      <c r="D1211" s="16" t="s">
        <v>124</v>
      </c>
      <c r="E1211" s="16" t="s">
        <v>536</v>
      </c>
      <c r="F1211" s="16" t="s">
        <v>122</v>
      </c>
      <c r="G1211" s="16">
        <v>2000</v>
      </c>
      <c r="I1211" s="16" t="s">
        <v>3134</v>
      </c>
      <c r="J1211" s="89" t="s">
        <v>3135</v>
      </c>
      <c r="K1211"/>
      <c r="L1211"/>
      <c r="M1211"/>
    </row>
    <row r="1212" spans="1:13" x14ac:dyDescent="0.35">
      <c r="A1212" s="16">
        <v>96</v>
      </c>
      <c r="B1212" s="16" t="s">
        <v>3136</v>
      </c>
      <c r="C1212" s="16" t="s">
        <v>3137</v>
      </c>
      <c r="D1212" s="16" t="s">
        <v>124</v>
      </c>
      <c r="E1212" s="16" t="s">
        <v>536</v>
      </c>
      <c r="F1212" s="16" t="s">
        <v>122</v>
      </c>
      <c r="G1212" s="16">
        <v>2000</v>
      </c>
      <c r="I1212" s="16" t="s">
        <v>3138</v>
      </c>
      <c r="J1212" s="89" t="s">
        <v>3139</v>
      </c>
      <c r="K1212"/>
      <c r="L1212"/>
      <c r="M1212"/>
    </row>
    <row r="1213" spans="1:13" x14ac:dyDescent="0.35">
      <c r="A1213" s="16">
        <v>96</v>
      </c>
      <c r="B1213" s="16" t="s">
        <v>3140</v>
      </c>
      <c r="C1213" s="16" t="s">
        <v>3141</v>
      </c>
      <c r="D1213" s="16" t="s">
        <v>124</v>
      </c>
      <c r="E1213" s="16" t="s">
        <v>536</v>
      </c>
      <c r="F1213" s="16" t="s">
        <v>122</v>
      </c>
      <c r="G1213" s="16">
        <v>2000</v>
      </c>
      <c r="I1213" s="16" t="s">
        <v>3138</v>
      </c>
      <c r="J1213" s="89" t="s">
        <v>3142</v>
      </c>
      <c r="K1213"/>
      <c r="L1213"/>
      <c r="M1213"/>
    </row>
    <row r="1214" spans="1:13" ht="16.5" hidden="1" x14ac:dyDescent="0.45">
      <c r="A1214" s="16">
        <v>96</v>
      </c>
      <c r="B1214" s="16" t="s">
        <v>3143</v>
      </c>
      <c r="C1214" s="16" t="s">
        <v>3144</v>
      </c>
      <c r="D1214" s="16" t="s">
        <v>124</v>
      </c>
      <c r="E1214" s="16" t="s">
        <v>536</v>
      </c>
      <c r="F1214" s="16" t="s">
        <v>122</v>
      </c>
      <c r="G1214" s="16">
        <v>2000</v>
      </c>
      <c r="I1214" s="16" t="s">
        <v>3134</v>
      </c>
      <c r="J1214" s="89" t="s">
        <v>3145</v>
      </c>
      <c r="K1214"/>
      <c r="L1214"/>
      <c r="M1214"/>
    </row>
    <row r="1215" spans="1:13" hidden="1" x14ac:dyDescent="0.35">
      <c r="A1215" s="16">
        <v>96</v>
      </c>
      <c r="B1215" s="16" t="s">
        <v>3146</v>
      </c>
      <c r="C1215" s="16" t="s">
        <v>3147</v>
      </c>
      <c r="D1215" s="16" t="s">
        <v>428</v>
      </c>
      <c r="E1215" s="16" t="s">
        <v>150</v>
      </c>
      <c r="F1215" s="16" t="s">
        <v>122</v>
      </c>
      <c r="G1215" s="16">
        <v>2000</v>
      </c>
      <c r="I1215" s="16" t="s">
        <v>3148</v>
      </c>
      <c r="J1215" s="89" t="s">
        <v>3149</v>
      </c>
      <c r="K1215"/>
      <c r="L1215"/>
      <c r="M1215"/>
    </row>
    <row r="1216" spans="1:13" hidden="1" x14ac:dyDescent="0.35">
      <c r="A1216" s="16">
        <v>102</v>
      </c>
      <c r="B1216" s="16" t="s">
        <v>3150</v>
      </c>
      <c r="C1216" s="16" t="s">
        <v>3151</v>
      </c>
      <c r="D1216" s="16" t="s">
        <v>124</v>
      </c>
      <c r="E1216" s="16" t="s">
        <v>559</v>
      </c>
      <c r="F1216" s="16" t="s">
        <v>3152</v>
      </c>
      <c r="G1216" s="16" t="s">
        <v>2219</v>
      </c>
      <c r="I1216" s="16" t="s">
        <v>3153</v>
      </c>
      <c r="J1216" s="89"/>
      <c r="K1216"/>
      <c r="L1216"/>
      <c r="M1216"/>
    </row>
    <row r="1217" spans="1:13" hidden="1" x14ac:dyDescent="0.35">
      <c r="A1217" s="16">
        <v>102</v>
      </c>
      <c r="B1217" s="16" t="s">
        <v>3154</v>
      </c>
      <c r="C1217" s="16" t="s">
        <v>3151</v>
      </c>
      <c r="D1217" s="16" t="s">
        <v>124</v>
      </c>
      <c r="E1217" s="16" t="s">
        <v>536</v>
      </c>
      <c r="F1217" s="16" t="s">
        <v>3152</v>
      </c>
      <c r="G1217" s="16" t="s">
        <v>1456</v>
      </c>
      <c r="I1217" s="16" t="s">
        <v>3153</v>
      </c>
      <c r="J1217" s="89"/>
      <c r="K1217"/>
      <c r="L1217"/>
      <c r="M1217"/>
    </row>
    <row r="1218" spans="1:13" ht="16.5" hidden="1" x14ac:dyDescent="0.35">
      <c r="A1218" s="16">
        <v>102</v>
      </c>
      <c r="B1218" s="16" t="s">
        <v>3155</v>
      </c>
      <c r="C1218" s="16" t="s">
        <v>3151</v>
      </c>
      <c r="D1218" s="16" t="s">
        <v>130</v>
      </c>
      <c r="E1218" s="16" t="s">
        <v>559</v>
      </c>
      <c r="F1218" s="16" t="s">
        <v>3156</v>
      </c>
      <c r="G1218" s="16" t="s">
        <v>2219</v>
      </c>
      <c r="I1218" s="16" t="s">
        <v>3153</v>
      </c>
      <c r="J1218" s="89"/>
      <c r="K1218"/>
      <c r="L1218"/>
      <c r="M1218"/>
    </row>
    <row r="1219" spans="1:13" ht="16.5" hidden="1" x14ac:dyDescent="0.35">
      <c r="A1219" s="16">
        <v>102</v>
      </c>
      <c r="B1219" s="16" t="s">
        <v>3157</v>
      </c>
      <c r="C1219" s="16" t="s">
        <v>3158</v>
      </c>
      <c r="D1219" s="16" t="s">
        <v>130</v>
      </c>
      <c r="E1219" s="16" t="s">
        <v>813</v>
      </c>
      <c r="F1219" s="16" t="s">
        <v>3156</v>
      </c>
      <c r="G1219" s="16" t="s">
        <v>2219</v>
      </c>
      <c r="I1219" s="16" t="s">
        <v>3153</v>
      </c>
      <c r="J1219" s="89"/>
      <c r="K1219"/>
      <c r="L1219"/>
      <c r="M1219"/>
    </row>
    <row r="1220" spans="1:13" ht="16.5" hidden="1" x14ac:dyDescent="0.35">
      <c r="A1220" s="16">
        <v>102</v>
      </c>
      <c r="B1220" s="16" t="s">
        <v>3159</v>
      </c>
      <c r="C1220" s="16" t="s">
        <v>3160</v>
      </c>
      <c r="D1220" s="16" t="s">
        <v>130</v>
      </c>
      <c r="E1220" s="16" t="s">
        <v>813</v>
      </c>
      <c r="F1220" s="16" t="s">
        <v>3156</v>
      </c>
      <c r="G1220" s="16" t="s">
        <v>2219</v>
      </c>
      <c r="I1220" s="16" t="s">
        <v>3153</v>
      </c>
      <c r="J1220" s="89"/>
      <c r="K1220"/>
      <c r="L1220"/>
      <c r="M1220"/>
    </row>
    <row r="1221" spans="1:13" ht="16.5" hidden="1" x14ac:dyDescent="0.35">
      <c r="A1221" s="16">
        <v>102</v>
      </c>
      <c r="B1221" s="16" t="s">
        <v>3161</v>
      </c>
      <c r="C1221" s="16" t="s">
        <v>3151</v>
      </c>
      <c r="D1221" s="16" t="s">
        <v>130</v>
      </c>
      <c r="F1221" s="16" t="s">
        <v>3156</v>
      </c>
      <c r="G1221" s="16" t="s">
        <v>2219</v>
      </c>
      <c r="I1221" s="16" t="s">
        <v>3153</v>
      </c>
      <c r="J1221" s="89"/>
      <c r="K1221"/>
      <c r="L1221"/>
      <c r="M1221"/>
    </row>
    <row r="1222" spans="1:13" ht="16.5" hidden="1" x14ac:dyDescent="0.35">
      <c r="A1222" s="16">
        <v>102</v>
      </c>
      <c r="B1222" s="16" t="s">
        <v>3162</v>
      </c>
      <c r="C1222" s="16" t="s">
        <v>3163</v>
      </c>
      <c r="D1222" s="16" t="s">
        <v>130</v>
      </c>
      <c r="E1222" s="16" t="s">
        <v>809</v>
      </c>
      <c r="F1222" s="16" t="s">
        <v>3156</v>
      </c>
      <c r="G1222" s="16" t="s">
        <v>2219</v>
      </c>
      <c r="I1222" s="16" t="s">
        <v>3153</v>
      </c>
      <c r="J1222" s="89"/>
      <c r="K1222"/>
      <c r="L1222"/>
      <c r="M1222"/>
    </row>
    <row r="1223" spans="1:13" hidden="1" x14ac:dyDescent="0.35">
      <c r="A1223" s="16">
        <v>102</v>
      </c>
      <c r="B1223" s="16" t="s">
        <v>3164</v>
      </c>
      <c r="C1223" s="16" t="s">
        <v>3160</v>
      </c>
      <c r="D1223" s="16" t="s">
        <v>428</v>
      </c>
      <c r="E1223" s="16" t="s">
        <v>150</v>
      </c>
      <c r="F1223" s="16" t="s">
        <v>122</v>
      </c>
      <c r="G1223" s="16" t="s">
        <v>2219</v>
      </c>
      <c r="I1223" s="16" t="s">
        <v>3153</v>
      </c>
      <c r="J1223" s="89" t="s">
        <v>3165</v>
      </c>
      <c r="K1223"/>
      <c r="L1223"/>
      <c r="M1223"/>
    </row>
    <row r="1224" spans="1:13" hidden="1" x14ac:dyDescent="0.35">
      <c r="A1224" s="16">
        <v>102</v>
      </c>
      <c r="B1224" s="16" t="s">
        <v>3166</v>
      </c>
      <c r="C1224" s="16" t="s">
        <v>3160</v>
      </c>
      <c r="D1224" s="16" t="s">
        <v>124</v>
      </c>
      <c r="E1224" s="16" t="s">
        <v>150</v>
      </c>
      <c r="F1224" s="16" t="s">
        <v>122</v>
      </c>
      <c r="G1224" s="16" t="s">
        <v>2219</v>
      </c>
      <c r="I1224" s="16" t="s">
        <v>3153</v>
      </c>
      <c r="J1224" s="89" t="s">
        <v>3165</v>
      </c>
      <c r="K1224"/>
      <c r="L1224"/>
      <c r="M1224"/>
    </row>
    <row r="1225" spans="1:13" hidden="1" x14ac:dyDescent="0.35">
      <c r="A1225" s="16">
        <v>102</v>
      </c>
      <c r="B1225" s="16" t="s">
        <v>3167</v>
      </c>
      <c r="C1225" s="16" t="s">
        <v>3160</v>
      </c>
      <c r="D1225" s="16" t="s">
        <v>124</v>
      </c>
      <c r="E1225" s="16" t="s">
        <v>150</v>
      </c>
      <c r="F1225" s="16" t="s">
        <v>122</v>
      </c>
      <c r="G1225" s="16" t="s">
        <v>2219</v>
      </c>
      <c r="I1225" s="16" t="s">
        <v>3153</v>
      </c>
      <c r="J1225" s="89" t="s">
        <v>3165</v>
      </c>
      <c r="K1225"/>
      <c r="L1225"/>
      <c r="M1225"/>
    </row>
    <row r="1226" spans="1:13" hidden="1" x14ac:dyDescent="0.35">
      <c r="A1226" s="16">
        <v>102</v>
      </c>
      <c r="B1226" s="16" t="s">
        <v>3168</v>
      </c>
      <c r="C1226" s="16" t="s">
        <v>3160</v>
      </c>
      <c r="D1226" s="16" t="s">
        <v>124</v>
      </c>
      <c r="E1226" s="16" t="s">
        <v>150</v>
      </c>
      <c r="F1226" s="16" t="s">
        <v>122</v>
      </c>
      <c r="G1226" s="16" t="s">
        <v>2219</v>
      </c>
      <c r="I1226" s="16" t="s">
        <v>3153</v>
      </c>
      <c r="J1226" s="89"/>
      <c r="K1226"/>
      <c r="L1226"/>
      <c r="M1226"/>
    </row>
    <row r="1227" spans="1:13" x14ac:dyDescent="0.35">
      <c r="A1227" s="16">
        <v>109</v>
      </c>
      <c r="B1227" s="16" t="s">
        <v>2888</v>
      </c>
      <c r="C1227" s="16" t="s">
        <v>3169</v>
      </c>
      <c r="D1227" s="16" t="s">
        <v>124</v>
      </c>
      <c r="E1227" s="16" t="s">
        <v>536</v>
      </c>
      <c r="F1227" s="16" t="s">
        <v>3170</v>
      </c>
      <c r="G1227" s="16" t="s">
        <v>3171</v>
      </c>
      <c r="I1227" s="16" t="s">
        <v>3172</v>
      </c>
      <c r="J1227" s="89" t="s">
        <v>3173</v>
      </c>
      <c r="K1227"/>
      <c r="L1227"/>
      <c r="M1227"/>
    </row>
    <row r="1228" spans="1:13" hidden="1" x14ac:dyDescent="0.35">
      <c r="A1228" s="16">
        <v>112</v>
      </c>
      <c r="B1228" s="16" t="s">
        <v>3174</v>
      </c>
      <c r="C1228" s="16" t="s">
        <v>3175</v>
      </c>
      <c r="D1228" s="16" t="s">
        <v>124</v>
      </c>
      <c r="E1228" s="16" t="s">
        <v>150</v>
      </c>
      <c r="F1228" s="16" t="s">
        <v>122</v>
      </c>
      <c r="G1228">
        <v>2021</v>
      </c>
      <c r="H1228" t="s">
        <v>3095</v>
      </c>
      <c r="I1228" t="s">
        <v>3176</v>
      </c>
      <c r="J1228" s="89" t="s">
        <v>3177</v>
      </c>
      <c r="K1228"/>
      <c r="L1228"/>
      <c r="M1228"/>
    </row>
    <row r="1229" spans="1:13" hidden="1" x14ac:dyDescent="0.35">
      <c r="A1229" s="16">
        <v>112</v>
      </c>
      <c r="B1229" s="16" t="s">
        <v>3178</v>
      </c>
      <c r="C1229" s="16" t="s">
        <v>3175</v>
      </c>
      <c r="D1229" s="16" t="s">
        <v>124</v>
      </c>
      <c r="E1229" s="16" t="s">
        <v>150</v>
      </c>
      <c r="F1229" s="16" t="s">
        <v>122</v>
      </c>
      <c r="G1229">
        <v>2021</v>
      </c>
      <c r="H1229" t="s">
        <v>3095</v>
      </c>
      <c r="I1229" t="s">
        <v>3176</v>
      </c>
      <c r="J1229" s="89" t="s">
        <v>3177</v>
      </c>
      <c r="K1229"/>
      <c r="L1229"/>
      <c r="M1229"/>
    </row>
    <row r="1230" spans="1:13" hidden="1" x14ac:dyDescent="0.35">
      <c r="A1230" s="16">
        <v>112</v>
      </c>
      <c r="B1230" s="16" t="s">
        <v>3179</v>
      </c>
      <c r="C1230" s="16" t="s">
        <v>3180</v>
      </c>
      <c r="D1230" s="16" t="s">
        <v>124</v>
      </c>
      <c r="E1230" s="16" t="s">
        <v>150</v>
      </c>
      <c r="F1230" s="16" t="s">
        <v>122</v>
      </c>
      <c r="G1230">
        <v>2021</v>
      </c>
      <c r="H1230" t="s">
        <v>3095</v>
      </c>
      <c r="I1230" t="s">
        <v>3176</v>
      </c>
      <c r="J1230" s="89" t="s">
        <v>3177</v>
      </c>
      <c r="K1230"/>
      <c r="L1230"/>
      <c r="M1230"/>
    </row>
    <row r="1231" spans="1:13" hidden="1" x14ac:dyDescent="0.35">
      <c r="A1231" s="16">
        <v>112</v>
      </c>
      <c r="B1231" s="16" t="s">
        <v>3181</v>
      </c>
      <c r="C1231" s="16" t="s">
        <v>3180</v>
      </c>
      <c r="D1231" s="16" t="s">
        <v>124</v>
      </c>
      <c r="E1231" s="16" t="s">
        <v>150</v>
      </c>
      <c r="F1231" s="16" t="s">
        <v>413</v>
      </c>
      <c r="G1231">
        <v>2021</v>
      </c>
      <c r="H1231" t="s">
        <v>3095</v>
      </c>
      <c r="I1231" t="s">
        <v>3176</v>
      </c>
      <c r="J1231" s="89" t="s">
        <v>3182</v>
      </c>
      <c r="K1231"/>
      <c r="L1231"/>
      <c r="M1231"/>
    </row>
    <row r="1232" spans="1:13" hidden="1" x14ac:dyDescent="0.35">
      <c r="A1232" s="16">
        <v>112</v>
      </c>
      <c r="B1232" s="16" t="s">
        <v>3183</v>
      </c>
      <c r="C1232" s="16" t="s">
        <v>3180</v>
      </c>
      <c r="D1232" s="16" t="s">
        <v>124</v>
      </c>
      <c r="E1232" s="16" t="s">
        <v>150</v>
      </c>
      <c r="F1232" s="16" t="s">
        <v>3152</v>
      </c>
      <c r="G1232">
        <v>2021</v>
      </c>
      <c r="H1232" t="s">
        <v>3095</v>
      </c>
      <c r="I1232" t="s">
        <v>3176</v>
      </c>
      <c r="J1232" s="89" t="s">
        <v>3184</v>
      </c>
      <c r="K1232"/>
      <c r="L1232"/>
      <c r="M1232"/>
    </row>
    <row r="1233" spans="1:13" hidden="1" x14ac:dyDescent="0.35">
      <c r="A1233" s="16">
        <v>112</v>
      </c>
      <c r="B1233" s="16" t="s">
        <v>3185</v>
      </c>
      <c r="C1233" s="16" t="s">
        <v>3180</v>
      </c>
      <c r="D1233" s="16" t="s">
        <v>124</v>
      </c>
      <c r="E1233" s="16" t="s">
        <v>150</v>
      </c>
      <c r="F1233" s="16" t="s">
        <v>3186</v>
      </c>
      <c r="G1233">
        <v>2021</v>
      </c>
      <c r="H1233" t="s">
        <v>3095</v>
      </c>
      <c r="I1233" t="s">
        <v>3176</v>
      </c>
      <c r="J1233" s="89" t="s">
        <v>3187</v>
      </c>
      <c r="K1233"/>
      <c r="L1233"/>
      <c r="M1233"/>
    </row>
    <row r="1234" spans="1:13" hidden="1" x14ac:dyDescent="0.35">
      <c r="A1234" s="16">
        <v>112</v>
      </c>
      <c r="B1234" s="16" t="s">
        <v>3188</v>
      </c>
      <c r="C1234" s="16" t="s">
        <v>3180</v>
      </c>
      <c r="D1234" s="16" t="s">
        <v>124</v>
      </c>
      <c r="E1234" s="16" t="s">
        <v>150</v>
      </c>
      <c r="F1234" s="16" t="s">
        <v>582</v>
      </c>
      <c r="G1234">
        <v>2021</v>
      </c>
      <c r="H1234" t="s">
        <v>3095</v>
      </c>
      <c r="I1234" t="s">
        <v>3176</v>
      </c>
      <c r="J1234" s="89" t="s">
        <v>3189</v>
      </c>
      <c r="K1234"/>
      <c r="L1234"/>
      <c r="M1234"/>
    </row>
    <row r="1235" spans="1:13" hidden="1" x14ac:dyDescent="0.35">
      <c r="A1235" s="16">
        <v>112</v>
      </c>
      <c r="B1235" s="16" t="s">
        <v>3190</v>
      </c>
      <c r="C1235" s="16" t="s">
        <v>3129</v>
      </c>
      <c r="D1235" s="16" t="s">
        <v>124</v>
      </c>
      <c r="E1235" s="16" t="s">
        <v>150</v>
      </c>
      <c r="F1235" s="16" t="s">
        <v>122</v>
      </c>
      <c r="G1235">
        <v>2022</v>
      </c>
      <c r="H1235" t="s">
        <v>3191</v>
      </c>
      <c r="I1235" t="s">
        <v>3176</v>
      </c>
      <c r="J1235" s="89" t="s">
        <v>3192</v>
      </c>
      <c r="K1235"/>
      <c r="L1235"/>
      <c r="M1235"/>
    </row>
    <row r="1236" spans="1:13" hidden="1" x14ac:dyDescent="0.35">
      <c r="A1236" s="16">
        <v>112</v>
      </c>
      <c r="B1236" s="16" t="s">
        <v>3193</v>
      </c>
      <c r="C1236" s="16" t="s">
        <v>2173</v>
      </c>
      <c r="D1236" s="16" t="s">
        <v>124</v>
      </c>
      <c r="E1236" s="16" t="s">
        <v>150</v>
      </c>
      <c r="F1236" s="16" t="s">
        <v>122</v>
      </c>
      <c r="G1236">
        <v>2022</v>
      </c>
      <c r="H1236" t="s">
        <v>3191</v>
      </c>
      <c r="I1236" t="s">
        <v>3176</v>
      </c>
      <c r="J1236" s="89" t="s">
        <v>3192</v>
      </c>
      <c r="K1236"/>
      <c r="L1236"/>
      <c r="M1236"/>
    </row>
    <row r="1237" spans="1:13" hidden="1" x14ac:dyDescent="0.35">
      <c r="A1237" s="16">
        <v>112</v>
      </c>
      <c r="B1237" s="16" t="s">
        <v>3194</v>
      </c>
      <c r="C1237" s="16" t="s">
        <v>2173</v>
      </c>
      <c r="D1237" s="16" t="s">
        <v>124</v>
      </c>
      <c r="E1237" s="16" t="s">
        <v>150</v>
      </c>
      <c r="F1237" s="16" t="s">
        <v>122</v>
      </c>
      <c r="G1237">
        <v>2022</v>
      </c>
      <c r="H1237" t="s">
        <v>3191</v>
      </c>
      <c r="I1237" t="s">
        <v>3176</v>
      </c>
      <c r="J1237" s="89" t="s">
        <v>3192</v>
      </c>
      <c r="K1237"/>
      <c r="L1237"/>
      <c r="M1237"/>
    </row>
    <row r="1238" spans="1:13" hidden="1" x14ac:dyDescent="0.35">
      <c r="A1238" s="16">
        <v>112</v>
      </c>
      <c r="B1238" s="16" t="s">
        <v>3195</v>
      </c>
      <c r="C1238" s="16" t="s">
        <v>3196</v>
      </c>
      <c r="D1238" s="16" t="s">
        <v>124</v>
      </c>
      <c r="E1238" s="16" t="s">
        <v>150</v>
      </c>
      <c r="F1238" s="16" t="s">
        <v>122</v>
      </c>
      <c r="G1238">
        <v>2022</v>
      </c>
      <c r="H1238" t="s">
        <v>3191</v>
      </c>
      <c r="I1238" t="s">
        <v>3176</v>
      </c>
      <c r="J1238" s="89" t="s">
        <v>3192</v>
      </c>
      <c r="K1238"/>
      <c r="L1238"/>
      <c r="M1238"/>
    </row>
    <row r="1239" spans="1:13" hidden="1" x14ac:dyDescent="0.35">
      <c r="A1239" s="16">
        <v>112</v>
      </c>
      <c r="B1239" s="16" t="s">
        <v>3197</v>
      </c>
      <c r="C1239" s="16" t="s">
        <v>3198</v>
      </c>
      <c r="D1239" s="16" t="s">
        <v>130</v>
      </c>
      <c r="E1239" s="16" t="s">
        <v>150</v>
      </c>
      <c r="F1239" s="16" t="s">
        <v>3199</v>
      </c>
      <c r="G1239">
        <v>2021</v>
      </c>
      <c r="H1239" t="s">
        <v>3095</v>
      </c>
      <c r="I1239" t="s">
        <v>3176</v>
      </c>
      <c r="J1239" s="89" t="s">
        <v>3200</v>
      </c>
      <c r="K1239"/>
      <c r="L1239"/>
      <c r="M1239"/>
    </row>
    <row r="1240" spans="1:13" hidden="1" x14ac:dyDescent="0.35">
      <c r="A1240" s="16">
        <v>112</v>
      </c>
      <c r="B1240" s="16" t="s">
        <v>3201</v>
      </c>
      <c r="C1240" s="16" t="s">
        <v>3202</v>
      </c>
      <c r="D1240" s="16" t="s">
        <v>130</v>
      </c>
      <c r="E1240" s="16" t="s">
        <v>150</v>
      </c>
      <c r="F1240" s="16" t="s">
        <v>3199</v>
      </c>
      <c r="G1240">
        <v>2021</v>
      </c>
      <c r="H1240" t="s">
        <v>3095</v>
      </c>
      <c r="I1240" t="s">
        <v>3176</v>
      </c>
      <c r="J1240" s="89" t="s">
        <v>3203</v>
      </c>
      <c r="K1240"/>
      <c r="L1240"/>
      <c r="M1240"/>
    </row>
    <row r="1241" spans="1:13" hidden="1" x14ac:dyDescent="0.35">
      <c r="A1241" s="16">
        <v>112</v>
      </c>
      <c r="B1241" s="16" t="s">
        <v>3204</v>
      </c>
      <c r="C1241" s="16" t="s">
        <v>3198</v>
      </c>
      <c r="D1241" s="16" t="s">
        <v>130</v>
      </c>
      <c r="E1241" s="16" t="s">
        <v>150</v>
      </c>
      <c r="F1241" s="16" t="s">
        <v>3199</v>
      </c>
      <c r="G1241">
        <v>2021</v>
      </c>
      <c r="H1241" t="s">
        <v>3095</v>
      </c>
      <c r="I1241" t="s">
        <v>3176</v>
      </c>
      <c r="J1241" s="89" t="s">
        <v>3203</v>
      </c>
      <c r="K1241"/>
      <c r="L1241"/>
      <c r="M1241"/>
    </row>
    <row r="1242" spans="1:13" hidden="1" x14ac:dyDescent="0.35">
      <c r="A1242" s="16">
        <v>114</v>
      </c>
      <c r="B1242" s="16" t="s">
        <v>3205</v>
      </c>
      <c r="C1242" s="16" t="s">
        <v>3206</v>
      </c>
      <c r="D1242" s="16" t="s">
        <v>198</v>
      </c>
      <c r="E1242" s="16" t="s">
        <v>559</v>
      </c>
      <c r="F1242" s="16" t="s">
        <v>553</v>
      </c>
      <c r="G1242" s="16" t="s">
        <v>1453</v>
      </c>
      <c r="I1242" s="16" t="s">
        <v>3207</v>
      </c>
      <c r="J1242" s="89" t="s">
        <v>3208</v>
      </c>
      <c r="K1242"/>
      <c r="L1242"/>
      <c r="M1242"/>
    </row>
    <row r="1243" spans="1:13" hidden="1" x14ac:dyDescent="0.35">
      <c r="A1243" s="16">
        <v>114</v>
      </c>
      <c r="B1243" s="16" t="s">
        <v>3209</v>
      </c>
      <c r="C1243" s="16" t="s">
        <v>3210</v>
      </c>
      <c r="D1243" s="16" t="s">
        <v>198</v>
      </c>
      <c r="E1243" s="16" t="s">
        <v>559</v>
      </c>
      <c r="F1243" s="16" t="s">
        <v>553</v>
      </c>
      <c r="G1243" s="16" t="s">
        <v>1453</v>
      </c>
      <c r="I1243" s="16" t="s">
        <v>3211</v>
      </c>
      <c r="J1243" s="89" t="s">
        <v>3212</v>
      </c>
      <c r="K1243"/>
      <c r="L1243"/>
      <c r="M1243"/>
    </row>
    <row r="1244" spans="1:13" hidden="1" x14ac:dyDescent="0.35">
      <c r="A1244" s="16">
        <v>117</v>
      </c>
      <c r="B1244" s="16" t="s">
        <v>3213</v>
      </c>
      <c r="C1244" t="s">
        <v>3214</v>
      </c>
      <c r="D1244" s="16" t="s">
        <v>198</v>
      </c>
      <c r="E1244" s="16" t="s">
        <v>559</v>
      </c>
      <c r="F1244" s="16" t="s">
        <v>122</v>
      </c>
      <c r="G1244" s="16">
        <v>2000</v>
      </c>
      <c r="H1244" s="50" t="s">
        <v>403</v>
      </c>
      <c r="I1244" t="s">
        <v>3215</v>
      </c>
      <c r="J1244" s="89" t="s">
        <v>3216</v>
      </c>
      <c r="K1244"/>
      <c r="L1244"/>
      <c r="M1244"/>
    </row>
    <row r="1245" spans="1:13" hidden="1" x14ac:dyDescent="0.35">
      <c r="A1245" s="16">
        <v>117</v>
      </c>
      <c r="B1245" s="16" t="s">
        <v>3217</v>
      </c>
      <c r="C1245" t="s">
        <v>3214</v>
      </c>
      <c r="D1245" s="16" t="s">
        <v>198</v>
      </c>
      <c r="E1245" s="16" t="s">
        <v>559</v>
      </c>
      <c r="F1245" s="16" t="s">
        <v>122</v>
      </c>
      <c r="G1245" s="16">
        <v>2000</v>
      </c>
      <c r="H1245" s="50" t="s">
        <v>403</v>
      </c>
      <c r="I1245" t="s">
        <v>3215</v>
      </c>
      <c r="J1245" s="89" t="s">
        <v>3216</v>
      </c>
      <c r="K1245"/>
      <c r="L1245"/>
      <c r="M1245"/>
    </row>
    <row r="1246" spans="1:13" hidden="1" x14ac:dyDescent="0.35">
      <c r="A1246" s="16">
        <v>117</v>
      </c>
      <c r="B1246" s="16" t="s">
        <v>2031</v>
      </c>
      <c r="C1246" t="s">
        <v>3218</v>
      </c>
      <c r="D1246" s="16" t="s">
        <v>198</v>
      </c>
      <c r="E1246" s="16" t="s">
        <v>539</v>
      </c>
      <c r="F1246" s="16" t="s">
        <v>122</v>
      </c>
      <c r="G1246" s="16">
        <v>2000</v>
      </c>
      <c r="H1246" s="50" t="s">
        <v>403</v>
      </c>
      <c r="I1246" t="s">
        <v>3215</v>
      </c>
      <c r="J1246" s="89" t="s">
        <v>3216</v>
      </c>
      <c r="K1246"/>
      <c r="L1246"/>
      <c r="M1246"/>
    </row>
    <row r="1247" spans="1:13" hidden="1" x14ac:dyDescent="0.35">
      <c r="A1247" s="16">
        <v>117</v>
      </c>
      <c r="B1247" s="16" t="s">
        <v>584</v>
      </c>
      <c r="C1247" s="16" t="s">
        <v>2173</v>
      </c>
      <c r="D1247" s="16" t="s">
        <v>198</v>
      </c>
      <c r="E1247" s="16" t="s">
        <v>539</v>
      </c>
      <c r="F1247" s="16" t="s">
        <v>122</v>
      </c>
      <c r="G1247" s="16">
        <v>2000</v>
      </c>
      <c r="H1247" s="50" t="s">
        <v>403</v>
      </c>
      <c r="I1247" t="s">
        <v>3215</v>
      </c>
      <c r="J1247" s="89" t="s">
        <v>3216</v>
      </c>
      <c r="K1247"/>
      <c r="L1247"/>
      <c r="M1247"/>
    </row>
    <row r="1248" spans="1:13" hidden="1" x14ac:dyDescent="0.35">
      <c r="A1248" s="16">
        <v>117</v>
      </c>
      <c r="B1248" s="16" t="s">
        <v>3219</v>
      </c>
      <c r="C1248" s="16" t="s">
        <v>2173</v>
      </c>
      <c r="D1248" s="16" t="s">
        <v>198</v>
      </c>
      <c r="E1248" s="16" t="s">
        <v>539</v>
      </c>
      <c r="F1248" s="16" t="s">
        <v>122</v>
      </c>
      <c r="G1248" s="16">
        <v>2000</v>
      </c>
      <c r="H1248" s="50" t="s">
        <v>403</v>
      </c>
      <c r="I1248" t="s">
        <v>3215</v>
      </c>
      <c r="J1248" s="89" t="s">
        <v>3216</v>
      </c>
      <c r="K1248"/>
      <c r="L1248"/>
      <c r="M1248"/>
    </row>
    <row r="1249" spans="1:13" hidden="1" x14ac:dyDescent="0.35">
      <c r="A1249" s="16">
        <v>117</v>
      </c>
      <c r="B1249" s="16" t="s">
        <v>3220</v>
      </c>
      <c r="C1249" s="16" t="s">
        <v>2173</v>
      </c>
      <c r="D1249" s="16" t="s">
        <v>198</v>
      </c>
      <c r="E1249" s="16" t="s">
        <v>538</v>
      </c>
      <c r="F1249" s="16" t="s">
        <v>2189</v>
      </c>
      <c r="G1249" s="16">
        <v>2000</v>
      </c>
      <c r="H1249" s="50" t="s">
        <v>403</v>
      </c>
      <c r="I1249" t="s">
        <v>3221</v>
      </c>
      <c r="J1249" s="89" t="s">
        <v>3216</v>
      </c>
      <c r="K1249"/>
      <c r="L1249"/>
      <c r="M1249"/>
    </row>
    <row r="1250" spans="1:13" hidden="1" x14ac:dyDescent="0.35">
      <c r="A1250" s="16">
        <v>117</v>
      </c>
      <c r="B1250" s="16" t="s">
        <v>3222</v>
      </c>
      <c r="C1250" s="16" t="s">
        <v>3169</v>
      </c>
      <c r="D1250" s="16" t="s">
        <v>198</v>
      </c>
      <c r="E1250" s="16" t="s">
        <v>538</v>
      </c>
      <c r="F1250" s="16" t="s">
        <v>122</v>
      </c>
      <c r="G1250" s="16">
        <v>2000</v>
      </c>
      <c r="H1250" s="50" t="s">
        <v>403</v>
      </c>
      <c r="I1250" t="s">
        <v>3223</v>
      </c>
      <c r="J1250" s="89" t="s">
        <v>3216</v>
      </c>
      <c r="K1250"/>
      <c r="L1250"/>
      <c r="M1250"/>
    </row>
    <row r="1251" spans="1:13" hidden="1" x14ac:dyDescent="0.35">
      <c r="A1251" s="16">
        <v>117</v>
      </c>
      <c r="B1251" s="16" t="s">
        <v>3224</v>
      </c>
      <c r="C1251" s="16" t="s">
        <v>3225</v>
      </c>
      <c r="D1251" s="16" t="s">
        <v>198</v>
      </c>
      <c r="E1251" s="16" t="s">
        <v>538</v>
      </c>
      <c r="F1251" s="16" t="s">
        <v>122</v>
      </c>
      <c r="G1251" s="16">
        <v>2000</v>
      </c>
      <c r="H1251" s="50" t="s">
        <v>403</v>
      </c>
      <c r="I1251" t="s">
        <v>3226</v>
      </c>
      <c r="J1251" s="89" t="s">
        <v>3216</v>
      </c>
      <c r="K1251"/>
      <c r="L1251"/>
      <c r="M1251"/>
    </row>
    <row r="1252" spans="1:13" hidden="1" x14ac:dyDescent="0.35">
      <c r="A1252" s="16">
        <v>228</v>
      </c>
      <c r="B1252" s="16" t="s">
        <v>3227</v>
      </c>
      <c r="C1252" s="16" t="s">
        <v>3228</v>
      </c>
      <c r="D1252" s="16" t="s">
        <v>130</v>
      </c>
      <c r="E1252" s="16" t="s">
        <v>813</v>
      </c>
      <c r="F1252" s="16" t="s">
        <v>122</v>
      </c>
      <c r="G1252" s="16" t="s">
        <v>3229</v>
      </c>
      <c r="I1252" t="s">
        <v>3230</v>
      </c>
      <c r="J1252" t="s">
        <v>3231</v>
      </c>
      <c r="K1252"/>
      <c r="L1252"/>
      <c r="M1252"/>
    </row>
    <row r="1253" spans="1:13" hidden="1" x14ac:dyDescent="0.35">
      <c r="A1253" s="16">
        <v>228</v>
      </c>
      <c r="B1253" s="16" t="s">
        <v>3232</v>
      </c>
      <c r="C1253" s="16" t="s">
        <v>3202</v>
      </c>
      <c r="D1253" s="16" t="s">
        <v>130</v>
      </c>
      <c r="E1253" s="16" t="s">
        <v>813</v>
      </c>
      <c r="F1253" s="16" t="s">
        <v>122</v>
      </c>
      <c r="G1253" s="16" t="s">
        <v>3229</v>
      </c>
      <c r="I1253" t="s">
        <v>3230</v>
      </c>
      <c r="J1253" t="s">
        <v>3233</v>
      </c>
      <c r="K1253"/>
      <c r="L1253"/>
      <c r="M1253"/>
    </row>
    <row r="1254" spans="1:13" hidden="1" x14ac:dyDescent="0.35">
      <c r="A1254" s="16">
        <v>228</v>
      </c>
      <c r="B1254" s="16" t="s">
        <v>3234</v>
      </c>
      <c r="C1254" s="16" t="s">
        <v>3202</v>
      </c>
      <c r="D1254" s="16" t="s">
        <v>130</v>
      </c>
      <c r="E1254" s="16" t="s">
        <v>813</v>
      </c>
      <c r="F1254" s="16" t="s">
        <v>122</v>
      </c>
      <c r="G1254" s="16" t="s">
        <v>3229</v>
      </c>
      <c r="I1254" t="s">
        <v>3230</v>
      </c>
      <c r="J1254" t="s">
        <v>3235</v>
      </c>
      <c r="K1254"/>
      <c r="L1254"/>
      <c r="M1254"/>
    </row>
    <row r="1255" spans="1:13" hidden="1" x14ac:dyDescent="0.35">
      <c r="A1255" s="16">
        <v>228</v>
      </c>
      <c r="B1255" s="16" t="s">
        <v>3236</v>
      </c>
      <c r="C1255" s="16" t="s">
        <v>3202</v>
      </c>
      <c r="D1255" s="16" t="s">
        <v>130</v>
      </c>
      <c r="E1255" s="16" t="s">
        <v>813</v>
      </c>
      <c r="F1255" s="16" t="s">
        <v>122</v>
      </c>
      <c r="G1255" s="16" t="s">
        <v>3229</v>
      </c>
      <c r="I1255" t="s">
        <v>3230</v>
      </c>
      <c r="J1255" t="s">
        <v>3237</v>
      </c>
      <c r="K1255"/>
      <c r="L1255"/>
      <c r="M1255"/>
    </row>
    <row r="1256" spans="1:13" hidden="1" x14ac:dyDescent="0.35">
      <c r="A1256" s="16">
        <v>228</v>
      </c>
      <c r="B1256" s="16" t="s">
        <v>3238</v>
      </c>
      <c r="C1256" s="16" t="s">
        <v>3239</v>
      </c>
      <c r="D1256" s="16" t="s">
        <v>130</v>
      </c>
      <c r="E1256" s="16" t="s">
        <v>1021</v>
      </c>
      <c r="F1256" s="16" t="s">
        <v>3240</v>
      </c>
      <c r="G1256" s="16" t="s">
        <v>3229</v>
      </c>
      <c r="I1256" t="s">
        <v>3230</v>
      </c>
      <c r="J1256" t="s">
        <v>3241</v>
      </c>
      <c r="K1256"/>
      <c r="L1256"/>
      <c r="M1256"/>
    </row>
    <row r="1257" spans="1:13" hidden="1" x14ac:dyDescent="0.35">
      <c r="A1257" s="16">
        <v>228</v>
      </c>
      <c r="B1257" s="16" t="s">
        <v>3242</v>
      </c>
      <c r="C1257" s="16" t="s">
        <v>3202</v>
      </c>
      <c r="D1257" s="16" t="s">
        <v>130</v>
      </c>
      <c r="E1257" s="16" t="s">
        <v>1021</v>
      </c>
      <c r="F1257" s="16" t="s">
        <v>3240</v>
      </c>
      <c r="G1257" s="16" t="s">
        <v>3229</v>
      </c>
      <c r="I1257" t="s">
        <v>3230</v>
      </c>
      <c r="J1257" t="s">
        <v>3243</v>
      </c>
      <c r="K1257"/>
      <c r="L1257"/>
      <c r="M1257"/>
    </row>
    <row r="1258" spans="1:13" hidden="1" x14ac:dyDescent="0.35">
      <c r="A1258" s="16">
        <v>228</v>
      </c>
      <c r="B1258" s="16" t="s">
        <v>3244</v>
      </c>
      <c r="C1258" s="16" t="s">
        <v>3202</v>
      </c>
      <c r="D1258" s="16" t="s">
        <v>130</v>
      </c>
      <c r="E1258" s="16" t="s">
        <v>1021</v>
      </c>
      <c r="F1258" s="16" t="s">
        <v>3240</v>
      </c>
      <c r="G1258" s="16" t="s">
        <v>3229</v>
      </c>
      <c r="I1258" t="s">
        <v>3230</v>
      </c>
      <c r="J1258" t="s">
        <v>3245</v>
      </c>
      <c r="K1258"/>
      <c r="L1258"/>
      <c r="M1258"/>
    </row>
    <row r="1259" spans="1:13" hidden="1" x14ac:dyDescent="0.35">
      <c r="A1259" s="16">
        <v>228</v>
      </c>
      <c r="B1259" s="16" t="s">
        <v>3246</v>
      </c>
      <c r="C1259" s="16" t="s">
        <v>3202</v>
      </c>
      <c r="D1259" s="16" t="s">
        <v>130</v>
      </c>
      <c r="E1259" s="16" t="s">
        <v>1021</v>
      </c>
      <c r="F1259" s="16" t="s">
        <v>3240</v>
      </c>
      <c r="G1259" s="16" t="s">
        <v>3229</v>
      </c>
      <c r="I1259" t="s">
        <v>3230</v>
      </c>
      <c r="J1259" t="s">
        <v>3247</v>
      </c>
      <c r="K1259"/>
      <c r="L1259"/>
      <c r="M1259"/>
    </row>
    <row r="1260" spans="1:13" hidden="1" x14ac:dyDescent="0.35">
      <c r="A1260" s="16">
        <v>228</v>
      </c>
      <c r="B1260" s="16" t="s">
        <v>3248</v>
      </c>
      <c r="C1260" s="16" t="s">
        <v>3249</v>
      </c>
      <c r="D1260" s="16" t="s">
        <v>130</v>
      </c>
      <c r="E1260" s="16" t="s">
        <v>1021</v>
      </c>
      <c r="F1260" s="16" t="s">
        <v>3240</v>
      </c>
      <c r="G1260" s="16" t="s">
        <v>3229</v>
      </c>
      <c r="I1260" t="s">
        <v>3250</v>
      </c>
      <c r="J1260" t="s">
        <v>3251</v>
      </c>
      <c r="K1260"/>
      <c r="L1260"/>
      <c r="M1260"/>
    </row>
    <row r="1261" spans="1:13" hidden="1" x14ac:dyDescent="0.35">
      <c r="A1261" s="16">
        <v>228</v>
      </c>
      <c r="B1261" s="16" t="s">
        <v>3252</v>
      </c>
      <c r="C1261" s="16" t="s">
        <v>3253</v>
      </c>
      <c r="D1261" s="16" t="s">
        <v>130</v>
      </c>
      <c r="E1261" s="16" t="s">
        <v>813</v>
      </c>
      <c r="F1261" s="16" t="s">
        <v>122</v>
      </c>
      <c r="G1261" s="16" t="s">
        <v>3229</v>
      </c>
      <c r="I1261" t="s">
        <v>3230</v>
      </c>
      <c r="J1261" t="s">
        <v>3254</v>
      </c>
      <c r="K1261"/>
      <c r="L1261"/>
      <c r="M1261"/>
    </row>
    <row r="1262" spans="1:13" hidden="1" x14ac:dyDescent="0.35">
      <c r="A1262" s="16">
        <v>228</v>
      </c>
      <c r="B1262" s="16" t="s">
        <v>3255</v>
      </c>
      <c r="C1262" s="16" t="s">
        <v>3256</v>
      </c>
      <c r="D1262" s="16" t="s">
        <v>130</v>
      </c>
      <c r="E1262" s="16" t="s">
        <v>813</v>
      </c>
      <c r="F1262" s="16" t="s">
        <v>122</v>
      </c>
      <c r="G1262" s="16" t="s">
        <v>3229</v>
      </c>
      <c r="I1262" t="s">
        <v>3230</v>
      </c>
      <c r="J1262" t="s">
        <v>3257</v>
      </c>
      <c r="K1262"/>
      <c r="L1262"/>
      <c r="M1262"/>
    </row>
    <row r="1263" spans="1:13" hidden="1" x14ac:dyDescent="0.35">
      <c r="A1263" s="16">
        <v>228</v>
      </c>
      <c r="B1263" s="16" t="s">
        <v>3258</v>
      </c>
      <c r="C1263" s="16" t="s">
        <v>2173</v>
      </c>
      <c r="D1263" s="16" t="s">
        <v>130</v>
      </c>
      <c r="E1263" s="16" t="s">
        <v>813</v>
      </c>
      <c r="F1263" s="16" t="s">
        <v>122</v>
      </c>
      <c r="G1263" s="16" t="s">
        <v>3229</v>
      </c>
      <c r="I1263" t="s">
        <v>3230</v>
      </c>
      <c r="J1263" t="s">
        <v>3259</v>
      </c>
      <c r="K1263"/>
      <c r="L1263"/>
      <c r="M1263"/>
    </row>
    <row r="1264" spans="1:13" hidden="1" x14ac:dyDescent="0.35">
      <c r="A1264" s="16">
        <v>228</v>
      </c>
      <c r="B1264" s="16" t="s">
        <v>3260</v>
      </c>
      <c r="C1264" s="16" t="s">
        <v>3261</v>
      </c>
      <c r="D1264" s="16" t="s">
        <v>130</v>
      </c>
      <c r="E1264" s="16" t="s">
        <v>813</v>
      </c>
      <c r="F1264" s="16" t="s">
        <v>122</v>
      </c>
      <c r="G1264" s="16" t="s">
        <v>3229</v>
      </c>
      <c r="I1264" t="s">
        <v>3230</v>
      </c>
      <c r="J1264" t="s">
        <v>3262</v>
      </c>
      <c r="K1264"/>
      <c r="L1264"/>
      <c r="M1264"/>
    </row>
    <row r="1265" spans="1:13" hidden="1" x14ac:dyDescent="0.35">
      <c r="A1265" s="16">
        <v>228</v>
      </c>
      <c r="B1265" s="16" t="s">
        <v>3263</v>
      </c>
      <c r="C1265" s="16" t="s">
        <v>3261</v>
      </c>
      <c r="D1265" s="16" t="s">
        <v>130</v>
      </c>
      <c r="E1265" s="16" t="s">
        <v>813</v>
      </c>
      <c r="F1265" s="16" t="s">
        <v>122</v>
      </c>
      <c r="G1265" s="16" t="s">
        <v>3229</v>
      </c>
      <c r="I1265" t="s">
        <v>3230</v>
      </c>
      <c r="J1265" t="s">
        <v>3264</v>
      </c>
      <c r="K1265"/>
      <c r="L1265"/>
      <c r="M1265"/>
    </row>
    <row r="1266" spans="1:13" hidden="1" x14ac:dyDescent="0.35">
      <c r="A1266" s="16">
        <v>228</v>
      </c>
      <c r="B1266" s="16" t="s">
        <v>3265</v>
      </c>
      <c r="C1266" s="16" t="s">
        <v>3261</v>
      </c>
      <c r="D1266" s="16" t="s">
        <v>124</v>
      </c>
      <c r="E1266" s="16" t="s">
        <v>538</v>
      </c>
      <c r="F1266" s="16" t="s">
        <v>122</v>
      </c>
      <c r="G1266" s="16" t="s">
        <v>3229</v>
      </c>
      <c r="I1266" t="s">
        <v>3230</v>
      </c>
      <c r="J1266" t="s">
        <v>3266</v>
      </c>
      <c r="K1266"/>
      <c r="L1266"/>
      <c r="M1266"/>
    </row>
    <row r="1267" spans="1:13" hidden="1" x14ac:dyDescent="0.35">
      <c r="A1267" s="16">
        <v>228</v>
      </c>
      <c r="B1267" s="16" t="s">
        <v>3267</v>
      </c>
      <c r="C1267" s="16" t="s">
        <v>3261</v>
      </c>
      <c r="D1267" s="16" t="s">
        <v>130</v>
      </c>
      <c r="E1267" s="16" t="s">
        <v>813</v>
      </c>
      <c r="F1267" s="16" t="s">
        <v>122</v>
      </c>
      <c r="G1267" s="16" t="s">
        <v>3229</v>
      </c>
      <c r="I1267" t="s">
        <v>3230</v>
      </c>
      <c r="J1267" t="s">
        <v>3268</v>
      </c>
      <c r="K1267"/>
      <c r="L1267"/>
      <c r="M1267"/>
    </row>
    <row r="1268" spans="1:13" hidden="1" x14ac:dyDescent="0.35">
      <c r="A1268" s="16">
        <v>228</v>
      </c>
      <c r="B1268" s="16" t="s">
        <v>3269</v>
      </c>
      <c r="C1268" s="16" t="s">
        <v>3261</v>
      </c>
      <c r="D1268" s="16" t="s">
        <v>130</v>
      </c>
      <c r="E1268" s="16" t="s">
        <v>813</v>
      </c>
      <c r="F1268" s="16" t="s">
        <v>122</v>
      </c>
      <c r="G1268" s="16" t="s">
        <v>3229</v>
      </c>
      <c r="I1268" t="s">
        <v>3230</v>
      </c>
      <c r="J1268" t="s">
        <v>3270</v>
      </c>
      <c r="K1268"/>
      <c r="L1268"/>
      <c r="M1268"/>
    </row>
    <row r="1269" spans="1:13" hidden="1" x14ac:dyDescent="0.35">
      <c r="A1269" s="16">
        <v>228</v>
      </c>
      <c r="B1269" s="16" t="s">
        <v>3271</v>
      </c>
      <c r="C1269" s="16" t="s">
        <v>3261</v>
      </c>
      <c r="D1269" s="16" t="s">
        <v>130</v>
      </c>
      <c r="E1269" s="16" t="s">
        <v>813</v>
      </c>
      <c r="F1269" s="16" t="s">
        <v>122</v>
      </c>
      <c r="G1269" s="16" t="s">
        <v>3229</v>
      </c>
      <c r="I1269" t="s">
        <v>3230</v>
      </c>
      <c r="J1269" t="s">
        <v>3272</v>
      </c>
      <c r="K1269"/>
      <c r="L1269"/>
      <c r="M1269"/>
    </row>
    <row r="1270" spans="1:13" ht="16.5" x14ac:dyDescent="0.45">
      <c r="A1270" s="16">
        <v>340</v>
      </c>
      <c r="B1270" s="16" t="s">
        <v>3273</v>
      </c>
      <c r="C1270" s="16" t="s">
        <v>633</v>
      </c>
      <c r="D1270" s="16" t="s">
        <v>124</v>
      </c>
      <c r="E1270" s="16" t="s">
        <v>559</v>
      </c>
      <c r="F1270" s="16" t="s">
        <v>3274</v>
      </c>
      <c r="G1270" s="16">
        <v>2022</v>
      </c>
      <c r="H1270" s="50" t="s">
        <v>404</v>
      </c>
      <c r="I1270" s="16" t="s">
        <v>3275</v>
      </c>
      <c r="J1270" s="89" t="s">
        <v>3276</v>
      </c>
      <c r="K1270"/>
      <c r="L1270"/>
      <c r="M1270"/>
    </row>
    <row r="1271" spans="1:13" x14ac:dyDescent="0.35">
      <c r="A1271" s="16">
        <v>457</v>
      </c>
      <c r="B1271" s="16" t="s">
        <v>3277</v>
      </c>
      <c r="C1271" s="16" t="s">
        <v>3278</v>
      </c>
      <c r="D1271" s="16" t="s">
        <v>124</v>
      </c>
      <c r="E1271" s="16" t="s">
        <v>559</v>
      </c>
      <c r="F1271" s="16" t="s">
        <v>122</v>
      </c>
      <c r="G1271" s="16">
        <v>2021</v>
      </c>
      <c r="I1271" s="16" t="s">
        <v>3279</v>
      </c>
      <c r="J1271" s="89" t="s">
        <v>3280</v>
      </c>
      <c r="K1271"/>
      <c r="L1271"/>
      <c r="M1271"/>
    </row>
    <row r="1272" spans="1:13" x14ac:dyDescent="0.35">
      <c r="A1272" s="16">
        <v>457</v>
      </c>
      <c r="B1272" s="16" t="s">
        <v>3281</v>
      </c>
      <c r="C1272" s="16" t="s">
        <v>626</v>
      </c>
      <c r="D1272" s="16" t="s">
        <v>124</v>
      </c>
      <c r="E1272" s="16" t="s">
        <v>559</v>
      </c>
      <c r="F1272" s="16" t="s">
        <v>122</v>
      </c>
      <c r="G1272" s="16">
        <v>2021</v>
      </c>
      <c r="H1272"/>
      <c r="I1272" s="16" t="s">
        <v>3279</v>
      </c>
      <c r="J1272" t="s">
        <v>4651</v>
      </c>
      <c r="K1272"/>
      <c r="L1272"/>
      <c r="M1272"/>
    </row>
    <row r="1273" spans="1:13" x14ac:dyDescent="0.35">
      <c r="A1273" s="16">
        <v>457</v>
      </c>
      <c r="B1273" s="16" t="s">
        <v>2615</v>
      </c>
      <c r="C1273" s="16" t="s">
        <v>628</v>
      </c>
      <c r="D1273" s="16" t="s">
        <v>124</v>
      </c>
      <c r="E1273" s="16" t="s">
        <v>559</v>
      </c>
      <c r="F1273" s="16" t="s">
        <v>122</v>
      </c>
      <c r="G1273" s="16">
        <v>2021</v>
      </c>
      <c r="I1273" s="16" t="s">
        <v>3279</v>
      </c>
      <c r="J1273" s="89" t="s">
        <v>3282</v>
      </c>
      <c r="K1273"/>
      <c r="L1273"/>
      <c r="M1273"/>
    </row>
    <row r="1274" spans="1:13" x14ac:dyDescent="0.35">
      <c r="A1274" s="16">
        <v>457</v>
      </c>
      <c r="B1274" s="16" t="s">
        <v>3283</v>
      </c>
      <c r="C1274" s="16" t="s">
        <v>628</v>
      </c>
      <c r="D1274" s="16" t="s">
        <v>124</v>
      </c>
      <c r="E1274" s="16" t="s">
        <v>559</v>
      </c>
      <c r="F1274" s="16" t="s">
        <v>122</v>
      </c>
      <c r="G1274" s="16">
        <v>2021</v>
      </c>
      <c r="I1274" s="16" t="s">
        <v>3279</v>
      </c>
      <c r="J1274" s="89" t="s">
        <v>3284</v>
      </c>
      <c r="K1274"/>
      <c r="L1274"/>
      <c r="M1274"/>
    </row>
    <row r="1275" spans="1:13" x14ac:dyDescent="0.35">
      <c r="A1275" s="16">
        <v>457</v>
      </c>
      <c r="B1275" s="16" t="s">
        <v>3285</v>
      </c>
      <c r="C1275" s="16" t="s">
        <v>700</v>
      </c>
      <c r="D1275" s="16" t="s">
        <v>124</v>
      </c>
      <c r="E1275" s="16" t="s">
        <v>536</v>
      </c>
      <c r="F1275" s="16" t="s">
        <v>122</v>
      </c>
      <c r="G1275" s="16">
        <v>2021</v>
      </c>
      <c r="I1275" s="16" t="s">
        <v>3279</v>
      </c>
      <c r="J1275" s="89" t="s">
        <v>3286</v>
      </c>
      <c r="K1275"/>
      <c r="L1275"/>
      <c r="M1275"/>
    </row>
    <row r="1276" spans="1:13" x14ac:dyDescent="0.35">
      <c r="A1276" s="16">
        <v>457</v>
      </c>
      <c r="B1276" s="16" t="s">
        <v>3287</v>
      </c>
      <c r="C1276" s="16" t="s">
        <v>633</v>
      </c>
      <c r="D1276" s="16" t="s">
        <v>124</v>
      </c>
      <c r="E1276" s="16" t="s">
        <v>559</v>
      </c>
      <c r="F1276" s="16" t="s">
        <v>122</v>
      </c>
      <c r="G1276" s="16">
        <v>2021</v>
      </c>
      <c r="I1276" s="16" t="s">
        <v>3279</v>
      </c>
      <c r="J1276" s="89" t="s">
        <v>3288</v>
      </c>
      <c r="K1276"/>
      <c r="L1276"/>
      <c r="M1276"/>
    </row>
    <row r="1277" spans="1:13" x14ac:dyDescent="0.35">
      <c r="A1277" s="16">
        <v>457</v>
      </c>
      <c r="B1277" s="16" t="s">
        <v>3289</v>
      </c>
      <c r="C1277" s="16" t="s">
        <v>1919</v>
      </c>
      <c r="D1277" s="16" t="s">
        <v>124</v>
      </c>
      <c r="E1277" s="16" t="s">
        <v>539</v>
      </c>
      <c r="F1277" s="16" t="s">
        <v>122</v>
      </c>
      <c r="G1277" s="16">
        <v>2021</v>
      </c>
      <c r="I1277" s="16" t="s">
        <v>3279</v>
      </c>
      <c r="J1277" s="89" t="s">
        <v>3290</v>
      </c>
      <c r="K1277"/>
      <c r="L1277"/>
      <c r="M1277"/>
    </row>
    <row r="1278" spans="1:13" x14ac:dyDescent="0.35">
      <c r="A1278" s="16">
        <v>457</v>
      </c>
      <c r="B1278" s="16" t="s">
        <v>3291</v>
      </c>
      <c r="C1278" s="16" t="s">
        <v>3292</v>
      </c>
      <c r="D1278" s="16" t="s">
        <v>124</v>
      </c>
      <c r="E1278" s="16" t="s">
        <v>538</v>
      </c>
      <c r="F1278" s="16" t="s">
        <v>122</v>
      </c>
      <c r="G1278" s="16">
        <v>2021</v>
      </c>
      <c r="I1278" s="16" t="s">
        <v>3279</v>
      </c>
      <c r="J1278" s="89" t="s">
        <v>3293</v>
      </c>
      <c r="K1278"/>
      <c r="L1278"/>
      <c r="M1278"/>
    </row>
    <row r="1279" spans="1:13" x14ac:dyDescent="0.35">
      <c r="A1279" s="16">
        <v>457</v>
      </c>
      <c r="B1279" s="16" t="s">
        <v>3294</v>
      </c>
      <c r="C1279" s="16" t="s">
        <v>3292</v>
      </c>
      <c r="D1279" s="16" t="s">
        <v>124</v>
      </c>
      <c r="E1279" s="16" t="s">
        <v>538</v>
      </c>
      <c r="F1279" s="16" t="s">
        <v>122</v>
      </c>
      <c r="G1279" s="16">
        <v>2021</v>
      </c>
      <c r="I1279" s="16" t="s">
        <v>3279</v>
      </c>
      <c r="J1279" s="89" t="s">
        <v>3293</v>
      </c>
      <c r="K1279"/>
      <c r="L1279"/>
      <c r="M1279"/>
    </row>
    <row r="1280" spans="1:13" x14ac:dyDescent="0.35">
      <c r="A1280" s="16">
        <v>457</v>
      </c>
      <c r="B1280" s="16" t="s">
        <v>3295</v>
      </c>
      <c r="C1280" s="16" t="s">
        <v>3225</v>
      </c>
      <c r="D1280" s="16" t="s">
        <v>124</v>
      </c>
      <c r="E1280" s="16" t="s">
        <v>538</v>
      </c>
      <c r="F1280" s="16" t="s">
        <v>122</v>
      </c>
      <c r="G1280" s="16">
        <v>2021</v>
      </c>
      <c r="I1280" s="16" t="s">
        <v>3279</v>
      </c>
      <c r="J1280" s="89" t="s">
        <v>3296</v>
      </c>
      <c r="K1280"/>
      <c r="L1280"/>
      <c r="M1280"/>
    </row>
    <row r="1281" spans="1:13" hidden="1" x14ac:dyDescent="0.35">
      <c r="A1281" s="16">
        <v>457</v>
      </c>
      <c r="B1281" s="16" t="s">
        <v>3297</v>
      </c>
      <c r="C1281" s="16" t="s">
        <v>633</v>
      </c>
      <c r="D1281" s="16" t="s">
        <v>124</v>
      </c>
      <c r="E1281" s="16" t="s">
        <v>559</v>
      </c>
      <c r="F1281" s="16" t="s">
        <v>3298</v>
      </c>
      <c r="G1281" s="16" t="s">
        <v>3299</v>
      </c>
      <c r="I1281" s="16" t="s">
        <v>157</v>
      </c>
      <c r="J1281" s="89" t="s">
        <v>3300</v>
      </c>
      <c r="K1281"/>
      <c r="L1281"/>
      <c r="M1281"/>
    </row>
    <row r="1282" spans="1:13" hidden="1" x14ac:dyDescent="0.35">
      <c r="A1282" s="16">
        <v>457</v>
      </c>
      <c r="B1282" s="16" t="s">
        <v>3301</v>
      </c>
      <c r="C1282" s="16" t="s">
        <v>633</v>
      </c>
      <c r="D1282" s="16" t="s">
        <v>124</v>
      </c>
      <c r="E1282" s="16" t="s">
        <v>559</v>
      </c>
      <c r="F1282" s="16" t="s">
        <v>3298</v>
      </c>
      <c r="G1282" s="16" t="s">
        <v>3299</v>
      </c>
      <c r="I1282" s="16" t="s">
        <v>157</v>
      </c>
      <c r="J1282" s="89" t="s">
        <v>3302</v>
      </c>
      <c r="K1282"/>
      <c r="L1282"/>
      <c r="M1282"/>
    </row>
    <row r="1283" spans="1:13" hidden="1" x14ac:dyDescent="0.35">
      <c r="A1283" s="16">
        <v>457</v>
      </c>
      <c r="B1283" s="16" t="s">
        <v>3303</v>
      </c>
      <c r="C1283" s="16" t="s">
        <v>633</v>
      </c>
      <c r="D1283" s="16" t="s">
        <v>124</v>
      </c>
      <c r="E1283" s="16" t="s">
        <v>559</v>
      </c>
      <c r="F1283" s="16" t="s">
        <v>3298</v>
      </c>
      <c r="G1283" s="16" t="s">
        <v>3299</v>
      </c>
      <c r="I1283" s="16" t="s">
        <v>157</v>
      </c>
      <c r="J1283" s="89" t="s">
        <v>3302</v>
      </c>
      <c r="K1283"/>
      <c r="L1283"/>
      <c r="M1283"/>
    </row>
    <row r="1284" spans="1:13" hidden="1" x14ac:dyDescent="0.35">
      <c r="A1284" s="16">
        <v>457</v>
      </c>
      <c r="B1284" s="16" t="s">
        <v>3304</v>
      </c>
      <c r="C1284" s="16" t="s">
        <v>633</v>
      </c>
      <c r="D1284" s="16" t="s">
        <v>124</v>
      </c>
      <c r="E1284" s="16" t="s">
        <v>559</v>
      </c>
      <c r="F1284" s="16" t="s">
        <v>3298</v>
      </c>
      <c r="G1284" s="16" t="s">
        <v>3299</v>
      </c>
      <c r="I1284" s="16" t="s">
        <v>157</v>
      </c>
      <c r="J1284" s="89" t="s">
        <v>3302</v>
      </c>
      <c r="K1284"/>
      <c r="L1284"/>
      <c r="M1284"/>
    </row>
    <row r="1285" spans="1:13" x14ac:dyDescent="0.35">
      <c r="A1285" s="16">
        <v>485</v>
      </c>
      <c r="B1285" s="16" t="s">
        <v>3305</v>
      </c>
      <c r="C1285" s="16" t="s">
        <v>633</v>
      </c>
      <c r="D1285" s="16" t="s">
        <v>124</v>
      </c>
      <c r="E1285" s="16" t="s">
        <v>559</v>
      </c>
      <c r="F1285" s="16" t="s">
        <v>3306</v>
      </c>
      <c r="G1285" t="s">
        <v>3307</v>
      </c>
      <c r="I1285" t="s">
        <v>3308</v>
      </c>
      <c r="J1285" t="s">
        <v>3309</v>
      </c>
      <c r="K1285"/>
      <c r="L1285"/>
      <c r="M1285"/>
    </row>
    <row r="1286" spans="1:13" x14ac:dyDescent="0.35">
      <c r="A1286" s="16">
        <v>485</v>
      </c>
      <c r="B1286" s="16" t="s">
        <v>3310</v>
      </c>
      <c r="C1286" s="16" t="s">
        <v>633</v>
      </c>
      <c r="D1286" s="16" t="s">
        <v>124</v>
      </c>
      <c r="E1286" s="16" t="s">
        <v>559</v>
      </c>
      <c r="F1286" s="16" t="s">
        <v>3306</v>
      </c>
      <c r="G1286" t="s">
        <v>3307</v>
      </c>
      <c r="I1286" t="s">
        <v>534</v>
      </c>
      <c r="J1286" t="s">
        <v>3311</v>
      </c>
      <c r="K1286"/>
      <c r="L1286"/>
      <c r="M1286"/>
    </row>
    <row r="1287" spans="1:13" x14ac:dyDescent="0.35">
      <c r="A1287" s="16">
        <v>485</v>
      </c>
      <c r="B1287" s="16" t="s">
        <v>3312</v>
      </c>
      <c r="C1287" s="16" t="s">
        <v>633</v>
      </c>
      <c r="D1287" s="16" t="s">
        <v>124</v>
      </c>
      <c r="E1287" s="16" t="s">
        <v>559</v>
      </c>
      <c r="F1287" s="16" t="s">
        <v>3306</v>
      </c>
      <c r="G1287" t="s">
        <v>3307</v>
      </c>
      <c r="I1287" t="s">
        <v>534</v>
      </c>
      <c r="J1287" t="s">
        <v>3311</v>
      </c>
      <c r="K1287"/>
      <c r="L1287"/>
      <c r="M1287"/>
    </row>
    <row r="1288" spans="1:13" x14ac:dyDescent="0.35">
      <c r="A1288" s="16">
        <v>485</v>
      </c>
      <c r="B1288" s="16" t="s">
        <v>3313</v>
      </c>
      <c r="C1288" s="16" t="s">
        <v>3314</v>
      </c>
      <c r="D1288" s="16" t="s">
        <v>124</v>
      </c>
      <c r="E1288" s="16" t="s">
        <v>536</v>
      </c>
      <c r="F1288" s="16" t="s">
        <v>3306</v>
      </c>
      <c r="G1288" t="s">
        <v>3307</v>
      </c>
      <c r="I1288" t="s">
        <v>534</v>
      </c>
      <c r="J1288" t="s">
        <v>3315</v>
      </c>
      <c r="K1288"/>
      <c r="L1288"/>
      <c r="M1288"/>
    </row>
    <row r="1289" spans="1:13" x14ac:dyDescent="0.35">
      <c r="A1289" s="16">
        <v>485</v>
      </c>
      <c r="B1289" s="16" t="s">
        <v>3316</v>
      </c>
      <c r="C1289" s="16" t="s">
        <v>3314</v>
      </c>
      <c r="D1289" s="16" t="s">
        <v>124</v>
      </c>
      <c r="E1289" s="16" t="s">
        <v>536</v>
      </c>
      <c r="F1289" s="16" t="s">
        <v>3306</v>
      </c>
      <c r="G1289" t="s">
        <v>3317</v>
      </c>
      <c r="I1289" t="s">
        <v>534</v>
      </c>
      <c r="J1289" t="s">
        <v>3318</v>
      </c>
      <c r="K1289"/>
      <c r="L1289"/>
      <c r="M1289"/>
    </row>
    <row r="1290" spans="1:13" x14ac:dyDescent="0.35">
      <c r="A1290" s="16">
        <v>485</v>
      </c>
      <c r="B1290" s="16" t="s">
        <v>3319</v>
      </c>
      <c r="C1290" s="16" t="s">
        <v>3314</v>
      </c>
      <c r="D1290" s="16" t="s">
        <v>124</v>
      </c>
      <c r="E1290" s="16" t="s">
        <v>536</v>
      </c>
      <c r="F1290" s="16" t="s">
        <v>3306</v>
      </c>
      <c r="G1290" t="s">
        <v>3320</v>
      </c>
      <c r="I1290" t="s">
        <v>534</v>
      </c>
      <c r="J1290" t="s">
        <v>3321</v>
      </c>
      <c r="K1290"/>
      <c r="L1290"/>
      <c r="M1290"/>
    </row>
    <row r="1291" spans="1:13" x14ac:dyDescent="0.35">
      <c r="A1291" s="16">
        <v>485</v>
      </c>
      <c r="B1291" s="16" t="s">
        <v>3322</v>
      </c>
      <c r="C1291" s="16" t="s">
        <v>3314</v>
      </c>
      <c r="D1291" s="16" t="s">
        <v>124</v>
      </c>
      <c r="E1291" s="16" t="s">
        <v>536</v>
      </c>
      <c r="F1291" s="16" t="s">
        <v>3306</v>
      </c>
      <c r="G1291" t="s">
        <v>3323</v>
      </c>
      <c r="I1291" t="s">
        <v>534</v>
      </c>
      <c r="J1291" t="s">
        <v>3324</v>
      </c>
      <c r="K1291"/>
      <c r="L1291"/>
      <c r="M1291"/>
    </row>
    <row r="1292" spans="1:13" x14ac:dyDescent="0.35">
      <c r="A1292" s="16">
        <v>485</v>
      </c>
      <c r="B1292" s="16" t="s">
        <v>3325</v>
      </c>
      <c r="C1292" s="16" t="s">
        <v>633</v>
      </c>
      <c r="D1292" s="16" t="s">
        <v>124</v>
      </c>
      <c r="E1292" s="16" t="s">
        <v>536</v>
      </c>
      <c r="F1292" s="16" t="s">
        <v>122</v>
      </c>
      <c r="G1292" t="s">
        <v>3323</v>
      </c>
      <c r="I1292" t="s">
        <v>3326</v>
      </c>
      <c r="J1292" t="s">
        <v>3327</v>
      </c>
      <c r="K1292"/>
      <c r="L1292"/>
      <c r="M1292"/>
    </row>
    <row r="1293" spans="1:13" x14ac:dyDescent="0.35">
      <c r="A1293" s="16">
        <v>485</v>
      </c>
      <c r="B1293" s="16" t="s">
        <v>3328</v>
      </c>
      <c r="C1293" s="16" t="s">
        <v>626</v>
      </c>
      <c r="D1293" s="16" t="s">
        <v>124</v>
      </c>
      <c r="E1293" s="16" t="s">
        <v>536</v>
      </c>
      <c r="F1293" s="16" t="s">
        <v>3329</v>
      </c>
      <c r="G1293" t="s">
        <v>3323</v>
      </c>
      <c r="I1293" t="s">
        <v>534</v>
      </c>
      <c r="J1293" t="s">
        <v>3330</v>
      </c>
      <c r="K1293"/>
      <c r="L1293"/>
      <c r="M1293"/>
    </row>
    <row r="1294" spans="1:13" x14ac:dyDescent="0.35">
      <c r="A1294" s="16">
        <v>485</v>
      </c>
      <c r="B1294" s="16" t="s">
        <v>3331</v>
      </c>
      <c r="C1294" s="16" t="s">
        <v>626</v>
      </c>
      <c r="D1294" s="16" t="s">
        <v>124</v>
      </c>
      <c r="E1294" s="16" t="s">
        <v>536</v>
      </c>
      <c r="F1294" s="16" t="s">
        <v>3329</v>
      </c>
      <c r="G1294" t="s">
        <v>3323</v>
      </c>
      <c r="I1294" t="s">
        <v>534</v>
      </c>
      <c r="J1294" t="s">
        <v>3332</v>
      </c>
      <c r="K1294"/>
      <c r="L1294"/>
      <c r="M1294"/>
    </row>
    <row r="1295" spans="1:13" x14ac:dyDescent="0.35">
      <c r="A1295" s="16">
        <v>485</v>
      </c>
      <c r="B1295" s="16" t="s">
        <v>3333</v>
      </c>
      <c r="C1295" s="16" t="s">
        <v>3334</v>
      </c>
      <c r="D1295" s="16" t="s">
        <v>124</v>
      </c>
      <c r="E1295" s="16" t="s">
        <v>536</v>
      </c>
      <c r="F1295" s="16" t="s">
        <v>3329</v>
      </c>
      <c r="G1295" t="s">
        <v>3323</v>
      </c>
      <c r="I1295" t="s">
        <v>534</v>
      </c>
      <c r="J1295" t="s">
        <v>3335</v>
      </c>
      <c r="K1295"/>
      <c r="L1295"/>
      <c r="M1295"/>
    </row>
    <row r="1296" spans="1:13" x14ac:dyDescent="0.35">
      <c r="A1296" s="16">
        <v>485</v>
      </c>
      <c r="B1296" s="16" t="s">
        <v>3336</v>
      </c>
      <c r="C1296" s="16" t="s">
        <v>663</v>
      </c>
      <c r="D1296" s="16" t="s">
        <v>124</v>
      </c>
      <c r="E1296" s="16" t="s">
        <v>536</v>
      </c>
      <c r="F1296" s="16" t="s">
        <v>3329</v>
      </c>
      <c r="G1296" t="s">
        <v>3323</v>
      </c>
      <c r="I1296" t="s">
        <v>534</v>
      </c>
      <c r="J1296" s="89" t="s">
        <v>3337</v>
      </c>
      <c r="K1296"/>
      <c r="L1296"/>
      <c r="M1296"/>
    </row>
    <row r="1297" spans="1:13" x14ac:dyDescent="0.35">
      <c r="A1297" s="16">
        <v>485</v>
      </c>
      <c r="B1297" s="16" t="s">
        <v>3338</v>
      </c>
      <c r="C1297" s="16" t="s">
        <v>663</v>
      </c>
      <c r="D1297" s="16" t="s">
        <v>124</v>
      </c>
      <c r="E1297" s="16" t="s">
        <v>536</v>
      </c>
      <c r="F1297" s="16" t="s">
        <v>3329</v>
      </c>
      <c r="G1297" t="s">
        <v>3323</v>
      </c>
      <c r="I1297" t="s">
        <v>534</v>
      </c>
      <c r="J1297" s="89" t="s">
        <v>3339</v>
      </c>
      <c r="K1297"/>
      <c r="L1297"/>
      <c r="M1297"/>
    </row>
    <row r="1298" spans="1:13" x14ac:dyDescent="0.35">
      <c r="A1298" s="16">
        <v>485</v>
      </c>
      <c r="B1298" s="16" t="s">
        <v>3340</v>
      </c>
      <c r="C1298" s="16" t="s">
        <v>663</v>
      </c>
      <c r="D1298" s="16" t="s">
        <v>124</v>
      </c>
      <c r="E1298" s="16" t="s">
        <v>536</v>
      </c>
      <c r="F1298" s="16" t="s">
        <v>3329</v>
      </c>
      <c r="G1298" t="s">
        <v>3323</v>
      </c>
      <c r="I1298" t="s">
        <v>534</v>
      </c>
      <c r="J1298" s="89" t="s">
        <v>3341</v>
      </c>
      <c r="K1298"/>
      <c r="L1298"/>
      <c r="M1298"/>
    </row>
    <row r="1299" spans="1:13" x14ac:dyDescent="0.35">
      <c r="A1299" s="16">
        <v>485</v>
      </c>
      <c r="B1299" s="16" t="s">
        <v>3342</v>
      </c>
      <c r="C1299" s="16" t="s">
        <v>2173</v>
      </c>
      <c r="D1299" s="16" t="s">
        <v>124</v>
      </c>
      <c r="E1299" s="16" t="s">
        <v>536</v>
      </c>
      <c r="F1299" s="16" t="s">
        <v>3329</v>
      </c>
      <c r="G1299" t="s">
        <v>3323</v>
      </c>
      <c r="I1299" t="s">
        <v>534</v>
      </c>
      <c r="J1299" s="89" t="s">
        <v>3343</v>
      </c>
      <c r="K1299"/>
      <c r="L1299"/>
      <c r="M1299"/>
    </row>
    <row r="1300" spans="1:13" x14ac:dyDescent="0.35">
      <c r="A1300" s="16">
        <v>485</v>
      </c>
      <c r="B1300" s="16" t="s">
        <v>3344</v>
      </c>
      <c r="C1300" s="16" t="s">
        <v>633</v>
      </c>
      <c r="D1300" s="16" t="s">
        <v>124</v>
      </c>
      <c r="E1300" s="16" t="s">
        <v>536</v>
      </c>
      <c r="F1300" s="16" t="s">
        <v>3329</v>
      </c>
      <c r="G1300" t="s">
        <v>3317</v>
      </c>
      <c r="I1300" t="s">
        <v>534</v>
      </c>
      <c r="J1300" t="s">
        <v>3345</v>
      </c>
      <c r="K1300"/>
      <c r="L1300"/>
      <c r="M1300"/>
    </row>
    <row r="1301" spans="1:13" hidden="1" x14ac:dyDescent="0.35">
      <c r="A1301" s="16">
        <v>485</v>
      </c>
      <c r="B1301" s="16" t="s">
        <v>3346</v>
      </c>
      <c r="C1301" s="16" t="s">
        <v>3347</v>
      </c>
      <c r="D1301" s="16" t="s">
        <v>124</v>
      </c>
      <c r="E1301" s="16" t="s">
        <v>559</v>
      </c>
      <c r="F1301" s="16" t="s">
        <v>3329</v>
      </c>
      <c r="G1301" t="s">
        <v>3348</v>
      </c>
      <c r="I1301" t="s">
        <v>3349</v>
      </c>
      <c r="J1301" t="s">
        <v>3350</v>
      </c>
      <c r="K1301"/>
      <c r="L1301"/>
      <c r="M1301"/>
    </row>
    <row r="1302" spans="1:13" hidden="1" x14ac:dyDescent="0.35">
      <c r="A1302" s="16">
        <v>485</v>
      </c>
      <c r="B1302" s="16" t="s">
        <v>3351</v>
      </c>
      <c r="C1302" s="16" t="s">
        <v>3347</v>
      </c>
      <c r="D1302" s="16" t="s">
        <v>124</v>
      </c>
      <c r="E1302" s="16" t="s">
        <v>559</v>
      </c>
      <c r="F1302" s="16" t="s">
        <v>3329</v>
      </c>
      <c r="G1302" t="s">
        <v>3348</v>
      </c>
      <c r="I1302" t="s">
        <v>3349</v>
      </c>
      <c r="J1302" t="s">
        <v>3352</v>
      </c>
      <c r="K1302"/>
      <c r="L1302"/>
      <c r="M1302"/>
    </row>
    <row r="1303" spans="1:13" hidden="1" x14ac:dyDescent="0.35">
      <c r="A1303" s="16">
        <v>808</v>
      </c>
      <c r="B1303" s="16" t="s">
        <v>3353</v>
      </c>
      <c r="C1303" s="16" t="s">
        <v>3354</v>
      </c>
      <c r="D1303" s="16" t="s">
        <v>198</v>
      </c>
      <c r="E1303" s="16" t="s">
        <v>538</v>
      </c>
      <c r="F1303" s="16" t="s">
        <v>413</v>
      </c>
      <c r="G1303" s="16">
        <v>1979</v>
      </c>
      <c r="I1303" s="16" t="s">
        <v>3355</v>
      </c>
      <c r="J1303" s="89" t="s">
        <v>3356</v>
      </c>
      <c r="K1303"/>
      <c r="L1303"/>
      <c r="M1303"/>
    </row>
    <row r="1304" spans="1:13" hidden="1" x14ac:dyDescent="0.35">
      <c r="A1304" s="16">
        <v>808</v>
      </c>
      <c r="B1304" s="16" t="s">
        <v>3357</v>
      </c>
      <c r="C1304" s="16" t="s">
        <v>2173</v>
      </c>
      <c r="D1304" s="16" t="s">
        <v>198</v>
      </c>
      <c r="E1304" s="16" t="s">
        <v>538</v>
      </c>
      <c r="F1304" s="16" t="s">
        <v>413</v>
      </c>
      <c r="G1304" s="16">
        <v>1979</v>
      </c>
      <c r="I1304" s="16" t="s">
        <v>3355</v>
      </c>
      <c r="J1304" s="89" t="s">
        <v>3358</v>
      </c>
      <c r="K1304"/>
      <c r="L1304"/>
      <c r="M1304"/>
    </row>
    <row r="1305" spans="1:13" hidden="1" x14ac:dyDescent="0.35">
      <c r="A1305" s="16">
        <v>808</v>
      </c>
      <c r="B1305" s="16" t="s">
        <v>3359</v>
      </c>
      <c r="C1305" s="16" t="s">
        <v>2173</v>
      </c>
      <c r="D1305" s="16" t="s">
        <v>198</v>
      </c>
      <c r="E1305" s="16" t="s">
        <v>538</v>
      </c>
      <c r="F1305" s="16" t="s">
        <v>413</v>
      </c>
      <c r="G1305" s="16">
        <v>1979</v>
      </c>
      <c r="I1305" t="s">
        <v>3360</v>
      </c>
      <c r="J1305" s="89" t="s">
        <v>3361</v>
      </c>
      <c r="K1305"/>
      <c r="L1305"/>
      <c r="M1305"/>
    </row>
    <row r="1306" spans="1:13" hidden="1" x14ac:dyDescent="0.35">
      <c r="A1306" s="16">
        <v>808</v>
      </c>
      <c r="B1306" s="16" t="s">
        <v>3362</v>
      </c>
      <c r="C1306" s="16" t="s">
        <v>2173</v>
      </c>
      <c r="D1306" s="16" t="s">
        <v>198</v>
      </c>
      <c r="E1306" s="16" t="s">
        <v>539</v>
      </c>
      <c r="F1306" s="16" t="s">
        <v>413</v>
      </c>
      <c r="G1306" s="16">
        <v>1979</v>
      </c>
      <c r="I1306" t="s">
        <v>3360</v>
      </c>
      <c r="J1306" s="89" t="s">
        <v>3361</v>
      </c>
      <c r="K1306"/>
      <c r="L1306"/>
      <c r="M1306"/>
    </row>
    <row r="1307" spans="1:13" hidden="1" x14ac:dyDescent="0.35">
      <c r="A1307" s="16">
        <v>808</v>
      </c>
      <c r="B1307" s="16" t="s">
        <v>3363</v>
      </c>
      <c r="C1307" s="16" t="s">
        <v>1919</v>
      </c>
      <c r="D1307" s="16" t="s">
        <v>198</v>
      </c>
      <c r="E1307" s="16" t="s">
        <v>539</v>
      </c>
      <c r="F1307" s="16" t="s">
        <v>413</v>
      </c>
      <c r="G1307" s="16">
        <v>1979</v>
      </c>
      <c r="I1307" t="s">
        <v>3360</v>
      </c>
      <c r="J1307" s="89" t="s">
        <v>3361</v>
      </c>
      <c r="K1307"/>
      <c r="L1307"/>
      <c r="M1307"/>
    </row>
    <row r="1308" spans="1:13" hidden="1" x14ac:dyDescent="0.35">
      <c r="A1308" s="16">
        <v>808</v>
      </c>
      <c r="B1308" s="16" t="s">
        <v>3364</v>
      </c>
      <c r="C1308" s="16" t="s">
        <v>633</v>
      </c>
      <c r="D1308" s="16" t="s">
        <v>124</v>
      </c>
      <c r="E1308" s="16" t="s">
        <v>559</v>
      </c>
      <c r="F1308" s="16" t="s">
        <v>3170</v>
      </c>
      <c r="G1308" s="16">
        <v>1979</v>
      </c>
      <c r="I1308" s="16" t="s">
        <v>3365</v>
      </c>
      <c r="J1308" s="89" t="s">
        <v>3366</v>
      </c>
      <c r="K1308"/>
      <c r="L1308"/>
      <c r="M1308"/>
    </row>
    <row r="1309" spans="1:13" hidden="1" x14ac:dyDescent="0.35">
      <c r="A1309" s="16">
        <v>808</v>
      </c>
      <c r="B1309" s="16" t="s">
        <v>3367</v>
      </c>
      <c r="C1309" s="16" t="s">
        <v>633</v>
      </c>
      <c r="D1309" s="16" t="s">
        <v>130</v>
      </c>
      <c r="E1309" s="16" t="s">
        <v>559</v>
      </c>
      <c r="F1309" s="16" t="s">
        <v>3170</v>
      </c>
      <c r="G1309" s="16">
        <v>1979</v>
      </c>
      <c r="I1309" s="16" t="s">
        <v>3365</v>
      </c>
      <c r="J1309" s="89" t="s">
        <v>3368</v>
      </c>
      <c r="K1309"/>
      <c r="L1309"/>
      <c r="M1309"/>
    </row>
    <row r="1310" spans="1:13" hidden="1" x14ac:dyDescent="0.35">
      <c r="A1310" s="16">
        <v>808</v>
      </c>
      <c r="B1310" s="16" t="s">
        <v>3369</v>
      </c>
      <c r="C1310" s="16" t="s">
        <v>3370</v>
      </c>
      <c r="D1310" s="16" t="s">
        <v>124</v>
      </c>
      <c r="E1310" s="16" t="s">
        <v>559</v>
      </c>
      <c r="F1310" s="16" t="s">
        <v>3170</v>
      </c>
      <c r="G1310" s="16">
        <v>1979</v>
      </c>
      <c r="I1310" s="16" t="s">
        <v>3365</v>
      </c>
      <c r="J1310" s="89" t="s">
        <v>3368</v>
      </c>
      <c r="K1310"/>
      <c r="L1310"/>
      <c r="M1310"/>
    </row>
    <row r="1311" spans="1:13" hidden="1" x14ac:dyDescent="0.35">
      <c r="A1311" s="16">
        <v>808</v>
      </c>
      <c r="B1311" s="16" t="s">
        <v>3371</v>
      </c>
      <c r="C1311" s="16" t="s">
        <v>2173</v>
      </c>
      <c r="D1311" s="16" t="s">
        <v>124</v>
      </c>
      <c r="E1311" s="16" t="s">
        <v>559</v>
      </c>
      <c r="F1311" s="16" t="s">
        <v>3170</v>
      </c>
      <c r="G1311" s="16">
        <v>1979</v>
      </c>
      <c r="I1311" s="16" t="s">
        <v>3365</v>
      </c>
      <c r="J1311" s="89" t="s">
        <v>3368</v>
      </c>
      <c r="K1311"/>
      <c r="L1311"/>
      <c r="M1311"/>
    </row>
    <row r="1312" spans="1:13" hidden="1" x14ac:dyDescent="0.35">
      <c r="A1312" s="16">
        <v>808</v>
      </c>
      <c r="B1312" s="16" t="s">
        <v>3372</v>
      </c>
      <c r="C1312" s="16" t="s">
        <v>633</v>
      </c>
      <c r="D1312" s="16" t="s">
        <v>124</v>
      </c>
      <c r="E1312" s="16" t="s">
        <v>536</v>
      </c>
      <c r="F1312" s="16" t="s">
        <v>3170</v>
      </c>
      <c r="G1312" s="16">
        <v>2013</v>
      </c>
      <c r="I1312" s="16" t="s">
        <v>3373</v>
      </c>
      <c r="J1312" s="89" t="s">
        <v>3374</v>
      </c>
      <c r="K1312"/>
      <c r="L1312"/>
      <c r="M1312"/>
    </row>
    <row r="1313" spans="1:13" hidden="1" x14ac:dyDescent="0.35">
      <c r="A1313" s="16">
        <v>809</v>
      </c>
      <c r="B1313" s="16" t="s">
        <v>3375</v>
      </c>
      <c r="C1313" s="16" t="s">
        <v>1919</v>
      </c>
      <c r="D1313" s="16" t="s">
        <v>124</v>
      </c>
      <c r="E1313" s="16" t="s">
        <v>559</v>
      </c>
      <c r="F1313" s="16" t="s">
        <v>122</v>
      </c>
      <c r="G1313" s="16" t="s">
        <v>3376</v>
      </c>
      <c r="H1313" s="50" t="s">
        <v>406</v>
      </c>
      <c r="I1313" s="16" t="s">
        <v>3377</v>
      </c>
      <c r="J1313" s="89" t="s">
        <v>3378</v>
      </c>
      <c r="K1313"/>
      <c r="L1313"/>
      <c r="M1313"/>
    </row>
    <row r="1314" spans="1:13" hidden="1" x14ac:dyDescent="0.35">
      <c r="A1314" s="16">
        <v>809</v>
      </c>
      <c r="B1314" s="16" t="s">
        <v>3379</v>
      </c>
      <c r="C1314" s="16" t="s">
        <v>628</v>
      </c>
      <c r="D1314" s="16" t="s">
        <v>124</v>
      </c>
      <c r="E1314" s="16" t="s">
        <v>559</v>
      </c>
      <c r="F1314" s="16" t="s">
        <v>122</v>
      </c>
      <c r="G1314" s="16" t="s">
        <v>3376</v>
      </c>
      <c r="H1314" s="50" t="s">
        <v>406</v>
      </c>
      <c r="I1314" s="16" t="s">
        <v>3377</v>
      </c>
      <c r="J1314" s="89" t="s">
        <v>3378</v>
      </c>
      <c r="K1314"/>
      <c r="L1314"/>
      <c r="M1314"/>
    </row>
    <row r="1315" spans="1:13" hidden="1" x14ac:dyDescent="0.35">
      <c r="A1315" s="16">
        <v>809</v>
      </c>
      <c r="B1315" s="16" t="s">
        <v>3380</v>
      </c>
      <c r="C1315" s="16" t="s">
        <v>3381</v>
      </c>
      <c r="D1315" s="16" t="s">
        <v>124</v>
      </c>
      <c r="E1315" s="16" t="s">
        <v>559</v>
      </c>
      <c r="F1315" s="16" t="s">
        <v>122</v>
      </c>
      <c r="G1315" s="16" t="s">
        <v>3376</v>
      </c>
      <c r="H1315" s="50" t="s">
        <v>406</v>
      </c>
      <c r="I1315" s="16" t="s">
        <v>3377</v>
      </c>
      <c r="J1315" s="89" t="s">
        <v>3378</v>
      </c>
      <c r="K1315"/>
      <c r="L1315"/>
      <c r="M1315"/>
    </row>
    <row r="1316" spans="1:13" hidden="1" x14ac:dyDescent="0.35">
      <c r="A1316" s="16">
        <v>809</v>
      </c>
      <c r="B1316" s="16" t="s">
        <v>3382</v>
      </c>
      <c r="C1316" s="16" t="s">
        <v>3381</v>
      </c>
      <c r="D1316" s="16" t="s">
        <v>124</v>
      </c>
      <c r="E1316" s="16" t="s">
        <v>559</v>
      </c>
      <c r="F1316" s="16" t="s">
        <v>122</v>
      </c>
      <c r="G1316" s="16" t="s">
        <v>3376</v>
      </c>
      <c r="H1316" s="50" t="s">
        <v>406</v>
      </c>
      <c r="I1316" s="16" t="s">
        <v>3377</v>
      </c>
      <c r="J1316" s="89" t="s">
        <v>3378</v>
      </c>
      <c r="K1316"/>
      <c r="L1316"/>
      <c r="M1316"/>
    </row>
    <row r="1317" spans="1:13" hidden="1" x14ac:dyDescent="0.35">
      <c r="A1317" s="16">
        <v>809</v>
      </c>
      <c r="B1317" s="16" t="s">
        <v>3383</v>
      </c>
      <c r="C1317" s="16" t="s">
        <v>3381</v>
      </c>
      <c r="D1317" s="16" t="s">
        <v>124</v>
      </c>
      <c r="E1317" s="16" t="s">
        <v>559</v>
      </c>
      <c r="F1317" s="16" t="s">
        <v>122</v>
      </c>
      <c r="G1317" s="16" t="s">
        <v>3376</v>
      </c>
      <c r="H1317" s="50" t="s">
        <v>406</v>
      </c>
      <c r="I1317" s="16" t="s">
        <v>3377</v>
      </c>
      <c r="J1317" s="89" t="s">
        <v>3378</v>
      </c>
      <c r="K1317"/>
      <c r="L1317"/>
      <c r="M1317"/>
    </row>
    <row r="1318" spans="1:13" hidden="1" x14ac:dyDescent="0.35">
      <c r="A1318" s="16">
        <v>809</v>
      </c>
      <c r="B1318" s="16" t="s">
        <v>3384</v>
      </c>
      <c r="C1318" s="16" t="s">
        <v>3381</v>
      </c>
      <c r="D1318" s="16" t="s">
        <v>124</v>
      </c>
      <c r="E1318" s="16" t="s">
        <v>559</v>
      </c>
      <c r="F1318" s="16" t="s">
        <v>122</v>
      </c>
      <c r="G1318" s="16" t="s">
        <v>3376</v>
      </c>
      <c r="H1318" s="50" t="s">
        <v>406</v>
      </c>
      <c r="I1318" s="16" t="s">
        <v>3385</v>
      </c>
      <c r="J1318" s="89" t="s">
        <v>3378</v>
      </c>
      <c r="K1318"/>
      <c r="L1318"/>
      <c r="M1318"/>
    </row>
    <row r="1319" spans="1:13" hidden="1" x14ac:dyDescent="0.35">
      <c r="A1319" s="16">
        <v>809</v>
      </c>
      <c r="B1319" s="16" t="s">
        <v>3386</v>
      </c>
      <c r="C1319" s="16" t="s">
        <v>626</v>
      </c>
      <c r="D1319" s="16" t="s">
        <v>124</v>
      </c>
      <c r="E1319" s="16" t="s">
        <v>559</v>
      </c>
      <c r="F1319" s="16" t="s">
        <v>122</v>
      </c>
      <c r="G1319" s="16" t="s">
        <v>3376</v>
      </c>
      <c r="H1319" s="50" t="s">
        <v>406</v>
      </c>
      <c r="I1319" s="16" t="s">
        <v>3377</v>
      </c>
      <c r="J1319" s="89" t="s">
        <v>3378</v>
      </c>
      <c r="K1319"/>
      <c r="L1319"/>
      <c r="M1319"/>
    </row>
    <row r="1320" spans="1:13" hidden="1" x14ac:dyDescent="0.35">
      <c r="A1320" s="16">
        <v>809</v>
      </c>
      <c r="B1320" s="16" t="s">
        <v>3387</v>
      </c>
      <c r="C1320" s="16" t="s">
        <v>1919</v>
      </c>
      <c r="D1320" s="16" t="s">
        <v>124</v>
      </c>
      <c r="E1320" s="16" t="s">
        <v>536</v>
      </c>
      <c r="F1320" s="16" t="s">
        <v>122</v>
      </c>
      <c r="G1320" s="16" t="s">
        <v>3376</v>
      </c>
      <c r="H1320" s="50" t="s">
        <v>406</v>
      </c>
      <c r="I1320" s="16" t="s">
        <v>3377</v>
      </c>
      <c r="J1320" s="89" t="s">
        <v>3378</v>
      </c>
      <c r="K1320"/>
      <c r="L1320"/>
      <c r="M1320"/>
    </row>
    <row r="1321" spans="1:13" hidden="1" x14ac:dyDescent="0.35">
      <c r="A1321" s="16">
        <v>809</v>
      </c>
      <c r="B1321" s="16" t="s">
        <v>3388</v>
      </c>
      <c r="C1321" s="16" t="s">
        <v>626</v>
      </c>
      <c r="D1321" s="16" t="s">
        <v>124</v>
      </c>
      <c r="E1321" s="16" t="s">
        <v>559</v>
      </c>
      <c r="F1321" s="16" t="s">
        <v>122</v>
      </c>
      <c r="G1321" s="16" t="s">
        <v>3376</v>
      </c>
      <c r="H1321" s="50" t="s">
        <v>406</v>
      </c>
      <c r="I1321" s="16" t="s">
        <v>3377</v>
      </c>
      <c r="J1321" s="89" t="s">
        <v>3378</v>
      </c>
      <c r="K1321"/>
      <c r="L1321"/>
      <c r="M1321"/>
    </row>
    <row r="1322" spans="1:13" hidden="1" x14ac:dyDescent="0.35">
      <c r="A1322" s="16">
        <v>809</v>
      </c>
      <c r="B1322" s="16" t="s">
        <v>3389</v>
      </c>
      <c r="C1322" s="16" t="s">
        <v>626</v>
      </c>
      <c r="D1322" s="16" t="s">
        <v>124</v>
      </c>
      <c r="E1322" s="16" t="s">
        <v>559</v>
      </c>
      <c r="F1322" s="16" t="s">
        <v>122</v>
      </c>
      <c r="G1322" s="16" t="s">
        <v>3390</v>
      </c>
      <c r="H1322" s="50" t="s">
        <v>403</v>
      </c>
      <c r="I1322" s="16" t="s">
        <v>3377</v>
      </c>
      <c r="J1322" s="89" t="s">
        <v>3391</v>
      </c>
      <c r="K1322"/>
      <c r="L1322"/>
      <c r="M1322"/>
    </row>
    <row r="1323" spans="1:13" hidden="1" x14ac:dyDescent="0.35">
      <c r="A1323" s="16">
        <v>809</v>
      </c>
      <c r="B1323" s="16" t="s">
        <v>3392</v>
      </c>
      <c r="C1323" s="16" t="s">
        <v>626</v>
      </c>
      <c r="D1323" s="16" t="s">
        <v>124</v>
      </c>
      <c r="E1323" s="16" t="s">
        <v>559</v>
      </c>
      <c r="F1323" s="16" t="s">
        <v>122</v>
      </c>
      <c r="G1323" s="16" t="s">
        <v>3390</v>
      </c>
      <c r="H1323" s="50" t="s">
        <v>403</v>
      </c>
      <c r="I1323" s="16" t="s">
        <v>3377</v>
      </c>
      <c r="J1323" s="89" t="s">
        <v>3391</v>
      </c>
      <c r="K1323"/>
      <c r="L1323"/>
      <c r="M1323"/>
    </row>
    <row r="1324" spans="1:13" hidden="1" x14ac:dyDescent="0.35">
      <c r="A1324" s="16">
        <v>809</v>
      </c>
      <c r="B1324" s="16" t="s">
        <v>3393</v>
      </c>
      <c r="C1324" s="16" t="s">
        <v>2173</v>
      </c>
      <c r="D1324" s="16" t="s">
        <v>124</v>
      </c>
      <c r="E1324" s="16" t="s">
        <v>538</v>
      </c>
      <c r="F1324" s="16" t="s">
        <v>122</v>
      </c>
      <c r="G1324" s="16" t="s">
        <v>3390</v>
      </c>
      <c r="H1324" s="50" t="s">
        <v>403</v>
      </c>
      <c r="I1324" s="16" t="s">
        <v>3377</v>
      </c>
      <c r="J1324" s="89" t="s">
        <v>3391</v>
      </c>
      <c r="K1324"/>
      <c r="L1324"/>
      <c r="M1324"/>
    </row>
    <row r="1325" spans="1:13" hidden="1" x14ac:dyDescent="0.35">
      <c r="A1325" s="16">
        <v>809</v>
      </c>
      <c r="B1325" s="16" t="s">
        <v>3394</v>
      </c>
      <c r="C1325" s="16" t="s">
        <v>633</v>
      </c>
      <c r="D1325" s="16" t="s">
        <v>124</v>
      </c>
      <c r="E1325" s="16" t="s">
        <v>559</v>
      </c>
      <c r="F1325" s="16" t="s">
        <v>122</v>
      </c>
      <c r="G1325" s="16" t="s">
        <v>3390</v>
      </c>
      <c r="H1325" s="50" t="s">
        <v>403</v>
      </c>
      <c r="I1325" s="16" t="s">
        <v>3377</v>
      </c>
      <c r="J1325" s="89" t="s">
        <v>3391</v>
      </c>
      <c r="K1325"/>
      <c r="L1325"/>
      <c r="M1325"/>
    </row>
    <row r="1326" spans="1:13" hidden="1" x14ac:dyDescent="0.35">
      <c r="A1326" s="16">
        <v>809</v>
      </c>
      <c r="B1326" s="16" t="s">
        <v>3395</v>
      </c>
      <c r="C1326" s="16" t="s">
        <v>1919</v>
      </c>
      <c r="D1326" s="16" t="s">
        <v>124</v>
      </c>
      <c r="E1326" s="16" t="s">
        <v>539</v>
      </c>
      <c r="F1326" s="16" t="s">
        <v>122</v>
      </c>
      <c r="G1326" s="16" t="s">
        <v>3390</v>
      </c>
      <c r="H1326" s="50" t="s">
        <v>403</v>
      </c>
      <c r="I1326" s="16" t="s">
        <v>3377</v>
      </c>
      <c r="J1326" s="89" t="s">
        <v>3391</v>
      </c>
      <c r="K1326"/>
      <c r="L1326"/>
      <c r="M1326"/>
    </row>
    <row r="1327" spans="1:13" hidden="1" x14ac:dyDescent="0.35">
      <c r="A1327" s="16">
        <v>821</v>
      </c>
      <c r="B1327" s="16" t="s">
        <v>3396</v>
      </c>
      <c r="C1327" s="16" t="s">
        <v>700</v>
      </c>
      <c r="D1327" s="16" t="s">
        <v>124</v>
      </c>
      <c r="E1327" s="16" t="s">
        <v>536</v>
      </c>
      <c r="F1327" s="16" t="s">
        <v>413</v>
      </c>
      <c r="G1327" s="16">
        <v>2010</v>
      </c>
      <c r="H1327" s="50" t="s">
        <v>403</v>
      </c>
      <c r="I1327" s="16" t="s">
        <v>3397</v>
      </c>
      <c r="J1327" s="89" t="s">
        <v>3398</v>
      </c>
      <c r="K1327"/>
      <c r="L1327"/>
      <c r="M1327"/>
    </row>
    <row r="1328" spans="1:13" hidden="1" x14ac:dyDescent="0.35">
      <c r="A1328" s="16">
        <v>821</v>
      </c>
      <c r="B1328" s="16" t="s">
        <v>3399</v>
      </c>
      <c r="C1328" s="16" t="s">
        <v>656</v>
      </c>
      <c r="D1328" s="16" t="s">
        <v>124</v>
      </c>
      <c r="E1328" s="16" t="s">
        <v>559</v>
      </c>
      <c r="F1328" s="16" t="s">
        <v>413</v>
      </c>
      <c r="G1328" s="16">
        <v>2010</v>
      </c>
      <c r="H1328" s="50" t="s">
        <v>403</v>
      </c>
      <c r="I1328" s="16" t="s">
        <v>3397</v>
      </c>
      <c r="J1328" s="89" t="s">
        <v>3398</v>
      </c>
      <c r="K1328"/>
      <c r="L1328"/>
      <c r="M1328"/>
    </row>
    <row r="1329" spans="1:13" hidden="1" x14ac:dyDescent="0.35">
      <c r="A1329" s="16">
        <v>821</v>
      </c>
      <c r="B1329" s="16" t="s">
        <v>3400</v>
      </c>
      <c r="C1329" s="16" t="s">
        <v>633</v>
      </c>
      <c r="D1329" s="16" t="s">
        <v>124</v>
      </c>
      <c r="E1329" s="16" t="s">
        <v>536</v>
      </c>
      <c r="F1329" s="16" t="s">
        <v>413</v>
      </c>
      <c r="G1329" s="16">
        <v>2011</v>
      </c>
      <c r="H1329" s="50" t="s">
        <v>405</v>
      </c>
      <c r="I1329" s="16" t="s">
        <v>3397</v>
      </c>
      <c r="J1329" s="89" t="s">
        <v>3398</v>
      </c>
      <c r="K1329"/>
      <c r="L1329"/>
      <c r="M1329"/>
    </row>
    <row r="1330" spans="1:13" hidden="1" x14ac:dyDescent="0.35">
      <c r="A1330" s="16">
        <v>821</v>
      </c>
      <c r="B1330" s="16" t="s">
        <v>3401</v>
      </c>
      <c r="C1330" s="16" t="s">
        <v>633</v>
      </c>
      <c r="D1330" s="16" t="s">
        <v>124</v>
      </c>
      <c r="E1330" s="16" t="s">
        <v>536</v>
      </c>
      <c r="F1330" s="16" t="s">
        <v>122</v>
      </c>
      <c r="G1330" s="16">
        <v>2011</v>
      </c>
      <c r="H1330" s="50" t="s">
        <v>405</v>
      </c>
      <c r="I1330" s="16" t="s">
        <v>243</v>
      </c>
      <c r="J1330" s="89" t="s">
        <v>3402</v>
      </c>
      <c r="K1330"/>
      <c r="L1330"/>
      <c r="M1330"/>
    </row>
    <row r="1331" spans="1:13" ht="16.5" hidden="1" x14ac:dyDescent="0.45">
      <c r="A1331" s="16">
        <v>821</v>
      </c>
      <c r="B1331" s="16" t="s">
        <v>3403</v>
      </c>
      <c r="C1331" s="16" t="s">
        <v>3404</v>
      </c>
      <c r="D1331" s="16" t="s">
        <v>124</v>
      </c>
      <c r="E1331" s="16" t="s">
        <v>1118</v>
      </c>
      <c r="F1331" s="16" t="s">
        <v>122</v>
      </c>
      <c r="G1331" s="16">
        <v>2010</v>
      </c>
      <c r="H1331" s="50" t="s">
        <v>403</v>
      </c>
      <c r="I1331" s="16" t="s">
        <v>3405</v>
      </c>
      <c r="J1331" s="89" t="s">
        <v>3402</v>
      </c>
      <c r="K1331"/>
      <c r="L1331"/>
      <c r="M1331"/>
    </row>
    <row r="1332" spans="1:13" ht="16.5" hidden="1" x14ac:dyDescent="0.45">
      <c r="A1332" s="16">
        <v>821</v>
      </c>
      <c r="B1332" s="16" t="s">
        <v>3406</v>
      </c>
      <c r="C1332" s="16" t="s">
        <v>3404</v>
      </c>
      <c r="D1332" s="16" t="s">
        <v>124</v>
      </c>
      <c r="E1332" s="16" t="s">
        <v>1118</v>
      </c>
      <c r="F1332" s="16" t="s">
        <v>122</v>
      </c>
      <c r="G1332" s="16">
        <v>2011</v>
      </c>
      <c r="H1332" s="50" t="s">
        <v>405</v>
      </c>
      <c r="I1332" s="16" t="s">
        <v>3407</v>
      </c>
      <c r="J1332" s="89" t="s">
        <v>3408</v>
      </c>
      <c r="K1332"/>
      <c r="L1332"/>
      <c r="M1332"/>
    </row>
    <row r="1333" spans="1:13" ht="16.5" hidden="1" x14ac:dyDescent="0.45">
      <c r="A1333" s="16">
        <v>821</v>
      </c>
      <c r="B1333" s="16" t="s">
        <v>3409</v>
      </c>
      <c r="C1333" s="16" t="s">
        <v>3404</v>
      </c>
      <c r="D1333" s="16" t="s">
        <v>124</v>
      </c>
      <c r="E1333" s="16" t="s">
        <v>1118</v>
      </c>
      <c r="F1333" s="16" t="s">
        <v>122</v>
      </c>
      <c r="G1333" s="16">
        <v>2011</v>
      </c>
      <c r="H1333" s="50" t="s">
        <v>405</v>
      </c>
      <c r="I1333" s="16" t="s">
        <v>3407</v>
      </c>
      <c r="J1333" s="89" t="s">
        <v>3410</v>
      </c>
      <c r="K1333"/>
      <c r="L1333"/>
      <c r="M1333"/>
    </row>
    <row r="1334" spans="1:13" hidden="1" x14ac:dyDescent="0.35">
      <c r="A1334" s="16">
        <v>821</v>
      </c>
      <c r="B1334" s="16" t="s">
        <v>3411</v>
      </c>
      <c r="C1334" s="16" t="s">
        <v>656</v>
      </c>
      <c r="D1334" s="16" t="s">
        <v>124</v>
      </c>
      <c r="E1334" s="16" t="s">
        <v>559</v>
      </c>
      <c r="F1334" s="16" t="s">
        <v>122</v>
      </c>
      <c r="G1334" s="16">
        <v>2010</v>
      </c>
      <c r="H1334" s="50" t="s">
        <v>403</v>
      </c>
      <c r="I1334" s="16" t="s">
        <v>3412</v>
      </c>
      <c r="J1334" s="89" t="s">
        <v>3413</v>
      </c>
      <c r="K1334"/>
      <c r="L1334"/>
      <c r="M1334"/>
    </row>
    <row r="1335" spans="1:13" hidden="1" x14ac:dyDescent="0.35">
      <c r="A1335" s="16">
        <v>821</v>
      </c>
      <c r="B1335" s="16" t="s">
        <v>3414</v>
      </c>
      <c r="C1335" s="16" t="s">
        <v>3415</v>
      </c>
      <c r="D1335" s="16" t="s">
        <v>124</v>
      </c>
      <c r="E1335" s="16" t="s">
        <v>559</v>
      </c>
      <c r="F1335" s="16" t="s">
        <v>122</v>
      </c>
      <c r="G1335" s="16">
        <v>2011</v>
      </c>
      <c r="H1335" s="50" t="s">
        <v>403</v>
      </c>
      <c r="I1335" s="16" t="s">
        <v>3412</v>
      </c>
      <c r="J1335" s="89" t="s">
        <v>3413</v>
      </c>
      <c r="K1335"/>
      <c r="L1335"/>
      <c r="M1335"/>
    </row>
    <row r="1336" spans="1:13" hidden="1" x14ac:dyDescent="0.35">
      <c r="A1336" s="16">
        <v>821</v>
      </c>
      <c r="B1336" s="16" t="s">
        <v>3416</v>
      </c>
      <c r="C1336" s="16" t="s">
        <v>3417</v>
      </c>
      <c r="D1336" s="16" t="s">
        <v>124</v>
      </c>
      <c r="E1336" s="16" t="s">
        <v>559</v>
      </c>
      <c r="F1336" s="16" t="s">
        <v>122</v>
      </c>
      <c r="G1336" s="16">
        <v>2010</v>
      </c>
      <c r="H1336" s="50" t="s">
        <v>405</v>
      </c>
      <c r="I1336" s="16" t="s">
        <v>3418</v>
      </c>
      <c r="J1336" s="89" t="s">
        <v>3419</v>
      </c>
      <c r="K1336"/>
      <c r="L1336"/>
      <c r="M1336"/>
    </row>
    <row r="1337" spans="1:13" hidden="1" x14ac:dyDescent="0.35">
      <c r="A1337" s="16">
        <v>821</v>
      </c>
      <c r="B1337" s="16" t="s">
        <v>3420</v>
      </c>
      <c r="C1337" s="16" t="s">
        <v>3417</v>
      </c>
      <c r="D1337" s="16" t="s">
        <v>124</v>
      </c>
      <c r="E1337" s="16" t="s">
        <v>559</v>
      </c>
      <c r="F1337" s="16" t="s">
        <v>122</v>
      </c>
      <c r="G1337" s="16">
        <v>2011</v>
      </c>
      <c r="H1337" s="50" t="s">
        <v>405</v>
      </c>
      <c r="I1337" s="16" t="s">
        <v>3418</v>
      </c>
      <c r="J1337" s="89" t="s">
        <v>3419</v>
      </c>
      <c r="K1337"/>
      <c r="L1337"/>
      <c r="M1337"/>
    </row>
    <row r="1338" spans="1:13" hidden="1" x14ac:dyDescent="0.35">
      <c r="A1338" s="16">
        <v>821</v>
      </c>
      <c r="B1338" s="16" t="s">
        <v>3421</v>
      </c>
      <c r="C1338" s="16" t="s">
        <v>3422</v>
      </c>
      <c r="D1338" s="16" t="s">
        <v>124</v>
      </c>
      <c r="E1338" s="16" t="s">
        <v>1118</v>
      </c>
      <c r="F1338" s="16" t="s">
        <v>122</v>
      </c>
      <c r="G1338" s="16">
        <v>2010</v>
      </c>
      <c r="H1338" s="50" t="s">
        <v>403</v>
      </c>
      <c r="I1338" s="16" t="s">
        <v>3423</v>
      </c>
      <c r="J1338" s="89"/>
      <c r="K1338"/>
      <c r="L1338"/>
      <c r="M1338"/>
    </row>
    <row r="1339" spans="1:13" hidden="1" x14ac:dyDescent="0.35">
      <c r="A1339" s="16">
        <v>821</v>
      </c>
      <c r="B1339" s="16" t="s">
        <v>3424</v>
      </c>
      <c r="C1339" s="16" t="s">
        <v>3425</v>
      </c>
      <c r="D1339" s="16" t="s">
        <v>124</v>
      </c>
      <c r="E1339" s="16" t="s">
        <v>1118</v>
      </c>
      <c r="F1339" s="16" t="s">
        <v>122</v>
      </c>
      <c r="G1339" s="16">
        <v>2011</v>
      </c>
      <c r="H1339" s="50" t="s">
        <v>403</v>
      </c>
      <c r="I1339" s="16" t="s">
        <v>3423</v>
      </c>
      <c r="J1339" s="89"/>
      <c r="K1339"/>
      <c r="L1339"/>
      <c r="M1339"/>
    </row>
    <row r="1340" spans="1:13" hidden="1" x14ac:dyDescent="0.35">
      <c r="A1340" s="16">
        <v>821</v>
      </c>
      <c r="B1340" s="16" t="s">
        <v>3426</v>
      </c>
      <c r="C1340" s="16" t="s">
        <v>3427</v>
      </c>
      <c r="D1340" s="16" t="s">
        <v>124</v>
      </c>
      <c r="E1340" s="16" t="s">
        <v>1118</v>
      </c>
      <c r="F1340" s="16" t="s">
        <v>122</v>
      </c>
      <c r="G1340" s="16">
        <v>2012</v>
      </c>
      <c r="H1340" s="50" t="s">
        <v>403</v>
      </c>
      <c r="I1340" s="16" t="s">
        <v>3423</v>
      </c>
      <c r="J1340" s="89"/>
      <c r="K1340"/>
      <c r="L1340"/>
      <c r="M1340"/>
    </row>
    <row r="1341" spans="1:13" hidden="1" x14ac:dyDescent="0.35">
      <c r="A1341" s="16">
        <v>821</v>
      </c>
      <c r="B1341" s="16" t="s">
        <v>3428</v>
      </c>
      <c r="C1341" s="16" t="s">
        <v>3417</v>
      </c>
      <c r="D1341" s="16" t="s">
        <v>124</v>
      </c>
      <c r="E1341" s="16" t="s">
        <v>1118</v>
      </c>
      <c r="F1341" s="16" t="s">
        <v>122</v>
      </c>
      <c r="G1341" s="16">
        <v>2013</v>
      </c>
      <c r="H1341" s="50" t="s">
        <v>403</v>
      </c>
      <c r="I1341" s="16" t="s">
        <v>3423</v>
      </c>
      <c r="J1341" s="89"/>
      <c r="K1341"/>
      <c r="L1341"/>
      <c r="M1341"/>
    </row>
    <row r="1342" spans="1:13" x14ac:dyDescent="0.35">
      <c r="A1342" s="16">
        <v>822</v>
      </c>
      <c r="B1342" s="16" t="s">
        <v>3429</v>
      </c>
      <c r="C1342" s="16" t="s">
        <v>3430</v>
      </c>
      <c r="D1342" s="16" t="s">
        <v>124</v>
      </c>
      <c r="E1342" s="16" t="s">
        <v>536</v>
      </c>
      <c r="F1342" s="16" t="s">
        <v>122</v>
      </c>
      <c r="G1342">
        <v>2016</v>
      </c>
      <c r="I1342" s="16" t="s">
        <v>3431</v>
      </c>
      <c r="J1342" s="89" t="s">
        <v>3432</v>
      </c>
      <c r="K1342"/>
      <c r="L1342"/>
      <c r="M1342"/>
    </row>
    <row r="1343" spans="1:13" x14ac:dyDescent="0.35">
      <c r="A1343" s="16">
        <v>822</v>
      </c>
      <c r="B1343" s="16" t="s">
        <v>3433</v>
      </c>
      <c r="C1343" s="16" t="s">
        <v>3434</v>
      </c>
      <c r="D1343" s="16" t="s">
        <v>124</v>
      </c>
      <c r="E1343" s="16" t="s">
        <v>536</v>
      </c>
      <c r="F1343" s="16" t="s">
        <v>122</v>
      </c>
      <c r="G1343">
        <v>2016</v>
      </c>
      <c r="I1343" s="16" t="s">
        <v>3431</v>
      </c>
      <c r="J1343" s="89"/>
      <c r="K1343"/>
      <c r="L1343"/>
      <c r="M1343"/>
    </row>
    <row r="1344" spans="1:13" x14ac:dyDescent="0.35">
      <c r="A1344" s="16">
        <v>822</v>
      </c>
      <c r="B1344" s="16" t="s">
        <v>3435</v>
      </c>
      <c r="C1344" s="16" t="s">
        <v>2858</v>
      </c>
      <c r="D1344" s="16" t="s">
        <v>124</v>
      </c>
      <c r="E1344" s="16" t="s">
        <v>536</v>
      </c>
      <c r="F1344" s="16" t="s">
        <v>3436</v>
      </c>
      <c r="G1344">
        <v>2016</v>
      </c>
      <c r="I1344" s="16" t="s">
        <v>534</v>
      </c>
      <c r="J1344" s="89" t="s">
        <v>3437</v>
      </c>
      <c r="K1344"/>
      <c r="L1344"/>
      <c r="M1344"/>
    </row>
    <row r="1345" spans="1:13" x14ac:dyDescent="0.35">
      <c r="A1345" s="16">
        <v>822</v>
      </c>
      <c r="B1345" s="16" t="s">
        <v>3438</v>
      </c>
      <c r="C1345" s="16" t="s">
        <v>633</v>
      </c>
      <c r="D1345" s="16" t="s">
        <v>124</v>
      </c>
      <c r="E1345" s="16" t="s">
        <v>536</v>
      </c>
      <c r="F1345" s="16" t="s">
        <v>3170</v>
      </c>
      <c r="G1345">
        <v>2016</v>
      </c>
      <c r="I1345" s="16" t="s">
        <v>534</v>
      </c>
      <c r="J1345" s="89" t="s">
        <v>3439</v>
      </c>
      <c r="K1345"/>
      <c r="L1345"/>
      <c r="M1345"/>
    </row>
    <row r="1346" spans="1:13" hidden="1" x14ac:dyDescent="0.35">
      <c r="A1346" s="16">
        <v>822</v>
      </c>
      <c r="B1346" s="16" t="s">
        <v>3440</v>
      </c>
      <c r="C1346" s="16" t="s">
        <v>700</v>
      </c>
      <c r="D1346" s="16" t="s">
        <v>124</v>
      </c>
      <c r="E1346" s="16" t="s">
        <v>536</v>
      </c>
      <c r="F1346" s="16" t="s">
        <v>122</v>
      </c>
      <c r="G1346">
        <v>2016</v>
      </c>
      <c r="I1346" s="16" t="s">
        <v>3441</v>
      </c>
      <c r="J1346" s="89"/>
      <c r="K1346"/>
      <c r="L1346"/>
      <c r="M1346"/>
    </row>
    <row r="1347" spans="1:13" x14ac:dyDescent="0.35">
      <c r="A1347" s="16">
        <v>822</v>
      </c>
      <c r="B1347" s="16" t="s">
        <v>3442</v>
      </c>
      <c r="C1347" s="16" t="s">
        <v>626</v>
      </c>
      <c r="D1347" s="16" t="s">
        <v>124</v>
      </c>
      <c r="E1347" s="16" t="s">
        <v>536</v>
      </c>
      <c r="G1347">
        <v>2016</v>
      </c>
      <c r="I1347" t="s">
        <v>3443</v>
      </c>
      <c r="J1347" s="89" t="s">
        <v>3444</v>
      </c>
      <c r="K1347"/>
      <c r="L1347"/>
      <c r="M1347"/>
    </row>
    <row r="1348" spans="1:13" x14ac:dyDescent="0.35">
      <c r="A1348" s="16">
        <v>822</v>
      </c>
      <c r="B1348" s="16" t="s">
        <v>3445</v>
      </c>
      <c r="C1348" s="16" t="s">
        <v>3446</v>
      </c>
      <c r="D1348" s="16" t="s">
        <v>124</v>
      </c>
      <c r="E1348" s="16" t="s">
        <v>536</v>
      </c>
      <c r="G1348">
        <v>2016</v>
      </c>
      <c r="I1348" t="s">
        <v>3443</v>
      </c>
      <c r="J1348" s="89" t="s">
        <v>3444</v>
      </c>
      <c r="K1348"/>
      <c r="L1348"/>
      <c r="M1348"/>
    </row>
    <row r="1349" spans="1:13" x14ac:dyDescent="0.35">
      <c r="A1349" s="16">
        <v>822</v>
      </c>
      <c r="B1349" s="16" t="s">
        <v>3447</v>
      </c>
      <c r="C1349" s="16" t="s">
        <v>3448</v>
      </c>
      <c r="D1349" s="16" t="s">
        <v>124</v>
      </c>
      <c r="E1349" s="16" t="s">
        <v>536</v>
      </c>
      <c r="G1349">
        <v>2016</v>
      </c>
      <c r="I1349" t="s">
        <v>3443</v>
      </c>
      <c r="J1349" s="89" t="s">
        <v>3444</v>
      </c>
      <c r="K1349"/>
      <c r="L1349"/>
      <c r="M1349"/>
    </row>
    <row r="1350" spans="1:13" hidden="1" x14ac:dyDescent="0.35">
      <c r="A1350" s="16">
        <v>27</v>
      </c>
      <c r="B1350" s="16" t="s">
        <v>3568</v>
      </c>
      <c r="C1350" s="16" t="s">
        <v>656</v>
      </c>
      <c r="D1350" s="16" t="s">
        <v>130</v>
      </c>
      <c r="E1350" s="16" t="s">
        <v>1021</v>
      </c>
      <c r="F1350" s="16" t="s">
        <v>413</v>
      </c>
      <c r="G1350" s="16" t="s">
        <v>3569</v>
      </c>
      <c r="H1350" s="50" t="s">
        <v>1330</v>
      </c>
      <c r="I1350" s="16" t="s">
        <v>3570</v>
      </c>
      <c r="J1350" s="16" t="s">
        <v>3571</v>
      </c>
    </row>
    <row r="1351" spans="1:13" hidden="1" x14ac:dyDescent="0.35">
      <c r="A1351" s="16">
        <v>27</v>
      </c>
      <c r="B1351" s="16" t="s">
        <v>3572</v>
      </c>
      <c r="C1351" s="16" t="s">
        <v>656</v>
      </c>
      <c r="D1351" s="16" t="s">
        <v>130</v>
      </c>
      <c r="E1351" s="16" t="s">
        <v>1021</v>
      </c>
      <c r="F1351" s="16" t="s">
        <v>413</v>
      </c>
      <c r="G1351" s="16" t="s">
        <v>3569</v>
      </c>
      <c r="H1351" s="50" t="s">
        <v>1330</v>
      </c>
      <c r="I1351" s="16" t="s">
        <v>3570</v>
      </c>
      <c r="J1351" s="16" t="s">
        <v>3571</v>
      </c>
    </row>
    <row r="1352" spans="1:13" hidden="1" x14ac:dyDescent="0.35">
      <c r="A1352" s="16">
        <v>27</v>
      </c>
      <c r="B1352" s="16" t="s">
        <v>3573</v>
      </c>
      <c r="C1352" s="16" t="s">
        <v>656</v>
      </c>
      <c r="D1352" s="16" t="s">
        <v>130</v>
      </c>
      <c r="E1352" s="16" t="s">
        <v>809</v>
      </c>
      <c r="F1352" s="16" t="s">
        <v>413</v>
      </c>
      <c r="G1352" s="16" t="s">
        <v>3569</v>
      </c>
      <c r="H1352" s="50" t="s">
        <v>1330</v>
      </c>
      <c r="I1352" s="16" t="s">
        <v>3574</v>
      </c>
      <c r="J1352" s="16" t="s">
        <v>3575</v>
      </c>
    </row>
    <row r="1353" spans="1:13" hidden="1" x14ac:dyDescent="0.35">
      <c r="A1353" s="16">
        <v>27</v>
      </c>
      <c r="B1353" s="16" t="s">
        <v>3576</v>
      </c>
      <c r="C1353" s="16" t="s">
        <v>633</v>
      </c>
      <c r="D1353" s="16" t="s">
        <v>130</v>
      </c>
      <c r="E1353" s="16" t="s">
        <v>1021</v>
      </c>
      <c r="F1353" s="16" t="s">
        <v>413</v>
      </c>
      <c r="G1353" s="16" t="s">
        <v>3569</v>
      </c>
      <c r="H1353" s="50" t="s">
        <v>1330</v>
      </c>
      <c r="I1353" s="16" t="s">
        <v>3577</v>
      </c>
      <c r="J1353" s="16" t="s">
        <v>3578</v>
      </c>
    </row>
    <row r="1354" spans="1:13" hidden="1" x14ac:dyDescent="0.35">
      <c r="A1354" s="16">
        <v>27</v>
      </c>
      <c r="B1354" s="16" t="s">
        <v>3579</v>
      </c>
      <c r="C1354" s="16" t="s">
        <v>3580</v>
      </c>
      <c r="D1354" s="16" t="s">
        <v>130</v>
      </c>
      <c r="E1354" s="16" t="s">
        <v>1021</v>
      </c>
      <c r="F1354" s="16" t="s">
        <v>553</v>
      </c>
      <c r="G1354" s="16" t="s">
        <v>3569</v>
      </c>
      <c r="H1354" s="50" t="s">
        <v>1330</v>
      </c>
      <c r="I1354" s="16" t="s">
        <v>3581</v>
      </c>
      <c r="J1354" s="16" t="s">
        <v>3582</v>
      </c>
    </row>
    <row r="1355" spans="1:13" hidden="1" x14ac:dyDescent="0.35">
      <c r="A1355" s="16">
        <v>123</v>
      </c>
      <c r="B1355" s="16" t="s">
        <v>3583</v>
      </c>
      <c r="C1355" s="16" t="s">
        <v>633</v>
      </c>
      <c r="D1355" s="16" t="s">
        <v>124</v>
      </c>
      <c r="E1355" s="16" t="s">
        <v>809</v>
      </c>
      <c r="F1355" s="16" t="s">
        <v>3584</v>
      </c>
      <c r="G1355" s="16" t="s">
        <v>1477</v>
      </c>
      <c r="H1355" s="50" t="s">
        <v>1330</v>
      </c>
      <c r="I1355" s="16" t="s">
        <v>3585</v>
      </c>
      <c r="J1355" s="16" t="s">
        <v>3586</v>
      </c>
    </row>
    <row r="1356" spans="1:13" hidden="1" x14ac:dyDescent="0.35">
      <c r="A1356" s="16">
        <v>123</v>
      </c>
      <c r="B1356" s="16" t="s">
        <v>3587</v>
      </c>
      <c r="C1356" s="16" t="s">
        <v>633</v>
      </c>
      <c r="D1356" s="16" t="s">
        <v>124</v>
      </c>
      <c r="E1356" s="16" t="s">
        <v>813</v>
      </c>
      <c r="F1356" s="16" t="s">
        <v>3584</v>
      </c>
      <c r="G1356" s="16" t="s">
        <v>1477</v>
      </c>
      <c r="H1356" s="50" t="s">
        <v>1330</v>
      </c>
      <c r="I1356" s="16" t="s">
        <v>3585</v>
      </c>
      <c r="J1356" s="16" t="s">
        <v>3588</v>
      </c>
    </row>
    <row r="1357" spans="1:13" hidden="1" x14ac:dyDescent="0.35">
      <c r="A1357" s="16">
        <v>123</v>
      </c>
      <c r="B1357" s="16" t="s">
        <v>3589</v>
      </c>
      <c r="C1357" s="16" t="s">
        <v>633</v>
      </c>
      <c r="D1357" s="16" t="s">
        <v>124</v>
      </c>
      <c r="E1357" s="16" t="s">
        <v>813</v>
      </c>
      <c r="F1357" s="16" t="s">
        <v>3584</v>
      </c>
      <c r="G1357" s="16" t="s">
        <v>1477</v>
      </c>
      <c r="H1357" s="50" t="s">
        <v>1330</v>
      </c>
      <c r="I1357" s="16" t="s">
        <v>3585</v>
      </c>
      <c r="J1357" s="16" t="s">
        <v>3590</v>
      </c>
    </row>
    <row r="1358" spans="1:13" hidden="1" x14ac:dyDescent="0.35">
      <c r="A1358" s="16">
        <v>123</v>
      </c>
      <c r="B1358" s="16" t="s">
        <v>3591</v>
      </c>
      <c r="C1358" s="16" t="s">
        <v>2067</v>
      </c>
      <c r="D1358" s="16" t="s">
        <v>124</v>
      </c>
      <c r="E1358" s="16" t="s">
        <v>813</v>
      </c>
      <c r="F1358" s="16" t="s">
        <v>3584</v>
      </c>
      <c r="G1358" s="16" t="s">
        <v>1477</v>
      </c>
      <c r="H1358" s="50" t="s">
        <v>1330</v>
      </c>
      <c r="I1358" s="16" t="s">
        <v>3585</v>
      </c>
      <c r="J1358" s="16" t="s">
        <v>3590</v>
      </c>
    </row>
    <row r="1359" spans="1:13" hidden="1" x14ac:dyDescent="0.35">
      <c r="A1359" s="16">
        <v>123</v>
      </c>
      <c r="B1359" s="16" t="s">
        <v>3592</v>
      </c>
      <c r="C1359" s="16" t="s">
        <v>3593</v>
      </c>
      <c r="D1359" s="16" t="s">
        <v>124</v>
      </c>
      <c r="E1359" s="16" t="s">
        <v>813</v>
      </c>
      <c r="F1359" s="16" t="s">
        <v>3584</v>
      </c>
      <c r="G1359" s="16" t="s">
        <v>1477</v>
      </c>
      <c r="H1359" s="50" t="s">
        <v>1330</v>
      </c>
      <c r="I1359" s="16" t="s">
        <v>3585</v>
      </c>
      <c r="J1359" s="16" t="s">
        <v>3590</v>
      </c>
    </row>
    <row r="1360" spans="1:13" hidden="1" x14ac:dyDescent="0.35">
      <c r="A1360" s="16">
        <v>123</v>
      </c>
      <c r="B1360" s="16" t="s">
        <v>3594</v>
      </c>
      <c r="C1360" s="16" t="s">
        <v>3593</v>
      </c>
      <c r="D1360" s="16" t="s">
        <v>124</v>
      </c>
      <c r="E1360" s="16" t="s">
        <v>813</v>
      </c>
      <c r="F1360" s="16" t="s">
        <v>3584</v>
      </c>
      <c r="G1360" s="16" t="s">
        <v>1477</v>
      </c>
      <c r="H1360" s="50" t="s">
        <v>1330</v>
      </c>
      <c r="I1360" s="16" t="s">
        <v>3585</v>
      </c>
      <c r="J1360" s="16" t="s">
        <v>3590</v>
      </c>
    </row>
    <row r="1361" spans="1:10" hidden="1" x14ac:dyDescent="0.35">
      <c r="A1361" s="16">
        <v>123</v>
      </c>
      <c r="B1361" s="16" t="s">
        <v>3595</v>
      </c>
      <c r="C1361" s="16" t="s">
        <v>3593</v>
      </c>
      <c r="D1361" s="16" t="s">
        <v>124</v>
      </c>
      <c r="E1361" s="16" t="s">
        <v>813</v>
      </c>
      <c r="F1361" s="16" t="s">
        <v>3584</v>
      </c>
      <c r="G1361" s="16" t="s">
        <v>1477</v>
      </c>
      <c r="H1361" s="50" t="s">
        <v>1330</v>
      </c>
      <c r="I1361" s="16" t="s">
        <v>3585</v>
      </c>
      <c r="J1361" s="16" t="s">
        <v>3590</v>
      </c>
    </row>
    <row r="1362" spans="1:10" hidden="1" x14ac:dyDescent="0.35">
      <c r="A1362" s="16">
        <v>123</v>
      </c>
      <c r="B1362" s="16" t="s">
        <v>3596</v>
      </c>
      <c r="C1362" s="16" t="s">
        <v>3597</v>
      </c>
      <c r="D1362" s="16" t="s">
        <v>124</v>
      </c>
      <c r="E1362" s="16" t="s">
        <v>813</v>
      </c>
      <c r="F1362" s="16" t="s">
        <v>3584</v>
      </c>
      <c r="G1362" s="16" t="s">
        <v>1477</v>
      </c>
      <c r="H1362" s="50" t="s">
        <v>1330</v>
      </c>
      <c r="I1362" s="16" t="s">
        <v>3585</v>
      </c>
      <c r="J1362" s="16" t="s">
        <v>3598</v>
      </c>
    </row>
    <row r="1363" spans="1:10" hidden="1" x14ac:dyDescent="0.35">
      <c r="A1363" s="16">
        <v>123</v>
      </c>
      <c r="B1363" s="16" t="s">
        <v>2085</v>
      </c>
      <c r="C1363" s="16" t="s">
        <v>633</v>
      </c>
      <c r="D1363" s="16" t="s">
        <v>130</v>
      </c>
      <c r="E1363" s="16" t="s">
        <v>813</v>
      </c>
      <c r="G1363" s="16">
        <v>2008</v>
      </c>
      <c r="H1363" s="50" t="s">
        <v>1330</v>
      </c>
      <c r="I1363" s="16" t="s">
        <v>3599</v>
      </c>
      <c r="J1363" s="16" t="s">
        <v>3600</v>
      </c>
    </row>
    <row r="1364" spans="1:10" hidden="1" x14ac:dyDescent="0.35">
      <c r="A1364" s="16">
        <v>123</v>
      </c>
      <c r="B1364" s="16" t="s">
        <v>3601</v>
      </c>
      <c r="C1364" s="16" t="s">
        <v>633</v>
      </c>
      <c r="D1364" s="16" t="s">
        <v>130</v>
      </c>
      <c r="E1364" s="16" t="s">
        <v>813</v>
      </c>
      <c r="G1364" s="16">
        <v>2008</v>
      </c>
      <c r="H1364" s="50" t="s">
        <v>1330</v>
      </c>
      <c r="I1364" s="16" t="s">
        <v>3599</v>
      </c>
      <c r="J1364" s="16" t="s">
        <v>3600</v>
      </c>
    </row>
    <row r="1365" spans="1:10" hidden="1" x14ac:dyDescent="0.35">
      <c r="A1365" s="16">
        <v>123</v>
      </c>
      <c r="B1365" s="16" t="s">
        <v>3602</v>
      </c>
      <c r="C1365" s="16" t="s">
        <v>633</v>
      </c>
      <c r="D1365" s="16" t="s">
        <v>130</v>
      </c>
      <c r="E1365" s="16" t="s">
        <v>813</v>
      </c>
      <c r="G1365" s="16">
        <v>2008</v>
      </c>
      <c r="H1365" s="50" t="s">
        <v>1330</v>
      </c>
      <c r="I1365" s="16" t="s">
        <v>3599</v>
      </c>
      <c r="J1365" s="16" t="s">
        <v>3600</v>
      </c>
    </row>
    <row r="1366" spans="1:10" hidden="1" x14ac:dyDescent="0.35">
      <c r="A1366" s="16">
        <v>123</v>
      </c>
      <c r="B1366" s="16" t="s">
        <v>3596</v>
      </c>
      <c r="C1366" s="16" t="s">
        <v>3597</v>
      </c>
      <c r="D1366" s="16" t="s">
        <v>130</v>
      </c>
      <c r="E1366" s="16" t="s">
        <v>813</v>
      </c>
      <c r="G1366" s="16" t="s">
        <v>3603</v>
      </c>
      <c r="H1366" s="50" t="s">
        <v>1330</v>
      </c>
      <c r="J1366" s="16" t="s">
        <v>3604</v>
      </c>
    </row>
    <row r="1367" spans="1:10" hidden="1" x14ac:dyDescent="0.35">
      <c r="A1367" s="16">
        <v>123</v>
      </c>
      <c r="B1367" s="16" t="s">
        <v>3605</v>
      </c>
      <c r="C1367" s="16" t="s">
        <v>2067</v>
      </c>
      <c r="D1367" s="16" t="s">
        <v>130</v>
      </c>
      <c r="E1367" s="16" t="s">
        <v>813</v>
      </c>
      <c r="G1367" s="16">
        <v>2008</v>
      </c>
      <c r="H1367" s="50" t="s">
        <v>1330</v>
      </c>
      <c r="I1367" s="16" t="s">
        <v>3599</v>
      </c>
      <c r="J1367" s="16" t="s">
        <v>3606</v>
      </c>
    </row>
    <row r="1368" spans="1:10" hidden="1" x14ac:dyDescent="0.35">
      <c r="A1368" s="16">
        <v>123</v>
      </c>
      <c r="B1368" s="16" t="s">
        <v>3607</v>
      </c>
      <c r="C1368" s="16" t="s">
        <v>2067</v>
      </c>
      <c r="D1368" s="16" t="s">
        <v>130</v>
      </c>
      <c r="E1368" s="16" t="s">
        <v>813</v>
      </c>
      <c r="G1368" s="16" t="s">
        <v>3603</v>
      </c>
      <c r="H1368" s="50" t="s">
        <v>1330</v>
      </c>
      <c r="J1368" s="16" t="s">
        <v>3604</v>
      </c>
    </row>
    <row r="1369" spans="1:10" hidden="1" x14ac:dyDescent="0.35">
      <c r="A1369" s="16">
        <v>123</v>
      </c>
      <c r="B1369" s="16" t="s">
        <v>3608</v>
      </c>
      <c r="C1369" s="16" t="s">
        <v>2067</v>
      </c>
      <c r="D1369" s="16" t="s">
        <v>130</v>
      </c>
      <c r="E1369" s="16" t="s">
        <v>813</v>
      </c>
      <c r="G1369" s="16">
        <v>2008</v>
      </c>
      <c r="H1369" s="50" t="s">
        <v>1330</v>
      </c>
      <c r="I1369" s="16" t="s">
        <v>3599</v>
      </c>
      <c r="J1369" s="16" t="s">
        <v>3606</v>
      </c>
    </row>
    <row r="1370" spans="1:10" hidden="1" x14ac:dyDescent="0.35">
      <c r="A1370" s="16">
        <v>123</v>
      </c>
      <c r="B1370" s="16" t="s">
        <v>3609</v>
      </c>
      <c r="C1370" s="16" t="s">
        <v>2067</v>
      </c>
      <c r="D1370" s="16" t="s">
        <v>130</v>
      </c>
      <c r="E1370" s="16" t="s">
        <v>813</v>
      </c>
      <c r="G1370" s="16" t="s">
        <v>3603</v>
      </c>
      <c r="H1370" s="50" t="s">
        <v>1330</v>
      </c>
      <c r="J1370" s="16" t="s">
        <v>3604</v>
      </c>
    </row>
    <row r="1371" spans="1:10" hidden="1" x14ac:dyDescent="0.35">
      <c r="A1371" s="16">
        <v>123</v>
      </c>
      <c r="B1371" s="16" t="s">
        <v>3610</v>
      </c>
      <c r="C1371" s="16" t="s">
        <v>2067</v>
      </c>
      <c r="D1371" s="16" t="s">
        <v>130</v>
      </c>
      <c r="E1371" s="16" t="s">
        <v>813</v>
      </c>
      <c r="G1371" s="16">
        <v>2008</v>
      </c>
      <c r="H1371" s="50" t="s">
        <v>1330</v>
      </c>
      <c r="I1371" s="16" t="s">
        <v>3599</v>
      </c>
      <c r="J1371" s="16" t="s">
        <v>3611</v>
      </c>
    </row>
    <row r="1372" spans="1:10" hidden="1" x14ac:dyDescent="0.35">
      <c r="A1372" s="16">
        <v>123</v>
      </c>
      <c r="B1372" s="16" t="s">
        <v>3612</v>
      </c>
      <c r="C1372" s="16" t="s">
        <v>2067</v>
      </c>
      <c r="D1372" s="16" t="s">
        <v>130</v>
      </c>
      <c r="E1372" s="16" t="s">
        <v>813</v>
      </c>
      <c r="G1372" s="16">
        <v>2008</v>
      </c>
      <c r="H1372" s="50" t="s">
        <v>1330</v>
      </c>
      <c r="I1372" s="16" t="s">
        <v>3599</v>
      </c>
      <c r="J1372" s="16" t="s">
        <v>3611</v>
      </c>
    </row>
    <row r="1373" spans="1:10" hidden="1" x14ac:dyDescent="0.35">
      <c r="A1373" s="16">
        <v>123</v>
      </c>
      <c r="B1373" s="16" t="s">
        <v>3613</v>
      </c>
      <c r="C1373" s="16" t="s">
        <v>3597</v>
      </c>
      <c r="D1373" s="16" t="s">
        <v>130</v>
      </c>
      <c r="E1373" s="16" t="s">
        <v>813</v>
      </c>
      <c r="G1373" s="16">
        <v>2008</v>
      </c>
      <c r="H1373" s="50" t="s">
        <v>1330</v>
      </c>
      <c r="I1373" s="16" t="s">
        <v>3599</v>
      </c>
      <c r="J1373" s="16" t="s">
        <v>3614</v>
      </c>
    </row>
    <row r="1374" spans="1:10" hidden="1" x14ac:dyDescent="0.35">
      <c r="A1374" s="16">
        <v>123</v>
      </c>
      <c r="B1374" s="16" t="s">
        <v>3615</v>
      </c>
      <c r="C1374" s="16" t="s">
        <v>2067</v>
      </c>
      <c r="D1374" s="16" t="s">
        <v>130</v>
      </c>
      <c r="E1374" s="16" t="s">
        <v>813</v>
      </c>
      <c r="G1374" s="16">
        <v>2008</v>
      </c>
      <c r="H1374" s="50" t="s">
        <v>1330</v>
      </c>
      <c r="I1374" s="16" t="s">
        <v>3599</v>
      </c>
      <c r="J1374" s="16" t="s">
        <v>3611</v>
      </c>
    </row>
    <row r="1375" spans="1:10" hidden="1" x14ac:dyDescent="0.35">
      <c r="A1375" s="16">
        <v>123</v>
      </c>
      <c r="B1375" s="16" t="s">
        <v>1966</v>
      </c>
      <c r="C1375" s="16" t="s">
        <v>3616</v>
      </c>
      <c r="D1375" s="16" t="s">
        <v>130</v>
      </c>
      <c r="E1375" s="16" t="s">
        <v>813</v>
      </c>
      <c r="G1375" s="16">
        <v>2008</v>
      </c>
      <c r="H1375" s="50" t="s">
        <v>1330</v>
      </c>
      <c r="I1375" s="16" t="s">
        <v>3599</v>
      </c>
      <c r="J1375" s="16" t="s">
        <v>3606</v>
      </c>
    </row>
    <row r="1376" spans="1:10" hidden="1" x14ac:dyDescent="0.35">
      <c r="A1376" s="16">
        <v>123</v>
      </c>
      <c r="B1376" s="16" t="s">
        <v>3162</v>
      </c>
      <c r="C1376" s="16" t="s">
        <v>3617</v>
      </c>
      <c r="D1376" s="16" t="s">
        <v>130</v>
      </c>
      <c r="E1376" s="16" t="s">
        <v>809</v>
      </c>
      <c r="G1376" s="16">
        <v>2008</v>
      </c>
      <c r="H1376" s="50" t="s">
        <v>1330</v>
      </c>
      <c r="I1376" s="16" t="s">
        <v>3599</v>
      </c>
      <c r="J1376" s="16" t="s">
        <v>3606</v>
      </c>
    </row>
    <row r="1377" spans="1:10" hidden="1" x14ac:dyDescent="0.35">
      <c r="A1377" s="16">
        <v>126</v>
      </c>
      <c r="B1377" s="16" t="s">
        <v>3618</v>
      </c>
      <c r="C1377" s="16" t="s">
        <v>3619</v>
      </c>
      <c r="D1377" s="16" t="s">
        <v>198</v>
      </c>
      <c r="E1377" s="16" t="s">
        <v>538</v>
      </c>
      <c r="G1377" s="16" t="s">
        <v>1453</v>
      </c>
      <c r="H1377" s="50" t="s">
        <v>1330</v>
      </c>
      <c r="I1377" s="16" t="s">
        <v>3620</v>
      </c>
      <c r="J1377" s="16" t="s">
        <v>3621</v>
      </c>
    </row>
    <row r="1378" spans="1:10" hidden="1" x14ac:dyDescent="0.35">
      <c r="A1378" s="16">
        <v>151</v>
      </c>
      <c r="B1378" s="16" t="s">
        <v>2062</v>
      </c>
      <c r="C1378" s="16" t="s">
        <v>3622</v>
      </c>
      <c r="D1378" s="16" t="s">
        <v>130</v>
      </c>
      <c r="E1378" s="16" t="s">
        <v>809</v>
      </c>
      <c r="F1378" s="16" t="s">
        <v>122</v>
      </c>
      <c r="G1378" s="16" t="s">
        <v>1456</v>
      </c>
      <c r="H1378" s="50" t="s">
        <v>1330</v>
      </c>
      <c r="I1378" s="16" t="s">
        <v>3623</v>
      </c>
      <c r="J1378" s="16" t="s">
        <v>3624</v>
      </c>
    </row>
    <row r="1379" spans="1:10" hidden="1" x14ac:dyDescent="0.35">
      <c r="A1379" s="16">
        <v>151</v>
      </c>
      <c r="B1379" s="16" t="s">
        <v>3625</v>
      </c>
      <c r="C1379" s="16" t="s">
        <v>3626</v>
      </c>
      <c r="D1379" s="16" t="s">
        <v>130</v>
      </c>
      <c r="E1379" s="16" t="s">
        <v>809</v>
      </c>
      <c r="F1379" s="16" t="s">
        <v>122</v>
      </c>
      <c r="G1379" s="16" t="s">
        <v>1456</v>
      </c>
      <c r="H1379" s="50" t="s">
        <v>1330</v>
      </c>
      <c r="I1379" s="16" t="s">
        <v>3623</v>
      </c>
      <c r="J1379" s="16" t="s">
        <v>3624</v>
      </c>
    </row>
    <row r="1380" spans="1:10" hidden="1" x14ac:dyDescent="0.35">
      <c r="A1380" s="16">
        <v>151</v>
      </c>
      <c r="B1380" s="16" t="s">
        <v>3627</v>
      </c>
      <c r="C1380" s="16" t="s">
        <v>3626</v>
      </c>
      <c r="D1380" s="16" t="s">
        <v>130</v>
      </c>
      <c r="E1380" s="16" t="s">
        <v>813</v>
      </c>
      <c r="F1380" s="16" t="s">
        <v>122</v>
      </c>
      <c r="G1380" s="16" t="s">
        <v>1456</v>
      </c>
      <c r="H1380" s="50" t="s">
        <v>1330</v>
      </c>
      <c r="I1380" s="16" t="s">
        <v>3623</v>
      </c>
      <c r="J1380" s="16" t="s">
        <v>3624</v>
      </c>
    </row>
    <row r="1381" spans="1:10" hidden="1" x14ac:dyDescent="0.35">
      <c r="A1381" s="16">
        <v>151</v>
      </c>
      <c r="B1381" s="16" t="s">
        <v>2085</v>
      </c>
      <c r="C1381" s="16" t="s">
        <v>3626</v>
      </c>
      <c r="D1381" s="16" t="s">
        <v>130</v>
      </c>
      <c r="E1381" s="16" t="s">
        <v>813</v>
      </c>
      <c r="F1381" s="16" t="s">
        <v>122</v>
      </c>
      <c r="G1381" s="16" t="s">
        <v>1456</v>
      </c>
      <c r="H1381" s="50" t="s">
        <v>1330</v>
      </c>
      <c r="I1381" s="16" t="s">
        <v>3623</v>
      </c>
      <c r="J1381" s="16" t="s">
        <v>3624</v>
      </c>
    </row>
    <row r="1382" spans="1:10" hidden="1" x14ac:dyDescent="0.35">
      <c r="A1382" s="16">
        <v>151</v>
      </c>
      <c r="B1382" s="16" t="s">
        <v>3628</v>
      </c>
      <c r="C1382" s="16" t="s">
        <v>3626</v>
      </c>
      <c r="D1382" s="16" t="s">
        <v>130</v>
      </c>
      <c r="E1382" s="16" t="s">
        <v>813</v>
      </c>
      <c r="F1382" s="16" t="s">
        <v>122</v>
      </c>
      <c r="G1382" s="16" t="s">
        <v>1456</v>
      </c>
      <c r="H1382" s="50" t="s">
        <v>1330</v>
      </c>
      <c r="I1382" s="16" t="s">
        <v>3623</v>
      </c>
      <c r="J1382" s="16" t="s">
        <v>3624</v>
      </c>
    </row>
    <row r="1383" spans="1:10" hidden="1" x14ac:dyDescent="0.35">
      <c r="A1383" s="16">
        <v>151</v>
      </c>
      <c r="B1383" s="16" t="s">
        <v>1966</v>
      </c>
      <c r="C1383" s="16" t="s">
        <v>3629</v>
      </c>
      <c r="D1383" s="16" t="s">
        <v>130</v>
      </c>
      <c r="E1383" s="16" t="s">
        <v>813</v>
      </c>
      <c r="F1383" s="16" t="s">
        <v>122</v>
      </c>
      <c r="G1383" s="16" t="s">
        <v>1456</v>
      </c>
      <c r="H1383" s="50" t="s">
        <v>1330</v>
      </c>
      <c r="I1383" s="16" t="s">
        <v>3623</v>
      </c>
      <c r="J1383" s="16" t="s">
        <v>3624</v>
      </c>
    </row>
    <row r="1384" spans="1:10" hidden="1" x14ac:dyDescent="0.35">
      <c r="A1384" s="16">
        <v>151</v>
      </c>
      <c r="B1384" s="16" t="s">
        <v>3630</v>
      </c>
      <c r="C1384" s="16" t="s">
        <v>2111</v>
      </c>
      <c r="D1384" s="16" t="s">
        <v>130</v>
      </c>
      <c r="E1384" s="16" t="s">
        <v>813</v>
      </c>
      <c r="F1384" s="16" t="s">
        <v>122</v>
      </c>
      <c r="G1384" s="16" t="s">
        <v>1456</v>
      </c>
      <c r="H1384" s="50" t="s">
        <v>1330</v>
      </c>
      <c r="I1384" s="16" t="s">
        <v>3623</v>
      </c>
      <c r="J1384" s="16" t="s">
        <v>3624</v>
      </c>
    </row>
    <row r="1385" spans="1:10" hidden="1" x14ac:dyDescent="0.35">
      <c r="A1385" s="16">
        <v>151</v>
      </c>
      <c r="B1385" s="16" t="s">
        <v>3631</v>
      </c>
      <c r="C1385" s="16" t="s">
        <v>1936</v>
      </c>
      <c r="D1385" s="16" t="s">
        <v>130</v>
      </c>
      <c r="E1385" s="16" t="s">
        <v>813</v>
      </c>
      <c r="F1385" s="16" t="s">
        <v>122</v>
      </c>
      <c r="G1385" s="16" t="s">
        <v>1456</v>
      </c>
      <c r="H1385" s="50" t="s">
        <v>1330</v>
      </c>
      <c r="I1385" s="16" t="s">
        <v>3623</v>
      </c>
      <c r="J1385" s="16" t="s">
        <v>3624</v>
      </c>
    </row>
    <row r="1386" spans="1:10" hidden="1" x14ac:dyDescent="0.35">
      <c r="A1386" s="16">
        <v>151</v>
      </c>
      <c r="B1386" s="16" t="s">
        <v>3632</v>
      </c>
      <c r="C1386" s="16" t="s">
        <v>1936</v>
      </c>
      <c r="D1386" s="16" t="s">
        <v>130</v>
      </c>
      <c r="E1386" s="16" t="s">
        <v>813</v>
      </c>
      <c r="F1386" s="16" t="s">
        <v>122</v>
      </c>
      <c r="G1386" s="16" t="s">
        <v>1456</v>
      </c>
      <c r="H1386" s="50" t="s">
        <v>1330</v>
      </c>
      <c r="I1386" s="16" t="s">
        <v>3623</v>
      </c>
      <c r="J1386" s="16" t="s">
        <v>3624</v>
      </c>
    </row>
    <row r="1387" spans="1:10" hidden="1" x14ac:dyDescent="0.35">
      <c r="A1387" s="16">
        <v>151</v>
      </c>
      <c r="B1387" s="16" t="s">
        <v>3633</v>
      </c>
      <c r="C1387" s="16" t="s">
        <v>1936</v>
      </c>
      <c r="D1387" s="16" t="s">
        <v>130</v>
      </c>
      <c r="E1387" s="16" t="s">
        <v>813</v>
      </c>
      <c r="F1387" s="16" t="s">
        <v>122</v>
      </c>
      <c r="G1387" s="16" t="s">
        <v>1456</v>
      </c>
      <c r="H1387" s="50" t="s">
        <v>1330</v>
      </c>
      <c r="I1387" s="16" t="s">
        <v>3623</v>
      </c>
      <c r="J1387" s="16" t="s">
        <v>3624</v>
      </c>
    </row>
    <row r="1388" spans="1:10" hidden="1" x14ac:dyDescent="0.35">
      <c r="A1388" s="16">
        <v>151</v>
      </c>
      <c r="B1388" s="16" t="s">
        <v>3634</v>
      </c>
      <c r="C1388" s="16" t="s">
        <v>1936</v>
      </c>
      <c r="D1388" s="16" t="s">
        <v>130</v>
      </c>
      <c r="E1388" s="16" t="s">
        <v>813</v>
      </c>
      <c r="F1388" s="16" t="s">
        <v>122</v>
      </c>
      <c r="G1388" s="16" t="s">
        <v>1456</v>
      </c>
      <c r="H1388" s="50" t="s">
        <v>1330</v>
      </c>
      <c r="I1388" s="16" t="s">
        <v>3623</v>
      </c>
      <c r="J1388" s="16" t="s">
        <v>3624</v>
      </c>
    </row>
    <row r="1389" spans="1:10" hidden="1" x14ac:dyDescent="0.35">
      <c r="A1389" s="16">
        <v>151</v>
      </c>
      <c r="B1389" s="16" t="s">
        <v>3635</v>
      </c>
      <c r="C1389" s="16" t="s">
        <v>1936</v>
      </c>
      <c r="D1389" s="16" t="s">
        <v>130</v>
      </c>
      <c r="E1389" s="16" t="s">
        <v>813</v>
      </c>
      <c r="F1389" s="16" t="s">
        <v>122</v>
      </c>
      <c r="G1389" s="16" t="s">
        <v>1456</v>
      </c>
      <c r="H1389" s="50" t="s">
        <v>1330</v>
      </c>
      <c r="I1389" s="16" t="s">
        <v>3623</v>
      </c>
      <c r="J1389" s="16" t="s">
        <v>3624</v>
      </c>
    </row>
    <row r="1390" spans="1:10" hidden="1" x14ac:dyDescent="0.35">
      <c r="A1390" s="16">
        <v>151</v>
      </c>
      <c r="B1390" s="16" t="s">
        <v>3636</v>
      </c>
      <c r="C1390" s="16" t="s">
        <v>1936</v>
      </c>
      <c r="D1390" s="16" t="s">
        <v>130</v>
      </c>
      <c r="E1390" s="16" t="s">
        <v>813</v>
      </c>
      <c r="F1390" s="16" t="s">
        <v>122</v>
      </c>
      <c r="G1390" s="16" t="s">
        <v>1456</v>
      </c>
      <c r="H1390" s="50" t="s">
        <v>1330</v>
      </c>
      <c r="I1390" s="16" t="s">
        <v>3623</v>
      </c>
      <c r="J1390" s="16" t="s">
        <v>3624</v>
      </c>
    </row>
    <row r="1391" spans="1:10" hidden="1" x14ac:dyDescent="0.35">
      <c r="A1391" s="16">
        <v>151</v>
      </c>
      <c r="B1391" s="16" t="s">
        <v>3637</v>
      </c>
      <c r="C1391" s="16" t="s">
        <v>1936</v>
      </c>
      <c r="D1391" s="16" t="s">
        <v>130</v>
      </c>
      <c r="E1391" s="16" t="s">
        <v>813</v>
      </c>
      <c r="F1391" s="16" t="s">
        <v>122</v>
      </c>
      <c r="G1391" s="16" t="s">
        <v>1456</v>
      </c>
      <c r="H1391" s="50" t="s">
        <v>1330</v>
      </c>
      <c r="I1391" s="16" t="s">
        <v>3623</v>
      </c>
      <c r="J1391" s="16" t="s">
        <v>3624</v>
      </c>
    </row>
    <row r="1392" spans="1:10" hidden="1" x14ac:dyDescent="0.35">
      <c r="A1392" s="16">
        <v>151</v>
      </c>
      <c r="B1392" s="16" t="s">
        <v>3638</v>
      </c>
      <c r="C1392" s="16" t="s">
        <v>1936</v>
      </c>
      <c r="D1392" s="16" t="s">
        <v>130</v>
      </c>
      <c r="E1392" s="16" t="s">
        <v>813</v>
      </c>
      <c r="F1392" s="16" t="s">
        <v>122</v>
      </c>
      <c r="G1392" s="16" t="s">
        <v>1456</v>
      </c>
      <c r="H1392" s="50" t="s">
        <v>1330</v>
      </c>
      <c r="I1392" s="16" t="s">
        <v>3623</v>
      </c>
      <c r="J1392" s="16" t="s">
        <v>3624</v>
      </c>
    </row>
    <row r="1393" spans="1:10" hidden="1" x14ac:dyDescent="0.35">
      <c r="A1393" s="16">
        <v>151</v>
      </c>
      <c r="B1393" s="16" t="s">
        <v>3639</v>
      </c>
      <c r="C1393" s="16" t="s">
        <v>1936</v>
      </c>
      <c r="D1393" s="16" t="s">
        <v>130</v>
      </c>
      <c r="E1393" s="16" t="s">
        <v>813</v>
      </c>
      <c r="F1393" s="16" t="s">
        <v>122</v>
      </c>
      <c r="G1393" s="16" t="s">
        <v>1456</v>
      </c>
      <c r="H1393" s="50" t="s">
        <v>1330</v>
      </c>
      <c r="I1393" s="16" t="s">
        <v>3623</v>
      </c>
      <c r="J1393" s="16" t="s">
        <v>3624</v>
      </c>
    </row>
    <row r="1394" spans="1:10" hidden="1" x14ac:dyDescent="0.35">
      <c r="A1394" s="16">
        <v>151</v>
      </c>
      <c r="B1394" s="16" t="s">
        <v>3640</v>
      </c>
      <c r="C1394" s="16" t="s">
        <v>1936</v>
      </c>
      <c r="D1394" s="16" t="s">
        <v>130</v>
      </c>
      <c r="E1394" s="16" t="s">
        <v>813</v>
      </c>
      <c r="F1394" s="16" t="s">
        <v>122</v>
      </c>
      <c r="G1394" s="16" t="s">
        <v>1456</v>
      </c>
      <c r="H1394" s="50" t="s">
        <v>1330</v>
      </c>
      <c r="I1394" s="16" t="s">
        <v>3623</v>
      </c>
      <c r="J1394" s="16" t="s">
        <v>3624</v>
      </c>
    </row>
    <row r="1395" spans="1:10" hidden="1" x14ac:dyDescent="0.35">
      <c r="A1395" s="16">
        <v>151</v>
      </c>
      <c r="B1395" s="16" t="s">
        <v>3641</v>
      </c>
      <c r="C1395" s="16" t="s">
        <v>1936</v>
      </c>
      <c r="D1395" s="16" t="s">
        <v>130</v>
      </c>
      <c r="E1395" s="16" t="s">
        <v>813</v>
      </c>
      <c r="F1395" s="16" t="s">
        <v>122</v>
      </c>
      <c r="G1395" s="16" t="s">
        <v>1456</v>
      </c>
      <c r="H1395" s="50" t="s">
        <v>1330</v>
      </c>
      <c r="I1395" s="16" t="s">
        <v>3623</v>
      </c>
      <c r="J1395" s="16" t="s">
        <v>3624</v>
      </c>
    </row>
    <row r="1396" spans="1:10" hidden="1" x14ac:dyDescent="0.35">
      <c r="A1396" s="16">
        <v>151</v>
      </c>
      <c r="B1396" s="16" t="s">
        <v>3642</v>
      </c>
      <c r="C1396" s="16" t="s">
        <v>1936</v>
      </c>
      <c r="D1396" s="16" t="s">
        <v>130</v>
      </c>
      <c r="E1396" s="16" t="s">
        <v>813</v>
      </c>
      <c r="F1396" s="16" t="s">
        <v>122</v>
      </c>
      <c r="G1396" s="16" t="s">
        <v>1456</v>
      </c>
      <c r="H1396" s="50" t="s">
        <v>1330</v>
      </c>
      <c r="I1396" s="16" t="s">
        <v>3623</v>
      </c>
      <c r="J1396" s="16" t="s">
        <v>3624</v>
      </c>
    </row>
    <row r="1397" spans="1:10" hidden="1" x14ac:dyDescent="0.35">
      <c r="A1397" s="16">
        <v>151</v>
      </c>
      <c r="B1397" s="16" t="s">
        <v>3643</v>
      </c>
      <c r="C1397" s="16" t="s">
        <v>1936</v>
      </c>
      <c r="D1397" s="16" t="s">
        <v>130</v>
      </c>
      <c r="E1397" s="16" t="s">
        <v>813</v>
      </c>
      <c r="F1397" s="16" t="s">
        <v>122</v>
      </c>
      <c r="G1397" s="16" t="s">
        <v>1456</v>
      </c>
      <c r="H1397" s="50" t="s">
        <v>1330</v>
      </c>
      <c r="I1397" s="16" t="s">
        <v>3623</v>
      </c>
      <c r="J1397" s="16" t="s">
        <v>3624</v>
      </c>
    </row>
    <row r="1398" spans="1:10" hidden="1" x14ac:dyDescent="0.35">
      <c r="A1398" s="16">
        <v>151</v>
      </c>
      <c r="B1398" s="16" t="s">
        <v>3644</v>
      </c>
      <c r="C1398" s="16" t="s">
        <v>1936</v>
      </c>
      <c r="D1398" s="16" t="s">
        <v>130</v>
      </c>
      <c r="E1398" s="16" t="s">
        <v>813</v>
      </c>
      <c r="F1398" s="16" t="s">
        <v>122</v>
      </c>
      <c r="G1398" s="16" t="s">
        <v>1456</v>
      </c>
      <c r="H1398" s="50" t="s">
        <v>1330</v>
      </c>
      <c r="I1398" s="16" t="s">
        <v>3623</v>
      </c>
      <c r="J1398" s="16" t="s">
        <v>3624</v>
      </c>
    </row>
    <row r="1399" spans="1:10" hidden="1" x14ac:dyDescent="0.35">
      <c r="A1399" s="16">
        <v>151</v>
      </c>
      <c r="B1399" s="16" t="s">
        <v>416</v>
      </c>
      <c r="C1399" s="16" t="s">
        <v>3597</v>
      </c>
      <c r="D1399" s="16" t="s">
        <v>130</v>
      </c>
      <c r="E1399" s="16" t="s">
        <v>813</v>
      </c>
      <c r="F1399" s="16" t="s">
        <v>122</v>
      </c>
      <c r="G1399" s="16" t="s">
        <v>1456</v>
      </c>
      <c r="H1399" s="50" t="s">
        <v>1330</v>
      </c>
      <c r="I1399" s="16" t="s">
        <v>3623</v>
      </c>
      <c r="J1399" s="16" t="s">
        <v>3624</v>
      </c>
    </row>
    <row r="1400" spans="1:10" hidden="1" x14ac:dyDescent="0.35">
      <c r="A1400" s="16">
        <v>151</v>
      </c>
      <c r="B1400" s="16" t="s">
        <v>3645</v>
      </c>
      <c r="C1400" s="16" t="s">
        <v>3597</v>
      </c>
      <c r="D1400" s="16" t="s">
        <v>130</v>
      </c>
      <c r="E1400" s="16" t="s">
        <v>813</v>
      </c>
      <c r="F1400" s="16" t="s">
        <v>122</v>
      </c>
      <c r="G1400" s="16" t="s">
        <v>1456</v>
      </c>
      <c r="H1400" s="50" t="s">
        <v>1330</v>
      </c>
      <c r="I1400" s="16" t="s">
        <v>3623</v>
      </c>
      <c r="J1400" s="16" t="s">
        <v>3624</v>
      </c>
    </row>
    <row r="1401" spans="1:10" hidden="1" x14ac:dyDescent="0.35">
      <c r="A1401" s="16">
        <v>151</v>
      </c>
      <c r="B1401" s="16" t="s">
        <v>3646</v>
      </c>
      <c r="C1401" s="16" t="s">
        <v>3597</v>
      </c>
      <c r="D1401" s="16" t="s">
        <v>130</v>
      </c>
      <c r="E1401" s="16" t="s">
        <v>813</v>
      </c>
      <c r="F1401" s="16" t="s">
        <v>122</v>
      </c>
      <c r="G1401" s="16" t="s">
        <v>1456</v>
      </c>
      <c r="H1401" s="50" t="s">
        <v>1330</v>
      </c>
      <c r="I1401" s="16" t="s">
        <v>3623</v>
      </c>
      <c r="J1401" s="16" t="s">
        <v>3624</v>
      </c>
    </row>
    <row r="1402" spans="1:10" hidden="1" x14ac:dyDescent="0.35">
      <c r="A1402" s="16">
        <v>151</v>
      </c>
      <c r="B1402" s="16" t="s">
        <v>3647</v>
      </c>
      <c r="C1402" s="16" t="s">
        <v>3597</v>
      </c>
      <c r="D1402" s="16" t="s">
        <v>130</v>
      </c>
      <c r="E1402" s="16" t="s">
        <v>813</v>
      </c>
      <c r="F1402" s="16" t="s">
        <v>122</v>
      </c>
      <c r="G1402" s="16" t="s">
        <v>1456</v>
      </c>
      <c r="H1402" s="50" t="s">
        <v>1330</v>
      </c>
      <c r="I1402" s="16" t="s">
        <v>3623</v>
      </c>
      <c r="J1402" s="16" t="s">
        <v>3624</v>
      </c>
    </row>
    <row r="1403" spans="1:10" hidden="1" x14ac:dyDescent="0.35">
      <c r="A1403" s="16">
        <v>156</v>
      </c>
      <c r="B1403" s="16" t="s">
        <v>3648</v>
      </c>
      <c r="C1403" s="16" t="s">
        <v>3597</v>
      </c>
      <c r="D1403" s="16" t="s">
        <v>130</v>
      </c>
      <c r="E1403" s="16" t="s">
        <v>539</v>
      </c>
      <c r="F1403" s="16" t="s">
        <v>122</v>
      </c>
      <c r="G1403" s="16" t="s">
        <v>1395</v>
      </c>
      <c r="H1403" s="50" t="s">
        <v>1330</v>
      </c>
      <c r="I1403" s="16" t="s">
        <v>3649</v>
      </c>
      <c r="J1403" s="16" t="s">
        <v>3650</v>
      </c>
    </row>
    <row r="1404" spans="1:10" hidden="1" x14ac:dyDescent="0.35">
      <c r="A1404" s="16">
        <v>156</v>
      </c>
      <c r="B1404" s="16" t="s">
        <v>3651</v>
      </c>
      <c r="C1404" s="16" t="s">
        <v>633</v>
      </c>
      <c r="D1404" s="16" t="s">
        <v>130</v>
      </c>
      <c r="E1404" s="16" t="s">
        <v>539</v>
      </c>
      <c r="F1404" s="16" t="s">
        <v>122</v>
      </c>
      <c r="G1404" s="16" t="s">
        <v>1395</v>
      </c>
      <c r="H1404" s="50" t="s">
        <v>1330</v>
      </c>
      <c r="I1404" s="16" t="s">
        <v>3649</v>
      </c>
      <c r="J1404" s="16" t="s">
        <v>3650</v>
      </c>
    </row>
    <row r="1405" spans="1:10" hidden="1" x14ac:dyDescent="0.35">
      <c r="A1405" s="16">
        <v>156</v>
      </c>
      <c r="B1405" s="16" t="s">
        <v>3652</v>
      </c>
      <c r="C1405" s="16" t="s">
        <v>3597</v>
      </c>
      <c r="D1405" s="16" t="s">
        <v>130</v>
      </c>
      <c r="E1405" s="16" t="s">
        <v>539</v>
      </c>
      <c r="F1405" s="16" t="s">
        <v>122</v>
      </c>
      <c r="G1405" s="16" t="s">
        <v>1395</v>
      </c>
      <c r="H1405" s="50" t="s">
        <v>1330</v>
      </c>
      <c r="I1405" s="16" t="s">
        <v>3649</v>
      </c>
      <c r="J1405" s="16" t="s">
        <v>3650</v>
      </c>
    </row>
    <row r="1406" spans="1:10" hidden="1" x14ac:dyDescent="0.35">
      <c r="A1406" s="16">
        <v>156</v>
      </c>
      <c r="B1406" s="16" t="s">
        <v>3653</v>
      </c>
      <c r="C1406" s="16" t="s">
        <v>633</v>
      </c>
      <c r="D1406" s="16" t="s">
        <v>130</v>
      </c>
      <c r="E1406" s="16" t="s">
        <v>539</v>
      </c>
      <c r="F1406" s="16" t="s">
        <v>122</v>
      </c>
      <c r="G1406" s="16" t="s">
        <v>1395</v>
      </c>
      <c r="H1406" s="50" t="s">
        <v>1330</v>
      </c>
      <c r="I1406" s="16" t="s">
        <v>3649</v>
      </c>
      <c r="J1406" s="16" t="s">
        <v>3650</v>
      </c>
    </row>
    <row r="1407" spans="1:10" hidden="1" x14ac:dyDescent="0.35">
      <c r="A1407" s="16">
        <v>156</v>
      </c>
      <c r="B1407" s="16" t="s">
        <v>3654</v>
      </c>
      <c r="C1407" s="16" t="s">
        <v>3597</v>
      </c>
      <c r="D1407" s="16" t="s">
        <v>130</v>
      </c>
      <c r="E1407" s="16" t="s">
        <v>539</v>
      </c>
      <c r="F1407" s="16" t="s">
        <v>122</v>
      </c>
      <c r="G1407" s="16" t="s">
        <v>1395</v>
      </c>
      <c r="H1407" s="50" t="s">
        <v>1330</v>
      </c>
      <c r="I1407" s="16" t="s">
        <v>3649</v>
      </c>
      <c r="J1407" s="16" t="s">
        <v>3650</v>
      </c>
    </row>
    <row r="1408" spans="1:10" hidden="1" x14ac:dyDescent="0.35">
      <c r="A1408" s="16">
        <v>162</v>
      </c>
      <c r="B1408" s="16" t="s">
        <v>3655</v>
      </c>
      <c r="C1408" s="16" t="s">
        <v>3656</v>
      </c>
      <c r="D1408" s="16" t="s">
        <v>124</v>
      </c>
      <c r="E1408" s="16" t="s">
        <v>536</v>
      </c>
      <c r="F1408" s="16" t="s">
        <v>122</v>
      </c>
      <c r="G1408" s="16" t="s">
        <v>3657</v>
      </c>
      <c r="H1408" s="50" t="s">
        <v>1330</v>
      </c>
      <c r="I1408" s="16" t="s">
        <v>3658</v>
      </c>
      <c r="J1408" s="16" t="s">
        <v>3659</v>
      </c>
    </row>
    <row r="1409" spans="1:10" hidden="1" x14ac:dyDescent="0.35">
      <c r="A1409" s="16">
        <v>162</v>
      </c>
      <c r="B1409" s="16" t="s">
        <v>3660</v>
      </c>
      <c r="C1409" s="16" t="s">
        <v>626</v>
      </c>
      <c r="D1409" s="16" t="s">
        <v>124</v>
      </c>
      <c r="E1409" s="16" t="s">
        <v>559</v>
      </c>
      <c r="F1409" s="16" t="s">
        <v>122</v>
      </c>
      <c r="H1409" s="50" t="s">
        <v>1330</v>
      </c>
      <c r="I1409" s="16" t="s">
        <v>3658</v>
      </c>
      <c r="J1409" s="16" t="s">
        <v>3659</v>
      </c>
    </row>
    <row r="1410" spans="1:10" hidden="1" x14ac:dyDescent="0.35">
      <c r="A1410" s="16">
        <v>162</v>
      </c>
      <c r="B1410" s="16" t="s">
        <v>3661</v>
      </c>
      <c r="C1410" s="16" t="s">
        <v>3656</v>
      </c>
      <c r="D1410" s="16" t="s">
        <v>124</v>
      </c>
      <c r="E1410" s="16" t="s">
        <v>559</v>
      </c>
      <c r="F1410" s="16" t="s">
        <v>122</v>
      </c>
      <c r="H1410" s="50" t="s">
        <v>1330</v>
      </c>
      <c r="I1410" s="16" t="s">
        <v>3658</v>
      </c>
      <c r="J1410" s="16" t="s">
        <v>3659</v>
      </c>
    </row>
    <row r="1411" spans="1:10" hidden="1" x14ac:dyDescent="0.35">
      <c r="A1411" s="16">
        <v>162</v>
      </c>
      <c r="B1411" s="16" t="s">
        <v>3662</v>
      </c>
      <c r="C1411" s="16" t="s">
        <v>3663</v>
      </c>
      <c r="D1411" s="16" t="s">
        <v>428</v>
      </c>
      <c r="F1411" s="16" t="s">
        <v>122</v>
      </c>
      <c r="G1411" s="16" t="s">
        <v>3664</v>
      </c>
      <c r="H1411" s="50" t="s">
        <v>1330</v>
      </c>
      <c r="I1411" s="16" t="s">
        <v>3665</v>
      </c>
      <c r="J1411" s="16" t="s">
        <v>4646</v>
      </c>
    </row>
    <row r="1412" spans="1:10" hidden="1" x14ac:dyDescent="0.35">
      <c r="A1412" s="16">
        <v>162</v>
      </c>
      <c r="B1412" s="16" t="s">
        <v>3666</v>
      </c>
      <c r="C1412" s="16" t="s">
        <v>3663</v>
      </c>
      <c r="D1412" s="16" t="s">
        <v>428</v>
      </c>
      <c r="F1412" s="16" t="s">
        <v>122</v>
      </c>
      <c r="G1412" s="16" t="s">
        <v>3664</v>
      </c>
      <c r="H1412" s="50" t="s">
        <v>1330</v>
      </c>
      <c r="I1412" s="16" t="s">
        <v>3665</v>
      </c>
      <c r="J1412" s="16" t="s">
        <v>4647</v>
      </c>
    </row>
    <row r="1413" spans="1:10" hidden="1" x14ac:dyDescent="0.35">
      <c r="A1413" s="16">
        <v>162</v>
      </c>
      <c r="B1413" s="16" t="s">
        <v>3667</v>
      </c>
      <c r="C1413" s="16" t="s">
        <v>3663</v>
      </c>
      <c r="D1413" s="16" t="s">
        <v>428</v>
      </c>
      <c r="F1413" s="16" t="s">
        <v>122</v>
      </c>
      <c r="G1413" s="16" t="s">
        <v>3664</v>
      </c>
      <c r="H1413" s="50" t="s">
        <v>1330</v>
      </c>
      <c r="I1413" s="16" t="s">
        <v>3665</v>
      </c>
      <c r="J1413" s="16" t="s">
        <v>4648</v>
      </c>
    </row>
    <row r="1414" spans="1:10" x14ac:dyDescent="0.35">
      <c r="A1414" s="16">
        <v>162</v>
      </c>
      <c r="B1414" s="16" t="s">
        <v>3668</v>
      </c>
      <c r="C1414" s="16" t="s">
        <v>3669</v>
      </c>
      <c r="D1414" s="16" t="s">
        <v>130</v>
      </c>
      <c r="F1414" s="16" t="s">
        <v>122</v>
      </c>
      <c r="G1414" s="16" t="s">
        <v>3657</v>
      </c>
      <c r="H1414" s="50" t="s">
        <v>1330</v>
      </c>
      <c r="I1414" s="16" t="s">
        <v>3670</v>
      </c>
      <c r="J1414" s="16" t="s">
        <v>4649</v>
      </c>
    </row>
    <row r="1415" spans="1:10" x14ac:dyDescent="0.35">
      <c r="A1415" s="16">
        <v>162</v>
      </c>
      <c r="B1415" s="16" t="s">
        <v>3671</v>
      </c>
      <c r="C1415" s="16" t="s">
        <v>3669</v>
      </c>
      <c r="D1415" s="16" t="s">
        <v>130</v>
      </c>
      <c r="F1415" s="16" t="s">
        <v>122</v>
      </c>
      <c r="G1415" s="16" t="s">
        <v>3657</v>
      </c>
      <c r="H1415" s="50" t="s">
        <v>1330</v>
      </c>
      <c r="I1415" s="16" t="s">
        <v>3670</v>
      </c>
      <c r="J1415" s="16" t="s">
        <v>4649</v>
      </c>
    </row>
    <row r="1416" spans="1:10" x14ac:dyDescent="0.35">
      <c r="A1416" s="16">
        <v>162</v>
      </c>
      <c r="B1416" s="16" t="s">
        <v>3672</v>
      </c>
      <c r="C1416" s="16" t="s">
        <v>3669</v>
      </c>
      <c r="D1416" s="16" t="s">
        <v>130</v>
      </c>
      <c r="F1416" s="16" t="s">
        <v>122</v>
      </c>
      <c r="G1416" s="16" t="s">
        <v>3657</v>
      </c>
      <c r="H1416" s="50" t="s">
        <v>1330</v>
      </c>
      <c r="I1416" s="16" t="s">
        <v>3670</v>
      </c>
      <c r="J1416" s="16" t="s">
        <v>4649</v>
      </c>
    </row>
    <row r="1417" spans="1:10" hidden="1" x14ac:dyDescent="0.35">
      <c r="A1417" s="16">
        <v>162</v>
      </c>
      <c r="B1417" s="16" t="s">
        <v>3673</v>
      </c>
      <c r="C1417" s="16" t="s">
        <v>3674</v>
      </c>
      <c r="D1417" s="16" t="s">
        <v>124</v>
      </c>
      <c r="E1417" s="16" t="s">
        <v>536</v>
      </c>
      <c r="F1417" s="16" t="s">
        <v>122</v>
      </c>
      <c r="G1417" s="16" t="s">
        <v>3664</v>
      </c>
      <c r="H1417" s="50" t="s">
        <v>1330</v>
      </c>
      <c r="I1417" s="16" t="s">
        <v>3658</v>
      </c>
      <c r="J1417" s="16" t="s">
        <v>3675</v>
      </c>
    </row>
    <row r="1418" spans="1:10" x14ac:dyDescent="0.35">
      <c r="A1418" s="16">
        <v>162</v>
      </c>
      <c r="B1418" s="16" t="s">
        <v>3655</v>
      </c>
      <c r="C1418" s="16" t="s">
        <v>3656</v>
      </c>
      <c r="D1418" s="16" t="s">
        <v>124</v>
      </c>
      <c r="E1418" s="16" t="s">
        <v>536</v>
      </c>
      <c r="F1418" s="16" t="s">
        <v>122</v>
      </c>
      <c r="G1418" s="16" t="s">
        <v>3657</v>
      </c>
      <c r="H1418" s="50" t="s">
        <v>1330</v>
      </c>
      <c r="I1418" s="16" t="s">
        <v>3676</v>
      </c>
      <c r="J1418" s="16" t="s">
        <v>3659</v>
      </c>
    </row>
    <row r="1419" spans="1:10" x14ac:dyDescent="0.35">
      <c r="A1419" s="16">
        <v>162</v>
      </c>
      <c r="B1419" s="16" t="s">
        <v>3677</v>
      </c>
      <c r="C1419" s="16" t="s">
        <v>626</v>
      </c>
      <c r="D1419" s="16" t="s">
        <v>124</v>
      </c>
      <c r="E1419" s="16" t="s">
        <v>536</v>
      </c>
      <c r="F1419" s="16" t="s">
        <v>122</v>
      </c>
      <c r="G1419" s="16" t="s">
        <v>3678</v>
      </c>
      <c r="H1419" s="50" t="s">
        <v>1330</v>
      </c>
      <c r="I1419" s="16" t="s">
        <v>3676</v>
      </c>
      <c r="J1419" s="16" t="s">
        <v>3659</v>
      </c>
    </row>
    <row r="1420" spans="1:10" x14ac:dyDescent="0.35">
      <c r="A1420" s="16">
        <v>162</v>
      </c>
      <c r="B1420" s="16" t="s">
        <v>3679</v>
      </c>
      <c r="C1420" s="16" t="s">
        <v>3669</v>
      </c>
      <c r="D1420" s="16" t="s">
        <v>124</v>
      </c>
      <c r="E1420" s="16" t="s">
        <v>536</v>
      </c>
      <c r="F1420" s="16" t="s">
        <v>122</v>
      </c>
      <c r="G1420" s="16" t="s">
        <v>3680</v>
      </c>
      <c r="H1420" s="50" t="s">
        <v>1330</v>
      </c>
      <c r="I1420" s="16" t="s">
        <v>3676</v>
      </c>
      <c r="J1420" s="16" t="s">
        <v>3659</v>
      </c>
    </row>
    <row r="1421" spans="1:10" x14ac:dyDescent="0.35">
      <c r="A1421" s="16">
        <v>162</v>
      </c>
      <c r="B1421" s="16" t="s">
        <v>3681</v>
      </c>
      <c r="C1421" s="16" t="s">
        <v>3669</v>
      </c>
      <c r="D1421" s="16" t="s">
        <v>124</v>
      </c>
      <c r="E1421" s="16" t="s">
        <v>536</v>
      </c>
      <c r="F1421" s="16" t="s">
        <v>122</v>
      </c>
      <c r="G1421" s="16" t="s">
        <v>3680</v>
      </c>
      <c r="H1421" s="50" t="s">
        <v>1330</v>
      </c>
      <c r="I1421" s="16" t="s">
        <v>3676</v>
      </c>
      <c r="J1421" s="16" t="s">
        <v>3659</v>
      </c>
    </row>
    <row r="1422" spans="1:10" hidden="1" x14ac:dyDescent="0.35">
      <c r="A1422" s="16">
        <v>198</v>
      </c>
      <c r="B1422" s="16" t="s">
        <v>3682</v>
      </c>
      <c r="C1422" s="16" t="s">
        <v>1946</v>
      </c>
      <c r="D1422" s="16" t="s">
        <v>124</v>
      </c>
      <c r="E1422" s="16" t="s">
        <v>536</v>
      </c>
      <c r="F1422" s="16" t="s">
        <v>413</v>
      </c>
      <c r="G1422" s="16">
        <v>1991</v>
      </c>
      <c r="H1422" s="50" t="s">
        <v>403</v>
      </c>
      <c r="I1422" s="16" t="s">
        <v>4645</v>
      </c>
      <c r="J1422" s="16" t="s">
        <v>3684</v>
      </c>
    </row>
    <row r="1423" spans="1:10" hidden="1" x14ac:dyDescent="0.35">
      <c r="A1423" s="16">
        <v>198</v>
      </c>
      <c r="B1423" s="16" t="s">
        <v>3685</v>
      </c>
      <c r="C1423" s="16" t="s">
        <v>1946</v>
      </c>
      <c r="D1423" s="16" t="s">
        <v>124</v>
      </c>
      <c r="E1423" s="16" t="s">
        <v>536</v>
      </c>
      <c r="F1423" s="16" t="s">
        <v>413</v>
      </c>
      <c r="G1423" s="16">
        <v>1991</v>
      </c>
      <c r="H1423" s="50" t="s">
        <v>403</v>
      </c>
      <c r="I1423" s="16" t="s">
        <v>3683</v>
      </c>
      <c r="J1423" s="16" t="s">
        <v>3686</v>
      </c>
    </row>
    <row r="1424" spans="1:10" hidden="1" x14ac:dyDescent="0.35">
      <c r="A1424" s="16">
        <v>198</v>
      </c>
      <c r="B1424" s="16" t="s">
        <v>3687</v>
      </c>
      <c r="C1424" s="16" t="s">
        <v>3688</v>
      </c>
      <c r="D1424" s="16" t="s">
        <v>124</v>
      </c>
      <c r="E1424" s="16" t="s">
        <v>538</v>
      </c>
      <c r="F1424" s="16" t="s">
        <v>122</v>
      </c>
      <c r="G1424" s="16">
        <v>1991</v>
      </c>
      <c r="H1424" s="50" t="s">
        <v>403</v>
      </c>
      <c r="I1424" s="16" t="s">
        <v>4645</v>
      </c>
      <c r="J1424" s="16" t="s">
        <v>3689</v>
      </c>
    </row>
    <row r="1425" spans="1:10" hidden="1" x14ac:dyDescent="0.35">
      <c r="A1425" s="16">
        <v>198</v>
      </c>
      <c r="B1425" s="16" t="s">
        <v>2031</v>
      </c>
      <c r="C1425" s="16" t="s">
        <v>3690</v>
      </c>
      <c r="D1425" s="16" t="s">
        <v>124</v>
      </c>
      <c r="E1425" s="16" t="s">
        <v>538</v>
      </c>
      <c r="F1425" s="16" t="s">
        <v>122</v>
      </c>
      <c r="G1425" s="16">
        <v>1991</v>
      </c>
      <c r="H1425" s="50" t="s">
        <v>403</v>
      </c>
      <c r="I1425" s="16" t="s">
        <v>4644</v>
      </c>
      <c r="J1425" s="16" t="s">
        <v>3691</v>
      </c>
    </row>
    <row r="1426" spans="1:10" hidden="1" x14ac:dyDescent="0.35">
      <c r="A1426" s="16">
        <v>198</v>
      </c>
      <c r="B1426" s="16" t="s">
        <v>3692</v>
      </c>
      <c r="C1426" s="16" t="s">
        <v>3693</v>
      </c>
      <c r="D1426" s="16" t="s">
        <v>124</v>
      </c>
      <c r="E1426" s="16" t="s">
        <v>538</v>
      </c>
      <c r="F1426" s="16" t="s">
        <v>122</v>
      </c>
      <c r="G1426" s="16">
        <v>1991</v>
      </c>
      <c r="H1426" s="50" t="s">
        <v>403</v>
      </c>
      <c r="I1426" s="16" t="s">
        <v>3683</v>
      </c>
      <c r="J1426" s="16" t="s">
        <v>3694</v>
      </c>
    </row>
    <row r="1427" spans="1:10" hidden="1" x14ac:dyDescent="0.35">
      <c r="A1427" s="16">
        <v>198</v>
      </c>
      <c r="B1427" s="16" t="s">
        <v>3695</v>
      </c>
      <c r="C1427" s="16" t="s">
        <v>3693</v>
      </c>
      <c r="D1427" s="16" t="s">
        <v>124</v>
      </c>
      <c r="E1427" s="16" t="s">
        <v>538</v>
      </c>
      <c r="F1427" s="16" t="s">
        <v>122</v>
      </c>
      <c r="G1427" s="16">
        <v>1991</v>
      </c>
      <c r="H1427" s="50" t="s">
        <v>403</v>
      </c>
      <c r="I1427" s="16" t="s">
        <v>3683</v>
      </c>
      <c r="J1427" s="16" t="s">
        <v>3694</v>
      </c>
    </row>
    <row r="1428" spans="1:10" hidden="1" x14ac:dyDescent="0.35">
      <c r="A1428" s="16">
        <v>199</v>
      </c>
      <c r="B1428" s="16" t="s">
        <v>3696</v>
      </c>
      <c r="C1428" s="16" t="s">
        <v>3697</v>
      </c>
      <c r="D1428" s="16" t="s">
        <v>124</v>
      </c>
      <c r="E1428" s="16" t="s">
        <v>536</v>
      </c>
      <c r="F1428" s="16" t="s">
        <v>122</v>
      </c>
      <c r="G1428" s="16" t="s">
        <v>1375</v>
      </c>
      <c r="H1428" s="50" t="s">
        <v>1330</v>
      </c>
      <c r="I1428" s="16" t="s">
        <v>3698</v>
      </c>
      <c r="J1428" s="16" t="s">
        <v>3699</v>
      </c>
    </row>
    <row r="1429" spans="1:10" hidden="1" x14ac:dyDescent="0.35">
      <c r="A1429" s="16">
        <v>199</v>
      </c>
      <c r="B1429" s="16" t="s">
        <v>3700</v>
      </c>
      <c r="C1429" s="16" t="s">
        <v>3701</v>
      </c>
      <c r="D1429" s="16" t="s">
        <v>124</v>
      </c>
      <c r="E1429" s="16" t="s">
        <v>559</v>
      </c>
      <c r="F1429" s="16" t="s">
        <v>122</v>
      </c>
      <c r="G1429" s="16" t="s">
        <v>1375</v>
      </c>
      <c r="H1429" s="50" t="s">
        <v>1330</v>
      </c>
      <c r="I1429" s="16" t="s">
        <v>3702</v>
      </c>
      <c r="J1429" s="16" t="s">
        <v>3699</v>
      </c>
    </row>
    <row r="1430" spans="1:10" hidden="1" x14ac:dyDescent="0.35">
      <c r="A1430" s="16">
        <v>199</v>
      </c>
      <c r="B1430" s="16" t="s">
        <v>3703</v>
      </c>
      <c r="C1430" s="16" t="s">
        <v>686</v>
      </c>
      <c r="D1430" s="16" t="s">
        <v>124</v>
      </c>
      <c r="E1430" s="16" t="s">
        <v>536</v>
      </c>
      <c r="F1430" s="16" t="s">
        <v>122</v>
      </c>
      <c r="G1430" s="16" t="s">
        <v>1375</v>
      </c>
      <c r="H1430" s="50" t="s">
        <v>1330</v>
      </c>
      <c r="I1430" s="16" t="s">
        <v>3704</v>
      </c>
      <c r="J1430" s="16" t="s">
        <v>3699</v>
      </c>
    </row>
    <row r="1431" spans="1:10" hidden="1" x14ac:dyDescent="0.35">
      <c r="A1431" s="16">
        <v>203</v>
      </c>
      <c r="B1431" s="16" t="s">
        <v>3705</v>
      </c>
      <c r="C1431" s="16" t="s">
        <v>3706</v>
      </c>
      <c r="D1431" s="16" t="s">
        <v>124</v>
      </c>
      <c r="E1431" s="16" t="s">
        <v>559</v>
      </c>
      <c r="F1431" s="16" t="s">
        <v>122</v>
      </c>
      <c r="G1431" s="16">
        <v>1996</v>
      </c>
      <c r="H1431" s="50" t="s">
        <v>404</v>
      </c>
      <c r="I1431" s="16" t="s">
        <v>3707</v>
      </c>
      <c r="J1431" s="16" t="s">
        <v>3708</v>
      </c>
    </row>
    <row r="1432" spans="1:10" hidden="1" x14ac:dyDescent="0.35">
      <c r="A1432" s="16">
        <v>203</v>
      </c>
      <c r="B1432" s="16" t="s">
        <v>2948</v>
      </c>
      <c r="C1432" s="16" t="s">
        <v>3706</v>
      </c>
      <c r="D1432" s="16" t="s">
        <v>124</v>
      </c>
      <c r="E1432" s="16" t="s">
        <v>559</v>
      </c>
      <c r="F1432" s="16" t="s">
        <v>122</v>
      </c>
      <c r="G1432" s="16">
        <v>1996</v>
      </c>
      <c r="H1432" s="50" t="s">
        <v>404</v>
      </c>
      <c r="I1432" s="16" t="s">
        <v>3707</v>
      </c>
      <c r="J1432" s="16" t="s">
        <v>3708</v>
      </c>
    </row>
    <row r="1433" spans="1:10" hidden="1" x14ac:dyDescent="0.35">
      <c r="A1433" s="16">
        <v>203</v>
      </c>
      <c r="B1433" s="16" t="s">
        <v>3709</v>
      </c>
      <c r="C1433" s="16" t="s">
        <v>3706</v>
      </c>
      <c r="D1433" s="16" t="s">
        <v>124</v>
      </c>
      <c r="E1433" s="16" t="s">
        <v>559</v>
      </c>
      <c r="F1433" s="16" t="s">
        <v>122</v>
      </c>
      <c r="G1433" s="16">
        <v>1996</v>
      </c>
      <c r="H1433" s="50" t="s">
        <v>404</v>
      </c>
      <c r="I1433" s="16" t="s">
        <v>3707</v>
      </c>
      <c r="J1433" s="16" t="s">
        <v>3708</v>
      </c>
    </row>
    <row r="1434" spans="1:10" hidden="1" x14ac:dyDescent="0.35">
      <c r="A1434" s="16">
        <v>203</v>
      </c>
      <c r="B1434" s="16" t="s">
        <v>3710</v>
      </c>
      <c r="C1434" s="16" t="s">
        <v>3711</v>
      </c>
      <c r="D1434" s="16" t="s">
        <v>124</v>
      </c>
      <c r="E1434" s="16" t="s">
        <v>559</v>
      </c>
      <c r="F1434" s="16" t="s">
        <v>122</v>
      </c>
      <c r="G1434" s="16">
        <v>1996</v>
      </c>
      <c r="H1434" s="50" t="s">
        <v>404</v>
      </c>
      <c r="I1434" s="16" t="s">
        <v>3707</v>
      </c>
      <c r="J1434" s="16" t="s">
        <v>3708</v>
      </c>
    </row>
    <row r="1435" spans="1:10" hidden="1" x14ac:dyDescent="0.35">
      <c r="A1435" s="16">
        <v>203</v>
      </c>
      <c r="B1435" s="16" t="s">
        <v>3712</v>
      </c>
      <c r="C1435" s="16" t="s">
        <v>3711</v>
      </c>
      <c r="D1435" s="16" t="s">
        <v>124</v>
      </c>
      <c r="E1435" s="16" t="s">
        <v>559</v>
      </c>
      <c r="F1435" s="16" t="s">
        <v>122</v>
      </c>
      <c r="G1435" s="16">
        <v>1996</v>
      </c>
      <c r="H1435" s="50" t="s">
        <v>404</v>
      </c>
      <c r="I1435" s="16" t="s">
        <v>3707</v>
      </c>
      <c r="J1435" s="16" t="s">
        <v>3708</v>
      </c>
    </row>
    <row r="1436" spans="1:10" hidden="1" x14ac:dyDescent="0.35">
      <c r="A1436" s="16">
        <v>203</v>
      </c>
      <c r="B1436" s="16" t="s">
        <v>3713</v>
      </c>
      <c r="C1436" s="16" t="s">
        <v>3711</v>
      </c>
      <c r="D1436" s="16" t="s">
        <v>124</v>
      </c>
      <c r="E1436" s="16" t="s">
        <v>559</v>
      </c>
      <c r="F1436" s="16" t="s">
        <v>122</v>
      </c>
      <c r="G1436" s="16">
        <v>1996</v>
      </c>
      <c r="H1436" s="50" t="s">
        <v>404</v>
      </c>
      <c r="I1436" s="16" t="s">
        <v>3707</v>
      </c>
      <c r="J1436" s="16" t="s">
        <v>3708</v>
      </c>
    </row>
    <row r="1437" spans="1:10" hidden="1" x14ac:dyDescent="0.35">
      <c r="A1437" s="16">
        <v>203</v>
      </c>
      <c r="B1437" s="16" t="s">
        <v>3714</v>
      </c>
      <c r="C1437" s="16" t="s">
        <v>686</v>
      </c>
      <c r="D1437" s="16" t="s">
        <v>124</v>
      </c>
      <c r="F1437" s="16" t="s">
        <v>122</v>
      </c>
      <c r="G1437" s="16">
        <v>1996</v>
      </c>
      <c r="H1437" s="50" t="s">
        <v>404</v>
      </c>
      <c r="I1437" s="16" t="s">
        <v>3707</v>
      </c>
      <c r="J1437" s="16" t="s">
        <v>3708</v>
      </c>
    </row>
    <row r="1438" spans="1:10" hidden="1" x14ac:dyDescent="0.35">
      <c r="A1438" s="16">
        <v>203</v>
      </c>
      <c r="B1438" s="16" t="s">
        <v>3715</v>
      </c>
      <c r="C1438" s="16" t="s">
        <v>686</v>
      </c>
      <c r="D1438" s="16" t="s">
        <v>124</v>
      </c>
      <c r="F1438" s="16" t="s">
        <v>122</v>
      </c>
      <c r="G1438" s="16">
        <v>1996</v>
      </c>
      <c r="H1438" s="50" t="s">
        <v>404</v>
      </c>
      <c r="I1438" s="16" t="s">
        <v>3707</v>
      </c>
      <c r="J1438" s="16" t="s">
        <v>3708</v>
      </c>
    </row>
    <row r="1439" spans="1:10" hidden="1" x14ac:dyDescent="0.35">
      <c r="A1439" s="16">
        <v>203</v>
      </c>
      <c r="B1439" s="16" t="s">
        <v>3716</v>
      </c>
      <c r="C1439" s="16" t="s">
        <v>3693</v>
      </c>
      <c r="D1439" s="16" t="s">
        <v>124</v>
      </c>
      <c r="F1439" s="16" t="s">
        <v>122</v>
      </c>
      <c r="G1439" s="16">
        <v>1996</v>
      </c>
      <c r="H1439" s="50" t="s">
        <v>404</v>
      </c>
      <c r="I1439" s="16" t="s">
        <v>3707</v>
      </c>
      <c r="J1439" s="16" t="s">
        <v>3708</v>
      </c>
    </row>
    <row r="1440" spans="1:10" hidden="1" x14ac:dyDescent="0.35">
      <c r="A1440" s="16">
        <v>203</v>
      </c>
      <c r="B1440" s="16" t="s">
        <v>3717</v>
      </c>
      <c r="C1440" s="16" t="s">
        <v>628</v>
      </c>
      <c r="D1440" s="16" t="s">
        <v>124</v>
      </c>
      <c r="E1440" s="16" t="s">
        <v>559</v>
      </c>
      <c r="F1440" s="16" t="s">
        <v>122</v>
      </c>
      <c r="G1440" s="16">
        <v>1996</v>
      </c>
      <c r="H1440" s="50" t="s">
        <v>404</v>
      </c>
      <c r="I1440" s="16" t="s">
        <v>3707</v>
      </c>
      <c r="J1440" s="16" t="s">
        <v>3708</v>
      </c>
    </row>
    <row r="1441" spans="1:10" hidden="1" x14ac:dyDescent="0.35">
      <c r="A1441" s="16">
        <v>203</v>
      </c>
      <c r="B1441" s="16" t="s">
        <v>3717</v>
      </c>
      <c r="C1441" s="16" t="s">
        <v>628</v>
      </c>
      <c r="D1441" s="16" t="s">
        <v>124</v>
      </c>
      <c r="E1441" s="16" t="s">
        <v>559</v>
      </c>
      <c r="F1441" s="16" t="s">
        <v>122</v>
      </c>
      <c r="G1441" s="16">
        <v>1996</v>
      </c>
      <c r="H1441" s="50" t="s">
        <v>404</v>
      </c>
      <c r="I1441" s="16" t="s">
        <v>3707</v>
      </c>
      <c r="J1441" s="16" t="s">
        <v>3708</v>
      </c>
    </row>
    <row r="1442" spans="1:10" hidden="1" x14ac:dyDescent="0.35">
      <c r="A1442" s="16">
        <v>203</v>
      </c>
      <c r="B1442" s="16" t="s">
        <v>3718</v>
      </c>
      <c r="C1442" s="16" t="s">
        <v>628</v>
      </c>
      <c r="D1442" s="16" t="s">
        <v>124</v>
      </c>
      <c r="E1442" s="16" t="s">
        <v>559</v>
      </c>
      <c r="F1442" s="16" t="s">
        <v>122</v>
      </c>
      <c r="G1442" s="16">
        <v>1996</v>
      </c>
      <c r="H1442" s="50" t="s">
        <v>404</v>
      </c>
      <c r="I1442" s="16" t="s">
        <v>3707</v>
      </c>
      <c r="J1442" s="16" t="s">
        <v>3719</v>
      </c>
    </row>
    <row r="1443" spans="1:10" hidden="1" x14ac:dyDescent="0.35">
      <c r="A1443" s="16">
        <v>203</v>
      </c>
      <c r="B1443" s="16" t="s">
        <v>3720</v>
      </c>
      <c r="C1443" s="16" t="s">
        <v>3721</v>
      </c>
      <c r="D1443" s="16" t="s">
        <v>124</v>
      </c>
      <c r="F1443" s="16" t="s">
        <v>122</v>
      </c>
      <c r="G1443" s="16">
        <v>1996</v>
      </c>
      <c r="H1443" s="50" t="s">
        <v>404</v>
      </c>
      <c r="I1443" s="16" t="s">
        <v>3707</v>
      </c>
      <c r="J1443" s="16" t="s">
        <v>3722</v>
      </c>
    </row>
    <row r="1444" spans="1:10" hidden="1" x14ac:dyDescent="0.35">
      <c r="A1444" s="16">
        <v>203</v>
      </c>
      <c r="B1444" s="16" t="s">
        <v>3723</v>
      </c>
      <c r="C1444" s="16" t="s">
        <v>3721</v>
      </c>
      <c r="D1444" s="16" t="s">
        <v>124</v>
      </c>
      <c r="F1444" s="16" t="s">
        <v>122</v>
      </c>
      <c r="G1444" s="16">
        <v>1996</v>
      </c>
      <c r="H1444" s="50" t="s">
        <v>404</v>
      </c>
      <c r="I1444" s="16" t="s">
        <v>3707</v>
      </c>
      <c r="J1444" s="16" t="s">
        <v>3722</v>
      </c>
    </row>
    <row r="1445" spans="1:10" hidden="1" x14ac:dyDescent="0.35">
      <c r="A1445" s="16">
        <v>221</v>
      </c>
      <c r="B1445" s="16" t="s">
        <v>3724</v>
      </c>
      <c r="C1445" s="16" t="s">
        <v>656</v>
      </c>
      <c r="D1445" s="16" t="s">
        <v>130</v>
      </c>
      <c r="E1445" s="16" t="s">
        <v>1021</v>
      </c>
      <c r="F1445" s="16" t="s">
        <v>122</v>
      </c>
      <c r="G1445" s="16" t="s">
        <v>3105</v>
      </c>
      <c r="H1445" s="50" t="s">
        <v>1330</v>
      </c>
      <c r="I1445" s="16" t="s">
        <v>3725</v>
      </c>
      <c r="J1445" s="16" t="s">
        <v>3726</v>
      </c>
    </row>
    <row r="1446" spans="1:10" hidden="1" x14ac:dyDescent="0.35">
      <c r="A1446" s="16">
        <v>221</v>
      </c>
      <c r="B1446" s="16" t="s">
        <v>3727</v>
      </c>
      <c r="C1446" s="16" t="s">
        <v>3728</v>
      </c>
      <c r="D1446" s="16" t="s">
        <v>130</v>
      </c>
      <c r="E1446" s="16" t="s">
        <v>1021</v>
      </c>
      <c r="F1446" s="16" t="s">
        <v>122</v>
      </c>
      <c r="G1446" s="16" t="s">
        <v>3105</v>
      </c>
      <c r="H1446" s="50" t="s">
        <v>1330</v>
      </c>
      <c r="I1446" s="16" t="s">
        <v>3725</v>
      </c>
      <c r="J1446" s="16" t="s">
        <v>3729</v>
      </c>
    </row>
    <row r="1447" spans="1:10" hidden="1" x14ac:dyDescent="0.35">
      <c r="A1447" s="16">
        <v>221</v>
      </c>
      <c r="B1447" s="16" t="s">
        <v>3730</v>
      </c>
      <c r="C1447" s="16" t="s">
        <v>3731</v>
      </c>
      <c r="D1447" s="16" t="s">
        <v>130</v>
      </c>
      <c r="E1447" s="16" t="s">
        <v>1021</v>
      </c>
      <c r="G1447" s="16" t="s">
        <v>3105</v>
      </c>
      <c r="H1447" s="50" t="s">
        <v>1330</v>
      </c>
      <c r="I1447" s="16" t="s">
        <v>3732</v>
      </c>
      <c r="J1447" s="16" t="s">
        <v>3733</v>
      </c>
    </row>
    <row r="1448" spans="1:10" hidden="1" x14ac:dyDescent="0.35">
      <c r="A1448" s="16">
        <v>221</v>
      </c>
      <c r="B1448" s="16" t="s">
        <v>2945</v>
      </c>
      <c r="C1448" s="16" t="s">
        <v>633</v>
      </c>
      <c r="D1448" s="16" t="s">
        <v>124</v>
      </c>
      <c r="E1448" s="16" t="s">
        <v>559</v>
      </c>
      <c r="F1448" s="16" t="s">
        <v>122</v>
      </c>
      <c r="G1448" s="16" t="s">
        <v>3734</v>
      </c>
      <c r="H1448" s="50" t="s">
        <v>1330</v>
      </c>
      <c r="I1448" s="16" t="s">
        <v>3735</v>
      </c>
      <c r="J1448" s="16" t="s">
        <v>3736</v>
      </c>
    </row>
    <row r="1449" spans="1:10" hidden="1" x14ac:dyDescent="0.35">
      <c r="A1449" s="16">
        <v>223</v>
      </c>
      <c r="B1449" s="16" t="s">
        <v>3737</v>
      </c>
      <c r="C1449" s="16" t="s">
        <v>3622</v>
      </c>
      <c r="D1449" s="16" t="s">
        <v>130</v>
      </c>
      <c r="E1449" s="16" t="s">
        <v>809</v>
      </c>
      <c r="F1449" s="16" t="s">
        <v>122</v>
      </c>
      <c r="G1449" s="16" t="s">
        <v>3738</v>
      </c>
      <c r="H1449" s="50" t="s">
        <v>1330</v>
      </c>
      <c r="I1449" s="16" t="s">
        <v>3739</v>
      </c>
      <c r="J1449" s="16" t="s">
        <v>3740</v>
      </c>
    </row>
    <row r="1450" spans="1:10" hidden="1" x14ac:dyDescent="0.35">
      <c r="A1450" s="16">
        <v>223</v>
      </c>
      <c r="B1450" s="16" t="s">
        <v>3741</v>
      </c>
      <c r="C1450" s="16" t="s">
        <v>3742</v>
      </c>
      <c r="D1450" s="16" t="s">
        <v>130</v>
      </c>
      <c r="E1450" s="16" t="s">
        <v>809</v>
      </c>
      <c r="F1450" s="16" t="s">
        <v>413</v>
      </c>
      <c r="G1450" s="16" t="s">
        <v>3738</v>
      </c>
      <c r="H1450" s="50" t="s">
        <v>1330</v>
      </c>
      <c r="I1450" s="16" t="s">
        <v>3739</v>
      </c>
      <c r="J1450" s="16" t="s">
        <v>3743</v>
      </c>
    </row>
    <row r="1451" spans="1:10" hidden="1" x14ac:dyDescent="0.35">
      <c r="A1451" s="16">
        <v>223</v>
      </c>
      <c r="B1451" s="16" t="s">
        <v>3744</v>
      </c>
      <c r="C1451" s="16" t="s">
        <v>3742</v>
      </c>
      <c r="D1451" s="16" t="s">
        <v>130</v>
      </c>
      <c r="E1451" s="16" t="s">
        <v>809</v>
      </c>
      <c r="F1451" s="16" t="s">
        <v>413</v>
      </c>
      <c r="G1451" s="16" t="s">
        <v>3738</v>
      </c>
      <c r="H1451" s="50" t="s">
        <v>1330</v>
      </c>
      <c r="I1451" s="16" t="s">
        <v>3739</v>
      </c>
      <c r="J1451" s="16" t="s">
        <v>3743</v>
      </c>
    </row>
    <row r="1452" spans="1:10" hidden="1" x14ac:dyDescent="0.35">
      <c r="A1452" s="16">
        <v>223</v>
      </c>
      <c r="B1452" s="16" t="s">
        <v>3745</v>
      </c>
      <c r="C1452" s="16" t="s">
        <v>3622</v>
      </c>
      <c r="D1452" s="16" t="s">
        <v>130</v>
      </c>
      <c r="E1452" s="16" t="s">
        <v>1021</v>
      </c>
      <c r="F1452" s="16" t="s">
        <v>122</v>
      </c>
      <c r="G1452" s="16" t="s">
        <v>3738</v>
      </c>
      <c r="H1452" s="50" t="s">
        <v>1330</v>
      </c>
      <c r="I1452" s="16" t="s">
        <v>3739</v>
      </c>
      <c r="J1452" s="16" t="s">
        <v>3740</v>
      </c>
    </row>
    <row r="1453" spans="1:10" hidden="1" x14ac:dyDescent="0.35">
      <c r="A1453" s="16">
        <v>223</v>
      </c>
      <c r="B1453" s="16" t="s">
        <v>3727</v>
      </c>
      <c r="C1453" s="16" t="s">
        <v>663</v>
      </c>
      <c r="D1453" s="16" t="s">
        <v>130</v>
      </c>
      <c r="E1453" s="16" t="s">
        <v>1021</v>
      </c>
      <c r="F1453" s="16" t="s">
        <v>122</v>
      </c>
      <c r="G1453" s="16" t="s">
        <v>3738</v>
      </c>
      <c r="H1453" s="50" t="s">
        <v>1330</v>
      </c>
      <c r="I1453" s="16" t="s">
        <v>3746</v>
      </c>
      <c r="J1453" s="16" t="s">
        <v>3740</v>
      </c>
    </row>
    <row r="1454" spans="1:10" hidden="1" x14ac:dyDescent="0.35">
      <c r="A1454" s="16">
        <v>223</v>
      </c>
      <c r="B1454" s="16" t="s">
        <v>3747</v>
      </c>
      <c r="C1454" s="16" t="s">
        <v>633</v>
      </c>
      <c r="D1454" s="16" t="s">
        <v>130</v>
      </c>
      <c r="E1454" s="16" t="s">
        <v>1021</v>
      </c>
      <c r="F1454" s="16" t="s">
        <v>122</v>
      </c>
      <c r="G1454" s="16" t="s">
        <v>3738</v>
      </c>
      <c r="H1454" s="50" t="s">
        <v>1330</v>
      </c>
      <c r="I1454" s="16" t="s">
        <v>3748</v>
      </c>
      <c r="J1454" s="16" t="s">
        <v>3740</v>
      </c>
    </row>
    <row r="1455" spans="1:10" hidden="1" x14ac:dyDescent="0.35">
      <c r="A1455" s="16">
        <v>223</v>
      </c>
      <c r="B1455" s="16" t="s">
        <v>3749</v>
      </c>
      <c r="C1455" s="16" t="s">
        <v>3622</v>
      </c>
      <c r="D1455" s="16" t="s">
        <v>130</v>
      </c>
      <c r="E1455" s="16" t="s">
        <v>1021</v>
      </c>
      <c r="G1455" s="16" t="s">
        <v>3738</v>
      </c>
      <c r="H1455" s="50" t="s">
        <v>1330</v>
      </c>
      <c r="I1455" s="16" t="s">
        <v>3750</v>
      </c>
      <c r="J1455" s="16" t="s">
        <v>3751</v>
      </c>
    </row>
    <row r="1456" spans="1:10" hidden="1" x14ac:dyDescent="0.35">
      <c r="A1456" s="16">
        <v>223</v>
      </c>
      <c r="B1456" s="16" t="s">
        <v>3752</v>
      </c>
      <c r="C1456" s="16" t="s">
        <v>3753</v>
      </c>
      <c r="D1456" s="16" t="s">
        <v>130</v>
      </c>
      <c r="E1456" s="16" t="s">
        <v>1021</v>
      </c>
      <c r="F1456" s="16" t="s">
        <v>122</v>
      </c>
      <c r="G1456" s="16" t="s">
        <v>3754</v>
      </c>
      <c r="H1456" s="50" t="s">
        <v>1330</v>
      </c>
      <c r="I1456" s="16" t="s">
        <v>3755</v>
      </c>
      <c r="J1456" s="16" t="s">
        <v>3756</v>
      </c>
    </row>
    <row r="1457" spans="1:10" hidden="1" x14ac:dyDescent="0.35">
      <c r="A1457" s="16">
        <v>223</v>
      </c>
      <c r="B1457" s="16" t="s">
        <v>3757</v>
      </c>
      <c r="C1457" s="16" t="s">
        <v>3758</v>
      </c>
      <c r="D1457" s="16" t="s">
        <v>130</v>
      </c>
      <c r="E1457" s="16" t="s">
        <v>1021</v>
      </c>
      <c r="F1457" s="16" t="s">
        <v>122</v>
      </c>
      <c r="G1457" s="16" t="s">
        <v>3754</v>
      </c>
      <c r="H1457" s="50" t="s">
        <v>1330</v>
      </c>
      <c r="I1457" s="16" t="s">
        <v>3759</v>
      </c>
      <c r="J1457" s="16" t="s">
        <v>3760</v>
      </c>
    </row>
    <row r="1458" spans="1:10" hidden="1" x14ac:dyDescent="0.35">
      <c r="A1458" s="16">
        <v>225</v>
      </c>
      <c r="B1458" s="16" t="s">
        <v>2838</v>
      </c>
      <c r="C1458" s="16" t="s">
        <v>633</v>
      </c>
      <c r="D1458" s="16" t="s">
        <v>124</v>
      </c>
      <c r="E1458" s="16" t="s">
        <v>536</v>
      </c>
      <c r="F1458" s="16" t="s">
        <v>122</v>
      </c>
      <c r="G1458" s="16" t="s">
        <v>1511</v>
      </c>
      <c r="H1458" s="50" t="s">
        <v>1330</v>
      </c>
      <c r="I1458" s="16" t="s">
        <v>3761</v>
      </c>
      <c r="J1458" s="16" t="s">
        <v>3762</v>
      </c>
    </row>
    <row r="1459" spans="1:10" hidden="1" x14ac:dyDescent="0.35">
      <c r="A1459" s="16">
        <v>225</v>
      </c>
      <c r="B1459" s="16" t="s">
        <v>3763</v>
      </c>
      <c r="C1459" s="16" t="s">
        <v>633</v>
      </c>
      <c r="D1459" s="16" t="s">
        <v>130</v>
      </c>
      <c r="E1459" s="16" t="s">
        <v>1021</v>
      </c>
      <c r="F1459" s="16" t="s">
        <v>122</v>
      </c>
      <c r="G1459" s="16" t="s">
        <v>1511</v>
      </c>
      <c r="H1459" s="50" t="s">
        <v>1330</v>
      </c>
      <c r="J1459" s="16" t="s">
        <v>3764</v>
      </c>
    </row>
    <row r="1460" spans="1:10" x14ac:dyDescent="0.35">
      <c r="A1460" s="16">
        <v>225</v>
      </c>
      <c r="B1460" s="16" t="s">
        <v>3765</v>
      </c>
      <c r="C1460" s="16" t="s">
        <v>3766</v>
      </c>
      <c r="D1460" s="16" t="s">
        <v>130</v>
      </c>
      <c r="E1460" s="16" t="s">
        <v>1021</v>
      </c>
      <c r="F1460" s="16" t="s">
        <v>122</v>
      </c>
      <c r="G1460" s="16" t="s">
        <v>1511</v>
      </c>
      <c r="H1460" s="50" t="s">
        <v>1330</v>
      </c>
      <c r="I1460" s="16" t="s">
        <v>3767</v>
      </c>
      <c r="J1460" s="16" t="s">
        <v>3768</v>
      </c>
    </row>
    <row r="1461" spans="1:10" hidden="1" x14ac:dyDescent="0.35">
      <c r="A1461" s="16">
        <v>231</v>
      </c>
      <c r="B1461" s="16" t="s">
        <v>3769</v>
      </c>
      <c r="C1461" s="16" t="s">
        <v>3770</v>
      </c>
      <c r="D1461" s="16" t="s">
        <v>130</v>
      </c>
      <c r="E1461" s="16" t="s">
        <v>1021</v>
      </c>
      <c r="F1461" s="16" t="s">
        <v>1956</v>
      </c>
      <c r="G1461" s="16" t="s">
        <v>3664</v>
      </c>
      <c r="H1461" s="50" t="s">
        <v>1330</v>
      </c>
      <c r="I1461" s="16" t="s">
        <v>1330</v>
      </c>
      <c r="J1461" s="16" t="s">
        <v>3771</v>
      </c>
    </row>
    <row r="1462" spans="1:10" hidden="1" x14ac:dyDescent="0.35">
      <c r="A1462" s="16">
        <v>238</v>
      </c>
      <c r="B1462" s="16" t="s">
        <v>2031</v>
      </c>
      <c r="C1462" s="16" t="s">
        <v>1919</v>
      </c>
      <c r="D1462" s="16" t="s">
        <v>198</v>
      </c>
      <c r="E1462" s="16" t="s">
        <v>538</v>
      </c>
      <c r="F1462" s="16" t="s">
        <v>122</v>
      </c>
      <c r="G1462" s="16">
        <v>2006</v>
      </c>
      <c r="H1462" s="50" t="s">
        <v>403</v>
      </c>
      <c r="I1462" s="16" t="s">
        <v>3772</v>
      </c>
      <c r="J1462" s="16" t="s">
        <v>3773</v>
      </c>
    </row>
    <row r="1463" spans="1:10" hidden="1" x14ac:dyDescent="0.35">
      <c r="A1463" s="16">
        <v>238</v>
      </c>
      <c r="B1463" s="16" t="s">
        <v>584</v>
      </c>
      <c r="C1463" s="16" t="s">
        <v>3693</v>
      </c>
      <c r="D1463" s="16" t="s">
        <v>198</v>
      </c>
      <c r="E1463" s="16" t="s">
        <v>538</v>
      </c>
      <c r="F1463" s="16" t="s">
        <v>122</v>
      </c>
      <c r="G1463" s="16">
        <v>2006</v>
      </c>
      <c r="H1463" s="50" t="s">
        <v>403</v>
      </c>
      <c r="I1463" s="16" t="s">
        <v>3772</v>
      </c>
      <c r="J1463" s="16" t="s">
        <v>3774</v>
      </c>
    </row>
    <row r="1464" spans="1:10" hidden="1" x14ac:dyDescent="0.35">
      <c r="A1464" s="16">
        <v>238</v>
      </c>
      <c r="B1464" s="16" t="s">
        <v>3775</v>
      </c>
      <c r="C1464" s="16" t="s">
        <v>3776</v>
      </c>
      <c r="D1464" s="16" t="s">
        <v>428</v>
      </c>
      <c r="E1464" s="16" t="s">
        <v>428</v>
      </c>
      <c r="F1464" s="16" t="s">
        <v>122</v>
      </c>
      <c r="G1464" s="16">
        <v>2006</v>
      </c>
      <c r="H1464" s="50" t="s">
        <v>1330</v>
      </c>
      <c r="I1464" s="16" t="s">
        <v>3777</v>
      </c>
      <c r="J1464" s="16" t="s">
        <v>3774</v>
      </c>
    </row>
    <row r="1465" spans="1:10" x14ac:dyDescent="0.35">
      <c r="A1465" s="16">
        <v>244</v>
      </c>
      <c r="B1465" s="16" t="s">
        <v>3778</v>
      </c>
      <c r="C1465" s="16" t="s">
        <v>3597</v>
      </c>
      <c r="D1465" s="16" t="s">
        <v>124</v>
      </c>
      <c r="E1465" s="16" t="s">
        <v>1329</v>
      </c>
      <c r="F1465" s="16" t="s">
        <v>1956</v>
      </c>
      <c r="G1465" s="16">
        <v>2017</v>
      </c>
      <c r="H1465" s="50" t="s">
        <v>1330</v>
      </c>
      <c r="I1465" s="16" t="s">
        <v>3779</v>
      </c>
      <c r="J1465" s="16" t="s">
        <v>3780</v>
      </c>
    </row>
    <row r="1466" spans="1:10" x14ac:dyDescent="0.35">
      <c r="A1466" s="16">
        <v>244</v>
      </c>
      <c r="B1466" s="16" t="s">
        <v>3781</v>
      </c>
      <c r="C1466" s="16" t="s">
        <v>1182</v>
      </c>
      <c r="D1466" s="16" t="s">
        <v>124</v>
      </c>
      <c r="E1466" s="16" t="s">
        <v>1329</v>
      </c>
      <c r="F1466" s="16" t="s">
        <v>1956</v>
      </c>
      <c r="G1466" s="16">
        <v>2017</v>
      </c>
      <c r="H1466" s="50" t="s">
        <v>1330</v>
      </c>
      <c r="I1466" s="16" t="s">
        <v>3782</v>
      </c>
      <c r="J1466" s="16" t="s">
        <v>3780</v>
      </c>
    </row>
    <row r="1467" spans="1:10" x14ac:dyDescent="0.35">
      <c r="A1467" s="16">
        <v>244</v>
      </c>
      <c r="B1467" s="16" t="s">
        <v>3783</v>
      </c>
      <c r="C1467" s="16" t="s">
        <v>3597</v>
      </c>
      <c r="D1467" s="16" t="s">
        <v>124</v>
      </c>
      <c r="E1467" s="16" t="s">
        <v>1329</v>
      </c>
      <c r="F1467" s="16" t="s">
        <v>1956</v>
      </c>
      <c r="G1467" s="16">
        <v>2017</v>
      </c>
      <c r="H1467" s="50" t="s">
        <v>1330</v>
      </c>
      <c r="I1467" s="16" t="s">
        <v>3782</v>
      </c>
      <c r="J1467" s="16" t="s">
        <v>3780</v>
      </c>
    </row>
    <row r="1468" spans="1:10" hidden="1" x14ac:dyDescent="0.35">
      <c r="A1468" s="16">
        <v>244</v>
      </c>
      <c r="B1468" s="16" t="s">
        <v>3784</v>
      </c>
      <c r="C1468" s="16" t="s">
        <v>3597</v>
      </c>
      <c r="D1468" s="16" t="s">
        <v>124</v>
      </c>
      <c r="E1468" s="16" t="s">
        <v>1329</v>
      </c>
      <c r="F1468" s="16" t="s">
        <v>1956</v>
      </c>
      <c r="G1468" s="16" t="s">
        <v>3785</v>
      </c>
      <c r="H1468" s="50" t="s">
        <v>1330</v>
      </c>
      <c r="I1468" s="16" t="s">
        <v>3786</v>
      </c>
      <c r="J1468" s="16" t="s">
        <v>3780</v>
      </c>
    </row>
    <row r="1469" spans="1:10" hidden="1" x14ac:dyDescent="0.35">
      <c r="A1469" s="16">
        <v>264</v>
      </c>
      <c r="B1469" s="16" t="s">
        <v>2031</v>
      </c>
      <c r="C1469" s="16" t="s">
        <v>3787</v>
      </c>
      <c r="D1469" s="16" t="s">
        <v>124</v>
      </c>
      <c r="E1469" s="16" t="s">
        <v>539</v>
      </c>
      <c r="F1469" s="16" t="s">
        <v>122</v>
      </c>
      <c r="G1469" s="16">
        <v>2022</v>
      </c>
      <c r="H1469" s="50" t="s">
        <v>406</v>
      </c>
      <c r="I1469" s="16" t="s">
        <v>3788</v>
      </c>
      <c r="J1469" s="16" t="s">
        <v>3789</v>
      </c>
    </row>
    <row r="1470" spans="1:10" hidden="1" x14ac:dyDescent="0.35">
      <c r="A1470" s="16">
        <v>264</v>
      </c>
      <c r="B1470" s="16" t="s">
        <v>3790</v>
      </c>
      <c r="C1470" s="16" t="s">
        <v>633</v>
      </c>
      <c r="D1470" s="16" t="s">
        <v>124</v>
      </c>
      <c r="E1470" s="16" t="s">
        <v>559</v>
      </c>
      <c r="F1470" s="16" t="s">
        <v>122</v>
      </c>
      <c r="G1470" s="16">
        <v>2022</v>
      </c>
      <c r="H1470" s="50" t="s">
        <v>406</v>
      </c>
      <c r="I1470" s="16" t="s">
        <v>3788</v>
      </c>
      <c r="J1470" s="16" t="s">
        <v>3789</v>
      </c>
    </row>
    <row r="1471" spans="1:10" hidden="1" x14ac:dyDescent="0.35">
      <c r="A1471" s="16">
        <v>264</v>
      </c>
      <c r="B1471" s="16" t="s">
        <v>3791</v>
      </c>
      <c r="C1471" s="16" t="s">
        <v>3693</v>
      </c>
      <c r="D1471" s="16" t="s">
        <v>124</v>
      </c>
      <c r="E1471" s="16" t="s">
        <v>539</v>
      </c>
      <c r="F1471" s="16" t="s">
        <v>122</v>
      </c>
      <c r="G1471" s="16">
        <v>2022</v>
      </c>
      <c r="H1471" s="50" t="s">
        <v>406</v>
      </c>
      <c r="I1471" s="16" t="s">
        <v>3788</v>
      </c>
      <c r="J1471" s="16" t="s">
        <v>3789</v>
      </c>
    </row>
    <row r="1472" spans="1:10" hidden="1" x14ac:dyDescent="0.35">
      <c r="A1472" s="16">
        <v>264</v>
      </c>
      <c r="B1472" s="16" t="s">
        <v>3792</v>
      </c>
      <c r="C1472" s="16" t="s">
        <v>3693</v>
      </c>
      <c r="D1472" s="16" t="s">
        <v>124</v>
      </c>
      <c r="E1472" s="16" t="s">
        <v>539</v>
      </c>
      <c r="F1472" s="16" t="s">
        <v>122</v>
      </c>
      <c r="G1472" s="16">
        <v>2022</v>
      </c>
      <c r="H1472" s="50" t="s">
        <v>406</v>
      </c>
      <c r="I1472" s="16" t="s">
        <v>3788</v>
      </c>
      <c r="J1472" s="16" t="s">
        <v>3789</v>
      </c>
    </row>
    <row r="1473" spans="1:10" hidden="1" x14ac:dyDescent="0.35">
      <c r="A1473" s="16">
        <v>264</v>
      </c>
      <c r="B1473" s="16" t="s">
        <v>3793</v>
      </c>
      <c r="C1473" s="16" t="s">
        <v>3693</v>
      </c>
      <c r="D1473" s="16" t="s">
        <v>124</v>
      </c>
      <c r="E1473" s="16" t="s">
        <v>538</v>
      </c>
      <c r="F1473" s="16" t="s">
        <v>122</v>
      </c>
      <c r="G1473" s="16">
        <v>2022</v>
      </c>
      <c r="H1473" s="50" t="s">
        <v>406</v>
      </c>
      <c r="I1473" s="16" t="s">
        <v>3788</v>
      </c>
      <c r="J1473" s="16" t="s">
        <v>3789</v>
      </c>
    </row>
    <row r="1474" spans="1:10" hidden="1" x14ac:dyDescent="0.35">
      <c r="A1474" s="16">
        <v>264</v>
      </c>
      <c r="B1474" s="16" t="s">
        <v>3794</v>
      </c>
      <c r="C1474" s="16" t="s">
        <v>633</v>
      </c>
      <c r="D1474" s="16" t="s">
        <v>124</v>
      </c>
      <c r="E1474" s="16" t="s">
        <v>538</v>
      </c>
      <c r="F1474" s="16" t="s">
        <v>122</v>
      </c>
      <c r="G1474" s="16">
        <v>2022</v>
      </c>
      <c r="H1474" s="50" t="s">
        <v>406</v>
      </c>
      <c r="I1474" s="16" t="s">
        <v>3788</v>
      </c>
      <c r="J1474" s="16" t="s">
        <v>3789</v>
      </c>
    </row>
    <row r="1475" spans="1:10" hidden="1" x14ac:dyDescent="0.35">
      <c r="A1475" s="16">
        <v>264</v>
      </c>
      <c r="B1475" s="16" t="s">
        <v>3795</v>
      </c>
      <c r="C1475" s="16" t="s">
        <v>3796</v>
      </c>
      <c r="D1475" s="16" t="s">
        <v>124</v>
      </c>
      <c r="E1475" s="16" t="s">
        <v>559</v>
      </c>
      <c r="F1475" s="16" t="s">
        <v>122</v>
      </c>
      <c r="G1475" s="16">
        <v>2022</v>
      </c>
      <c r="H1475" s="50" t="s">
        <v>406</v>
      </c>
      <c r="I1475" s="16" t="s">
        <v>3788</v>
      </c>
      <c r="J1475" s="16" t="s">
        <v>3789</v>
      </c>
    </row>
    <row r="1476" spans="1:10" hidden="1" x14ac:dyDescent="0.35">
      <c r="A1476" s="16">
        <v>264</v>
      </c>
      <c r="B1476" s="16" t="s">
        <v>3797</v>
      </c>
      <c r="C1476" s="16" t="s">
        <v>633</v>
      </c>
      <c r="D1476" s="16" t="s">
        <v>124</v>
      </c>
      <c r="F1476" s="16" t="s">
        <v>122</v>
      </c>
      <c r="G1476" s="16">
        <v>2022</v>
      </c>
      <c r="H1476" s="50" t="s">
        <v>406</v>
      </c>
      <c r="I1476" s="16" t="s">
        <v>3798</v>
      </c>
      <c r="J1476" s="16" t="s">
        <v>3789</v>
      </c>
    </row>
    <row r="1477" spans="1:10" hidden="1" x14ac:dyDescent="0.35">
      <c r="A1477" s="16">
        <v>264</v>
      </c>
      <c r="B1477" s="16" t="s">
        <v>3799</v>
      </c>
      <c r="C1477" s="16" t="s">
        <v>3800</v>
      </c>
      <c r="D1477" s="16" t="s">
        <v>124</v>
      </c>
      <c r="F1477" s="16" t="s">
        <v>122</v>
      </c>
      <c r="G1477" s="16">
        <v>2022</v>
      </c>
      <c r="H1477" s="50" t="s">
        <v>406</v>
      </c>
      <c r="I1477" s="16" t="s">
        <v>3798</v>
      </c>
      <c r="J1477" s="16" t="s">
        <v>3801</v>
      </c>
    </row>
    <row r="1478" spans="1:10" hidden="1" x14ac:dyDescent="0.35">
      <c r="A1478" s="16">
        <v>267</v>
      </c>
      <c r="B1478" s="16" t="s">
        <v>3802</v>
      </c>
      <c r="C1478" s="16" t="s">
        <v>633</v>
      </c>
      <c r="D1478" s="16" t="s">
        <v>124</v>
      </c>
      <c r="F1478" s="16" t="s">
        <v>3584</v>
      </c>
      <c r="G1478" s="16">
        <v>1999</v>
      </c>
      <c r="H1478" s="50" t="s">
        <v>406</v>
      </c>
      <c r="I1478" s="16" t="s">
        <v>3803</v>
      </c>
      <c r="J1478" s="16" t="s">
        <v>3804</v>
      </c>
    </row>
    <row r="1479" spans="1:10" hidden="1" x14ac:dyDescent="0.35">
      <c r="A1479" s="16">
        <v>267</v>
      </c>
      <c r="B1479" s="16" t="s">
        <v>3805</v>
      </c>
      <c r="C1479" s="16" t="s">
        <v>3806</v>
      </c>
      <c r="D1479" s="16" t="s">
        <v>124</v>
      </c>
      <c r="E1479" s="16" t="s">
        <v>536</v>
      </c>
      <c r="F1479" s="16" t="s">
        <v>3584</v>
      </c>
      <c r="G1479" s="16">
        <v>1999</v>
      </c>
      <c r="H1479" s="50" t="s">
        <v>406</v>
      </c>
      <c r="I1479" s="16" t="s">
        <v>3807</v>
      </c>
      <c r="J1479" s="16" t="s">
        <v>3804</v>
      </c>
    </row>
    <row r="1480" spans="1:10" hidden="1" x14ac:dyDescent="0.35">
      <c r="A1480" s="16">
        <v>267</v>
      </c>
      <c r="B1480" s="16" t="s">
        <v>3808</v>
      </c>
      <c r="C1480" s="16" t="s">
        <v>633</v>
      </c>
      <c r="D1480" s="16" t="s">
        <v>124</v>
      </c>
      <c r="E1480" s="16" t="s">
        <v>536</v>
      </c>
      <c r="F1480" s="16" t="s">
        <v>3584</v>
      </c>
      <c r="G1480" s="16">
        <v>1999</v>
      </c>
      <c r="H1480" s="50" t="s">
        <v>406</v>
      </c>
      <c r="I1480" s="16" t="s">
        <v>3809</v>
      </c>
      <c r="J1480" s="16" t="s">
        <v>3804</v>
      </c>
    </row>
    <row r="1481" spans="1:10" hidden="1" x14ac:dyDescent="0.35">
      <c r="A1481" s="16">
        <v>268</v>
      </c>
      <c r="B1481" s="16" t="s">
        <v>3810</v>
      </c>
      <c r="C1481" s="16" t="s">
        <v>633</v>
      </c>
      <c r="D1481" s="16" t="s">
        <v>130</v>
      </c>
      <c r="E1481" s="16" t="s">
        <v>538</v>
      </c>
      <c r="F1481" s="16" t="s">
        <v>122</v>
      </c>
      <c r="G1481" s="16" t="s">
        <v>1521</v>
      </c>
      <c r="H1481" s="50" t="s">
        <v>1330</v>
      </c>
      <c r="I1481" s="16" t="s">
        <v>3811</v>
      </c>
      <c r="J1481" s="16" t="s">
        <v>3812</v>
      </c>
    </row>
    <row r="1482" spans="1:10" hidden="1" x14ac:dyDescent="0.35">
      <c r="A1482" s="16">
        <v>268</v>
      </c>
      <c r="B1482" s="16" t="s">
        <v>3813</v>
      </c>
      <c r="C1482" s="16" t="s">
        <v>633</v>
      </c>
      <c r="D1482" s="16" t="s">
        <v>130</v>
      </c>
      <c r="E1482" s="16" t="s">
        <v>1118</v>
      </c>
      <c r="F1482" s="16" t="s">
        <v>122</v>
      </c>
      <c r="G1482" s="16" t="s">
        <v>1521</v>
      </c>
      <c r="H1482" s="50" t="s">
        <v>1330</v>
      </c>
      <c r="I1482" s="16" t="s">
        <v>3814</v>
      </c>
      <c r="J1482" s="16" t="s">
        <v>4745</v>
      </c>
    </row>
    <row r="1483" spans="1:10" hidden="1" x14ac:dyDescent="0.35">
      <c r="A1483" s="16">
        <v>268</v>
      </c>
      <c r="B1483" s="16" t="s">
        <v>3815</v>
      </c>
      <c r="C1483" s="16" t="s">
        <v>3816</v>
      </c>
      <c r="D1483" s="16" t="s">
        <v>428</v>
      </c>
      <c r="E1483" s="16" t="s">
        <v>150</v>
      </c>
      <c r="F1483" s="16" t="s">
        <v>122</v>
      </c>
      <c r="G1483" s="16" t="s">
        <v>1521</v>
      </c>
      <c r="H1483" s="50" t="s">
        <v>1330</v>
      </c>
      <c r="I1483" s="16" t="s">
        <v>3817</v>
      </c>
    </row>
    <row r="1484" spans="1:10" hidden="1" x14ac:dyDescent="0.35">
      <c r="A1484" s="16">
        <v>269</v>
      </c>
      <c r="B1484" s="16" t="s">
        <v>3818</v>
      </c>
      <c r="C1484" s="16" t="s">
        <v>626</v>
      </c>
      <c r="D1484" s="16" t="s">
        <v>124</v>
      </c>
      <c r="E1484" s="16" t="s">
        <v>559</v>
      </c>
      <c r="F1484" s="16" t="s">
        <v>3584</v>
      </c>
      <c r="G1484" s="16" t="s">
        <v>3819</v>
      </c>
      <c r="H1484" s="50" t="s">
        <v>1330</v>
      </c>
      <c r="I1484" s="16" t="s">
        <v>3820</v>
      </c>
      <c r="J1484" s="16" t="s">
        <v>3821</v>
      </c>
    </row>
    <row r="1485" spans="1:10" hidden="1" x14ac:dyDescent="0.35">
      <c r="A1485" s="16">
        <v>269</v>
      </c>
      <c r="B1485" s="16" t="s">
        <v>3822</v>
      </c>
      <c r="C1485" s="16" t="s">
        <v>626</v>
      </c>
      <c r="D1485" s="16" t="s">
        <v>124</v>
      </c>
      <c r="E1485" s="16" t="s">
        <v>559</v>
      </c>
      <c r="F1485" s="16" t="s">
        <v>3584</v>
      </c>
      <c r="G1485" s="16" t="s">
        <v>3819</v>
      </c>
      <c r="H1485" s="50" t="s">
        <v>1330</v>
      </c>
      <c r="I1485" s="16" t="s">
        <v>3823</v>
      </c>
      <c r="J1485" s="16" t="s">
        <v>3821</v>
      </c>
    </row>
    <row r="1486" spans="1:10" hidden="1" x14ac:dyDescent="0.35">
      <c r="A1486" s="16">
        <v>281</v>
      </c>
      <c r="B1486" s="16" t="s">
        <v>3824</v>
      </c>
      <c r="C1486" s="16" t="s">
        <v>633</v>
      </c>
      <c r="D1486" s="16" t="s">
        <v>130</v>
      </c>
      <c r="E1486" s="16" t="s">
        <v>539</v>
      </c>
      <c r="F1486" s="16" t="s">
        <v>413</v>
      </c>
      <c r="G1486" s="16" t="s">
        <v>3825</v>
      </c>
      <c r="H1486" s="50" t="s">
        <v>1330</v>
      </c>
      <c r="I1486" s="16" t="s">
        <v>3826</v>
      </c>
      <c r="J1486" s="16" t="s">
        <v>4746</v>
      </c>
    </row>
    <row r="1487" spans="1:10" hidden="1" x14ac:dyDescent="0.35">
      <c r="A1487" s="16">
        <v>281</v>
      </c>
      <c r="B1487" s="16" t="s">
        <v>3827</v>
      </c>
      <c r="C1487" s="16" t="s">
        <v>633</v>
      </c>
      <c r="D1487" s="16" t="s">
        <v>130</v>
      </c>
      <c r="E1487" s="16" t="s">
        <v>539</v>
      </c>
      <c r="F1487" s="16" t="s">
        <v>413</v>
      </c>
      <c r="G1487" s="16" t="s">
        <v>3825</v>
      </c>
      <c r="H1487" s="50" t="s">
        <v>1330</v>
      </c>
      <c r="I1487" s="16" t="s">
        <v>3828</v>
      </c>
    </row>
    <row r="1488" spans="1:10" x14ac:dyDescent="0.35">
      <c r="A1488" s="16">
        <v>281</v>
      </c>
      <c r="B1488" s="16" t="s">
        <v>3829</v>
      </c>
      <c r="C1488" s="16" t="s">
        <v>3830</v>
      </c>
      <c r="D1488" s="16" t="s">
        <v>130</v>
      </c>
      <c r="E1488" s="16" t="s">
        <v>539</v>
      </c>
      <c r="F1488" s="16" t="s">
        <v>413</v>
      </c>
      <c r="G1488" s="16" t="s">
        <v>3825</v>
      </c>
      <c r="H1488" s="50" t="s">
        <v>1330</v>
      </c>
      <c r="I1488" s="16" t="s">
        <v>3831</v>
      </c>
    </row>
    <row r="1489" spans="1:10" x14ac:dyDescent="0.35">
      <c r="A1489" s="16">
        <v>281</v>
      </c>
      <c r="B1489" s="16" t="s">
        <v>3832</v>
      </c>
      <c r="C1489" s="16" t="s">
        <v>3616</v>
      </c>
      <c r="D1489" s="16" t="s">
        <v>130</v>
      </c>
      <c r="E1489" s="16" t="s">
        <v>539</v>
      </c>
      <c r="F1489" s="16" t="s">
        <v>413</v>
      </c>
      <c r="G1489" s="16" t="s">
        <v>3825</v>
      </c>
      <c r="H1489" s="50" t="s">
        <v>1330</v>
      </c>
      <c r="I1489" s="16" t="s">
        <v>3831</v>
      </c>
    </row>
    <row r="1490" spans="1:10" hidden="1" x14ac:dyDescent="0.35">
      <c r="A1490" s="16">
        <v>281</v>
      </c>
      <c r="B1490" s="16" t="s">
        <v>3833</v>
      </c>
      <c r="C1490" s="16" t="s">
        <v>3616</v>
      </c>
      <c r="D1490" s="16" t="s">
        <v>130</v>
      </c>
      <c r="E1490" s="16" t="s">
        <v>539</v>
      </c>
      <c r="F1490" s="16" t="s">
        <v>413</v>
      </c>
      <c r="G1490" s="16" t="s">
        <v>3825</v>
      </c>
      <c r="H1490" s="50" t="s">
        <v>1330</v>
      </c>
      <c r="I1490" s="16" t="s">
        <v>3834</v>
      </c>
    </row>
    <row r="1491" spans="1:10" hidden="1" x14ac:dyDescent="0.35">
      <c r="A1491" s="16">
        <v>298</v>
      </c>
      <c r="B1491" s="16" t="s">
        <v>900</v>
      </c>
      <c r="C1491" s="16" t="s">
        <v>3835</v>
      </c>
      <c r="D1491" s="16" t="s">
        <v>124</v>
      </c>
      <c r="E1491" s="16" t="s">
        <v>559</v>
      </c>
      <c r="F1491" s="16" t="s">
        <v>122</v>
      </c>
      <c r="G1491" s="16">
        <v>2009</v>
      </c>
      <c r="H1491" s="50" t="s">
        <v>403</v>
      </c>
      <c r="I1491" s="16" t="s">
        <v>3836</v>
      </c>
      <c r="J1491" s="16" t="s">
        <v>3837</v>
      </c>
    </row>
    <row r="1492" spans="1:10" hidden="1" x14ac:dyDescent="0.35">
      <c r="A1492" s="16">
        <v>320</v>
      </c>
      <c r="B1492" s="16" t="s">
        <v>3838</v>
      </c>
      <c r="C1492" s="16" t="s">
        <v>2021</v>
      </c>
      <c r="D1492" s="16" t="s">
        <v>124</v>
      </c>
      <c r="E1492" s="16" t="s">
        <v>559</v>
      </c>
      <c r="F1492" s="16" t="s">
        <v>3584</v>
      </c>
      <c r="G1492" s="16">
        <v>2016</v>
      </c>
      <c r="H1492" s="50" t="s">
        <v>3839</v>
      </c>
      <c r="I1492" s="16" t="s">
        <v>3840</v>
      </c>
    </row>
    <row r="1493" spans="1:10" hidden="1" x14ac:dyDescent="0.35">
      <c r="A1493" s="16">
        <v>320</v>
      </c>
      <c r="B1493" s="16" t="s">
        <v>565</v>
      </c>
      <c r="C1493" s="16" t="s">
        <v>2021</v>
      </c>
      <c r="D1493" s="16" t="s">
        <v>124</v>
      </c>
      <c r="E1493" s="16" t="s">
        <v>559</v>
      </c>
      <c r="F1493" s="16" t="s">
        <v>3584</v>
      </c>
      <c r="G1493" s="16">
        <v>2012</v>
      </c>
      <c r="H1493" s="50" t="s">
        <v>3839</v>
      </c>
      <c r="I1493" s="16" t="s">
        <v>3841</v>
      </c>
      <c r="J1493" s="16" t="s">
        <v>3842</v>
      </c>
    </row>
    <row r="1494" spans="1:10" x14ac:dyDescent="0.35">
      <c r="A1494" s="16">
        <v>324</v>
      </c>
      <c r="B1494" s="16" t="s">
        <v>3843</v>
      </c>
      <c r="C1494" s="16" t="s">
        <v>3806</v>
      </c>
      <c r="D1494" s="16" t="s">
        <v>124</v>
      </c>
      <c r="F1494" s="16" t="s">
        <v>122</v>
      </c>
      <c r="G1494" s="16">
        <v>2015</v>
      </c>
      <c r="I1494" s="16" t="s">
        <v>3844</v>
      </c>
      <c r="J1494" s="16" t="s">
        <v>3845</v>
      </c>
    </row>
    <row r="1495" spans="1:10" x14ac:dyDescent="0.35">
      <c r="A1495" s="16">
        <v>324</v>
      </c>
      <c r="B1495" s="16" t="s">
        <v>3846</v>
      </c>
      <c r="C1495" s="16" t="s">
        <v>3806</v>
      </c>
      <c r="D1495" s="16" t="s">
        <v>124</v>
      </c>
      <c r="F1495" s="16" t="s">
        <v>122</v>
      </c>
      <c r="G1495" s="16">
        <v>2015</v>
      </c>
      <c r="H1495" s="50" t="s">
        <v>3847</v>
      </c>
      <c r="I1495" s="16" t="s">
        <v>3844</v>
      </c>
      <c r="J1495" s="16" t="s">
        <v>3845</v>
      </c>
    </row>
    <row r="1496" spans="1:10" x14ac:dyDescent="0.35">
      <c r="A1496" s="16">
        <v>324</v>
      </c>
      <c r="B1496" s="16" t="s">
        <v>3848</v>
      </c>
      <c r="C1496" s="16" t="s">
        <v>626</v>
      </c>
      <c r="D1496" s="16" t="s">
        <v>124</v>
      </c>
      <c r="F1496" s="16" t="s">
        <v>122</v>
      </c>
      <c r="G1496" s="16">
        <v>2015</v>
      </c>
      <c r="H1496" s="50" t="s">
        <v>3847</v>
      </c>
      <c r="I1496" s="16" t="s">
        <v>3844</v>
      </c>
      <c r="J1496" s="16" t="s">
        <v>3845</v>
      </c>
    </row>
    <row r="1497" spans="1:10" x14ac:dyDescent="0.35">
      <c r="A1497" s="16">
        <v>324</v>
      </c>
      <c r="B1497" s="16" t="s">
        <v>3849</v>
      </c>
      <c r="C1497" s="16" t="s">
        <v>626</v>
      </c>
      <c r="D1497" s="16" t="s">
        <v>124</v>
      </c>
      <c r="F1497" s="16" t="s">
        <v>122</v>
      </c>
      <c r="G1497" s="16">
        <v>2015</v>
      </c>
      <c r="H1497" s="50" t="s">
        <v>3847</v>
      </c>
      <c r="I1497" s="16" t="s">
        <v>3844</v>
      </c>
      <c r="J1497" s="16" t="s">
        <v>3845</v>
      </c>
    </row>
    <row r="1498" spans="1:10" x14ac:dyDescent="0.35">
      <c r="A1498" s="16">
        <v>324</v>
      </c>
      <c r="B1498" s="16" t="s">
        <v>3850</v>
      </c>
      <c r="C1498" s="16" t="s">
        <v>626</v>
      </c>
      <c r="D1498" s="16" t="s">
        <v>124</v>
      </c>
      <c r="F1498" s="16" t="s">
        <v>122</v>
      </c>
      <c r="G1498" s="16">
        <v>2015</v>
      </c>
      <c r="H1498" s="50" t="s">
        <v>3847</v>
      </c>
      <c r="I1498" s="16" t="s">
        <v>3844</v>
      </c>
      <c r="J1498" s="16" t="s">
        <v>3845</v>
      </c>
    </row>
    <row r="1499" spans="1:10" x14ac:dyDescent="0.35">
      <c r="A1499" s="16">
        <v>324</v>
      </c>
      <c r="B1499" s="16" t="s">
        <v>3851</v>
      </c>
      <c r="C1499" s="16" t="s">
        <v>633</v>
      </c>
      <c r="D1499" s="16" t="s">
        <v>124</v>
      </c>
      <c r="F1499" s="16" t="s">
        <v>122</v>
      </c>
      <c r="G1499" s="16">
        <v>2015</v>
      </c>
      <c r="H1499" s="50" t="s">
        <v>3847</v>
      </c>
      <c r="I1499" s="16" t="s">
        <v>3844</v>
      </c>
      <c r="J1499" s="16" t="s">
        <v>3845</v>
      </c>
    </row>
    <row r="1500" spans="1:10" x14ac:dyDescent="0.35">
      <c r="A1500" s="16">
        <v>324</v>
      </c>
      <c r="B1500" s="16" t="s">
        <v>3852</v>
      </c>
      <c r="C1500" s="16" t="s">
        <v>633</v>
      </c>
      <c r="D1500" s="16" t="s">
        <v>124</v>
      </c>
      <c r="F1500" s="16" t="s">
        <v>122</v>
      </c>
      <c r="G1500" s="16">
        <v>2015</v>
      </c>
      <c r="H1500" s="50" t="s">
        <v>3847</v>
      </c>
      <c r="I1500" s="16" t="s">
        <v>3844</v>
      </c>
      <c r="J1500" s="16" t="s">
        <v>3845</v>
      </c>
    </row>
    <row r="1501" spans="1:10" x14ac:dyDescent="0.35">
      <c r="A1501" s="16">
        <v>324</v>
      </c>
      <c r="B1501" s="16" t="s">
        <v>3853</v>
      </c>
      <c r="C1501" s="16" t="s">
        <v>626</v>
      </c>
      <c r="D1501" s="16" t="s">
        <v>124</v>
      </c>
      <c r="F1501" s="16" t="s">
        <v>122</v>
      </c>
      <c r="G1501" s="16">
        <v>2015</v>
      </c>
      <c r="H1501" s="50" t="s">
        <v>3847</v>
      </c>
      <c r="I1501" s="16" t="s">
        <v>3844</v>
      </c>
      <c r="J1501" s="16" t="s">
        <v>3845</v>
      </c>
    </row>
    <row r="1502" spans="1:10" x14ac:dyDescent="0.35">
      <c r="A1502" s="16">
        <v>324</v>
      </c>
      <c r="B1502" s="16" t="s">
        <v>3854</v>
      </c>
      <c r="C1502" s="16" t="s">
        <v>3806</v>
      </c>
      <c r="D1502" s="16" t="s">
        <v>124</v>
      </c>
      <c r="F1502" s="16" t="s">
        <v>122</v>
      </c>
      <c r="G1502" s="16">
        <v>2015</v>
      </c>
      <c r="H1502" s="50" t="s">
        <v>3847</v>
      </c>
      <c r="I1502" s="16" t="s">
        <v>3844</v>
      </c>
      <c r="J1502" s="16" t="s">
        <v>3845</v>
      </c>
    </row>
    <row r="1503" spans="1:10" x14ac:dyDescent="0.35">
      <c r="A1503" s="16">
        <v>324</v>
      </c>
      <c r="B1503" s="16" t="s">
        <v>3855</v>
      </c>
      <c r="C1503" s="16" t="s">
        <v>633</v>
      </c>
      <c r="D1503" s="16" t="s">
        <v>124</v>
      </c>
      <c r="F1503" s="16" t="s">
        <v>122</v>
      </c>
      <c r="G1503" s="16">
        <v>2015</v>
      </c>
      <c r="H1503" s="50" t="s">
        <v>3847</v>
      </c>
      <c r="I1503" s="16" t="s">
        <v>3844</v>
      </c>
      <c r="J1503" s="16" t="s">
        <v>3845</v>
      </c>
    </row>
    <row r="1504" spans="1:10" x14ac:dyDescent="0.35">
      <c r="A1504" s="16">
        <v>324</v>
      </c>
      <c r="B1504" s="16" t="s">
        <v>3856</v>
      </c>
      <c r="C1504" s="16" t="s">
        <v>3806</v>
      </c>
      <c r="D1504" s="16" t="s">
        <v>124</v>
      </c>
      <c r="F1504" s="16" t="s">
        <v>122</v>
      </c>
      <c r="G1504" s="16">
        <v>2015</v>
      </c>
      <c r="H1504" s="50" t="s">
        <v>3847</v>
      </c>
      <c r="I1504" s="16" t="s">
        <v>3844</v>
      </c>
      <c r="J1504" s="16" t="s">
        <v>3845</v>
      </c>
    </row>
    <row r="1505" spans="1:10" x14ac:dyDescent="0.35">
      <c r="A1505" s="16">
        <v>324</v>
      </c>
      <c r="B1505" s="16" t="s">
        <v>3857</v>
      </c>
      <c r="C1505" s="16" t="s">
        <v>633</v>
      </c>
      <c r="D1505" s="16" t="s">
        <v>130</v>
      </c>
      <c r="F1505" s="16" t="s">
        <v>122</v>
      </c>
      <c r="G1505" s="16">
        <v>2015</v>
      </c>
      <c r="H1505" s="50" t="s">
        <v>3847</v>
      </c>
      <c r="I1505" s="16" t="s">
        <v>3844</v>
      </c>
      <c r="J1505" s="16" t="s">
        <v>3845</v>
      </c>
    </row>
    <row r="1506" spans="1:10" x14ac:dyDescent="0.35">
      <c r="A1506" s="16">
        <v>324</v>
      </c>
      <c r="B1506" s="16" t="s">
        <v>3858</v>
      </c>
      <c r="C1506" s="16" t="s">
        <v>633</v>
      </c>
      <c r="D1506" s="16" t="s">
        <v>130</v>
      </c>
      <c r="F1506" s="16" t="s">
        <v>122</v>
      </c>
      <c r="G1506" s="16">
        <v>2015</v>
      </c>
      <c r="H1506" s="50" t="s">
        <v>3847</v>
      </c>
      <c r="I1506" s="16" t="s">
        <v>3844</v>
      </c>
      <c r="J1506" s="16" t="s">
        <v>3845</v>
      </c>
    </row>
    <row r="1507" spans="1:10" x14ac:dyDescent="0.35">
      <c r="A1507" s="16">
        <v>324</v>
      </c>
      <c r="B1507" s="16" t="s">
        <v>3859</v>
      </c>
      <c r="C1507" s="16" t="s">
        <v>633</v>
      </c>
      <c r="D1507" s="16" t="s">
        <v>130</v>
      </c>
      <c r="E1507" s="16" t="s">
        <v>809</v>
      </c>
      <c r="F1507" s="16" t="s">
        <v>122</v>
      </c>
      <c r="G1507" s="16">
        <v>2015</v>
      </c>
      <c r="H1507" s="50" t="s">
        <v>3847</v>
      </c>
      <c r="I1507" s="16" t="s">
        <v>3844</v>
      </c>
      <c r="J1507" s="16" t="s">
        <v>3845</v>
      </c>
    </row>
    <row r="1508" spans="1:10" x14ac:dyDescent="0.35">
      <c r="A1508" s="16">
        <v>324</v>
      </c>
      <c r="B1508" s="16" t="s">
        <v>3860</v>
      </c>
      <c r="C1508" s="16" t="s">
        <v>633</v>
      </c>
      <c r="D1508" s="16" t="s">
        <v>130</v>
      </c>
      <c r="E1508" s="16" t="s">
        <v>809</v>
      </c>
      <c r="F1508" s="16" t="s">
        <v>122</v>
      </c>
      <c r="G1508" s="16">
        <v>2015</v>
      </c>
      <c r="H1508" s="50" t="s">
        <v>3847</v>
      </c>
      <c r="I1508" s="16" t="s">
        <v>3844</v>
      </c>
      <c r="J1508" s="16" t="s">
        <v>3845</v>
      </c>
    </row>
    <row r="1509" spans="1:10" hidden="1" x14ac:dyDescent="0.35">
      <c r="A1509" s="16">
        <v>333</v>
      </c>
      <c r="B1509" s="16" t="s">
        <v>289</v>
      </c>
      <c r="C1509" s="16" t="s">
        <v>633</v>
      </c>
      <c r="D1509" s="16" t="s">
        <v>130</v>
      </c>
      <c r="E1509" s="16" t="s">
        <v>813</v>
      </c>
      <c r="F1509" s="16" t="s">
        <v>122</v>
      </c>
      <c r="G1509" s="16" t="s">
        <v>1477</v>
      </c>
      <c r="H1509" s="50" t="s">
        <v>403</v>
      </c>
      <c r="I1509" s="16" t="s">
        <v>3932</v>
      </c>
      <c r="J1509" s="16" t="s">
        <v>3933</v>
      </c>
    </row>
    <row r="1510" spans="1:10" hidden="1" x14ac:dyDescent="0.35">
      <c r="A1510" s="16">
        <v>333</v>
      </c>
      <c r="B1510" s="16" t="s">
        <v>290</v>
      </c>
      <c r="C1510" s="16" t="s">
        <v>676</v>
      </c>
      <c r="D1510" s="16" t="s">
        <v>130</v>
      </c>
      <c r="E1510" s="16" t="s">
        <v>813</v>
      </c>
      <c r="F1510" s="16" t="s">
        <v>122</v>
      </c>
      <c r="G1510" s="16" t="s">
        <v>1477</v>
      </c>
      <c r="H1510" s="50" t="s">
        <v>403</v>
      </c>
      <c r="I1510" s="16" t="s">
        <v>3932</v>
      </c>
      <c r="J1510" s="16" t="s">
        <v>3933</v>
      </c>
    </row>
    <row r="1511" spans="1:10" hidden="1" x14ac:dyDescent="0.35">
      <c r="A1511" s="16">
        <v>333</v>
      </c>
      <c r="B1511" s="16" t="s">
        <v>3934</v>
      </c>
      <c r="C1511" s="16" t="s">
        <v>676</v>
      </c>
      <c r="D1511" s="16" t="s">
        <v>130</v>
      </c>
      <c r="E1511" s="16" t="s">
        <v>813</v>
      </c>
      <c r="F1511" s="16" t="s">
        <v>122</v>
      </c>
      <c r="G1511" s="16" t="s">
        <v>1477</v>
      </c>
      <c r="H1511" s="50" t="s">
        <v>403</v>
      </c>
      <c r="I1511" s="16" t="s">
        <v>3932</v>
      </c>
      <c r="J1511" s="16" t="s">
        <v>3933</v>
      </c>
    </row>
    <row r="1512" spans="1:10" hidden="1" x14ac:dyDescent="0.35">
      <c r="A1512" s="16">
        <v>333</v>
      </c>
      <c r="B1512" s="16" t="s">
        <v>3935</v>
      </c>
      <c r="C1512" s="16" t="s">
        <v>633</v>
      </c>
      <c r="D1512" s="16" t="s">
        <v>130</v>
      </c>
      <c r="E1512" s="16" t="s">
        <v>813</v>
      </c>
      <c r="F1512" s="16" t="s">
        <v>122</v>
      </c>
      <c r="G1512" s="16" t="s">
        <v>1477</v>
      </c>
      <c r="H1512" s="50" t="s">
        <v>403</v>
      </c>
      <c r="I1512" s="16" t="s">
        <v>3932</v>
      </c>
      <c r="J1512" s="16" t="s">
        <v>3933</v>
      </c>
    </row>
    <row r="1513" spans="1:10" x14ac:dyDescent="0.35">
      <c r="A1513" s="16">
        <v>335</v>
      </c>
      <c r="B1513" s="16" t="s">
        <v>3936</v>
      </c>
      <c r="C1513" s="16" t="s">
        <v>3937</v>
      </c>
      <c r="D1513" s="16" t="s">
        <v>124</v>
      </c>
      <c r="E1513" s="16" t="s">
        <v>536</v>
      </c>
      <c r="F1513" s="16" t="s">
        <v>1002</v>
      </c>
      <c r="G1513" s="16" t="s">
        <v>3938</v>
      </c>
      <c r="I1513" s="16" t="s">
        <v>3939</v>
      </c>
      <c r="J1513" s="16" t="s">
        <v>3940</v>
      </c>
    </row>
    <row r="1514" spans="1:10" x14ac:dyDescent="0.35">
      <c r="A1514" s="16">
        <v>339</v>
      </c>
      <c r="B1514" s="16" t="s">
        <v>812</v>
      </c>
      <c r="C1514" s="16" t="s">
        <v>633</v>
      </c>
      <c r="D1514" s="16" t="s">
        <v>130</v>
      </c>
      <c r="E1514" s="16" t="s">
        <v>809</v>
      </c>
      <c r="F1514" s="16" t="s">
        <v>413</v>
      </c>
      <c r="G1514" s="16" t="s">
        <v>1450</v>
      </c>
      <c r="H1514" s="50" t="s">
        <v>403</v>
      </c>
      <c r="I1514" s="16" t="s">
        <v>3941</v>
      </c>
    </row>
    <row r="1515" spans="1:10" x14ac:dyDescent="0.35">
      <c r="A1515" s="16">
        <v>339</v>
      </c>
      <c r="B1515" s="16" t="s">
        <v>3942</v>
      </c>
      <c r="C1515" s="16" t="s">
        <v>633</v>
      </c>
      <c r="D1515" s="16" t="s">
        <v>130</v>
      </c>
      <c r="E1515" s="16" t="s">
        <v>809</v>
      </c>
      <c r="F1515" s="16" t="s">
        <v>413</v>
      </c>
      <c r="G1515" s="16" t="s">
        <v>3943</v>
      </c>
      <c r="H1515" s="50" t="s">
        <v>403</v>
      </c>
      <c r="I1515" s="16" t="s">
        <v>3941</v>
      </c>
    </row>
    <row r="1516" spans="1:10" x14ac:dyDescent="0.35">
      <c r="B1516" s="16" t="s">
        <v>1649</v>
      </c>
      <c r="C1516" s="16" t="s">
        <v>633</v>
      </c>
      <c r="D1516" s="16" t="s">
        <v>130</v>
      </c>
      <c r="E1516" s="16" t="s">
        <v>809</v>
      </c>
      <c r="F1516" s="16" t="s">
        <v>413</v>
      </c>
      <c r="G1516" s="16" t="s">
        <v>3944</v>
      </c>
      <c r="H1516" s="50" t="s">
        <v>403</v>
      </c>
      <c r="I1516" s="16" t="s">
        <v>3941</v>
      </c>
    </row>
    <row r="1517" spans="1:10" x14ac:dyDescent="0.35">
      <c r="A1517" s="16">
        <v>339</v>
      </c>
      <c r="B1517" s="16" t="s">
        <v>138</v>
      </c>
      <c r="C1517" s="16" t="s">
        <v>3945</v>
      </c>
      <c r="D1517" s="16" t="s">
        <v>130</v>
      </c>
      <c r="E1517" s="16" t="s">
        <v>809</v>
      </c>
      <c r="F1517" s="16" t="s">
        <v>413</v>
      </c>
      <c r="G1517" s="16" t="s">
        <v>3946</v>
      </c>
      <c r="H1517" s="50" t="s">
        <v>403</v>
      </c>
      <c r="I1517" s="16" t="s">
        <v>3941</v>
      </c>
    </row>
    <row r="1518" spans="1:10" x14ac:dyDescent="0.35">
      <c r="A1518" s="16">
        <v>339</v>
      </c>
      <c r="B1518" s="16" t="s">
        <v>1107</v>
      </c>
      <c r="D1518" s="16" t="s">
        <v>130</v>
      </c>
      <c r="E1518" s="16" t="s">
        <v>813</v>
      </c>
      <c r="F1518" s="16" t="s">
        <v>413</v>
      </c>
      <c r="G1518" s="16" t="s">
        <v>3947</v>
      </c>
      <c r="H1518" s="50" t="s">
        <v>403</v>
      </c>
      <c r="I1518" s="16" t="s">
        <v>3941</v>
      </c>
    </row>
    <row r="1519" spans="1:10" x14ac:dyDescent="0.35">
      <c r="A1519" s="16">
        <v>339</v>
      </c>
      <c r="B1519" s="16" t="s">
        <v>814</v>
      </c>
      <c r="C1519" s="16" t="s">
        <v>3948</v>
      </c>
      <c r="D1519" s="16" t="s">
        <v>130</v>
      </c>
      <c r="E1519" s="16" t="s">
        <v>813</v>
      </c>
      <c r="F1519" s="16" t="s">
        <v>413</v>
      </c>
      <c r="G1519" s="16" t="s">
        <v>3545</v>
      </c>
      <c r="H1519" s="50" t="s">
        <v>403</v>
      </c>
      <c r="I1519" s="16" t="s">
        <v>3941</v>
      </c>
    </row>
    <row r="1520" spans="1:10" x14ac:dyDescent="0.35">
      <c r="A1520" s="16">
        <v>339</v>
      </c>
      <c r="B1520" s="16" t="s">
        <v>288</v>
      </c>
      <c r="C1520" s="16" t="s">
        <v>3949</v>
      </c>
      <c r="D1520" s="16" t="s">
        <v>130</v>
      </c>
      <c r="E1520" s="16" t="s">
        <v>813</v>
      </c>
      <c r="F1520" s="16" t="s">
        <v>413</v>
      </c>
      <c r="G1520" s="16" t="s">
        <v>3950</v>
      </c>
      <c r="H1520" s="50" t="s">
        <v>403</v>
      </c>
      <c r="I1520" s="16" t="s">
        <v>3941</v>
      </c>
    </row>
    <row r="1521" spans="1:9" x14ac:dyDescent="0.35">
      <c r="A1521" s="16">
        <v>339</v>
      </c>
      <c r="B1521" s="16" t="s">
        <v>1750</v>
      </c>
      <c r="C1521" s="16" t="s">
        <v>3951</v>
      </c>
      <c r="D1521" s="16" t="s">
        <v>130</v>
      </c>
      <c r="E1521" s="16" t="s">
        <v>813</v>
      </c>
      <c r="F1521" s="16" t="s">
        <v>413</v>
      </c>
      <c r="G1521" s="16" t="s">
        <v>3952</v>
      </c>
      <c r="H1521" s="50" t="s">
        <v>403</v>
      </c>
      <c r="I1521" s="16" t="s">
        <v>3941</v>
      </c>
    </row>
    <row r="1522" spans="1:9" x14ac:dyDescent="0.35">
      <c r="A1522" s="16">
        <v>339</v>
      </c>
      <c r="B1522" s="16" t="s">
        <v>3953</v>
      </c>
      <c r="C1522" s="16" t="s">
        <v>3951</v>
      </c>
      <c r="D1522" s="16" t="s">
        <v>130</v>
      </c>
      <c r="E1522" s="16" t="s">
        <v>813</v>
      </c>
      <c r="F1522" s="16" t="s">
        <v>413</v>
      </c>
      <c r="G1522" s="16" t="s">
        <v>3954</v>
      </c>
      <c r="H1522" s="50" t="s">
        <v>403</v>
      </c>
      <c r="I1522" s="16" t="s">
        <v>3941</v>
      </c>
    </row>
    <row r="1523" spans="1:9" x14ac:dyDescent="0.35">
      <c r="A1523" s="16">
        <v>339</v>
      </c>
      <c r="B1523" s="16" t="s">
        <v>1083</v>
      </c>
      <c r="C1523" s="16" t="s">
        <v>3955</v>
      </c>
      <c r="D1523" s="16" t="s">
        <v>130</v>
      </c>
      <c r="E1523" s="16" t="s">
        <v>1118</v>
      </c>
      <c r="F1523" s="16" t="s">
        <v>413</v>
      </c>
      <c r="G1523" s="16" t="s">
        <v>3956</v>
      </c>
      <c r="H1523" s="50" t="s">
        <v>403</v>
      </c>
      <c r="I1523" s="16" t="s">
        <v>3941</v>
      </c>
    </row>
    <row r="1524" spans="1:9" x14ac:dyDescent="0.35">
      <c r="A1524" s="16">
        <v>339</v>
      </c>
      <c r="B1524" s="16" t="s">
        <v>415</v>
      </c>
      <c r="C1524" s="16" t="s">
        <v>1891</v>
      </c>
      <c r="D1524" s="16" t="s">
        <v>130</v>
      </c>
      <c r="E1524" s="16" t="s">
        <v>813</v>
      </c>
      <c r="F1524" s="16" t="s">
        <v>413</v>
      </c>
      <c r="G1524" s="16" t="s">
        <v>3957</v>
      </c>
      <c r="H1524" s="50" t="s">
        <v>403</v>
      </c>
      <c r="I1524" s="16" t="s">
        <v>3941</v>
      </c>
    </row>
    <row r="1525" spans="1:9" x14ac:dyDescent="0.35">
      <c r="A1525" s="16">
        <v>339</v>
      </c>
      <c r="B1525" s="16" t="s">
        <v>416</v>
      </c>
      <c r="D1525" s="16" t="s">
        <v>130</v>
      </c>
      <c r="E1525" s="16" t="s">
        <v>813</v>
      </c>
      <c r="F1525" s="16" t="s">
        <v>413</v>
      </c>
      <c r="G1525" s="16" t="s">
        <v>1494</v>
      </c>
      <c r="H1525" s="50" t="s">
        <v>403</v>
      </c>
      <c r="I1525" s="16" t="s">
        <v>3941</v>
      </c>
    </row>
    <row r="1526" spans="1:9" x14ac:dyDescent="0.35">
      <c r="A1526" s="16">
        <v>339</v>
      </c>
      <c r="B1526" s="16" t="s">
        <v>3958</v>
      </c>
      <c r="C1526" s="16" t="s">
        <v>3959</v>
      </c>
      <c r="D1526" s="16" t="s">
        <v>130</v>
      </c>
      <c r="E1526" s="16" t="s">
        <v>813</v>
      </c>
      <c r="F1526" s="16" t="s">
        <v>413</v>
      </c>
      <c r="G1526" s="16" t="s">
        <v>3960</v>
      </c>
      <c r="H1526" s="50" t="s">
        <v>403</v>
      </c>
      <c r="I1526" s="16" t="s">
        <v>3941</v>
      </c>
    </row>
    <row r="1527" spans="1:9" x14ac:dyDescent="0.35">
      <c r="A1527" s="16">
        <v>339</v>
      </c>
      <c r="B1527" s="16" t="s">
        <v>3961</v>
      </c>
      <c r="C1527" s="16" t="s">
        <v>3959</v>
      </c>
      <c r="D1527" s="16" t="s">
        <v>130</v>
      </c>
      <c r="E1527" s="16" t="s">
        <v>813</v>
      </c>
      <c r="F1527" s="16" t="s">
        <v>413</v>
      </c>
      <c r="G1527" s="16" t="s">
        <v>3960</v>
      </c>
      <c r="H1527" s="50" t="s">
        <v>403</v>
      </c>
      <c r="I1527" s="16" t="s">
        <v>3941</v>
      </c>
    </row>
    <row r="1528" spans="1:9" x14ac:dyDescent="0.35">
      <c r="A1528" s="16">
        <v>339</v>
      </c>
      <c r="B1528" s="16" t="s">
        <v>3962</v>
      </c>
      <c r="C1528" s="16" t="s">
        <v>706</v>
      </c>
      <c r="D1528" s="16" t="s">
        <v>130</v>
      </c>
      <c r="E1528" s="16" t="s">
        <v>809</v>
      </c>
      <c r="F1528" s="16" t="s">
        <v>413</v>
      </c>
      <c r="G1528" s="16" t="s">
        <v>3963</v>
      </c>
      <c r="H1528" s="50" t="s">
        <v>403</v>
      </c>
      <c r="I1528" s="16" t="s">
        <v>3941</v>
      </c>
    </row>
    <row r="1529" spans="1:9" hidden="1" x14ac:dyDescent="0.35">
      <c r="A1529" s="16">
        <v>344</v>
      </c>
      <c r="B1529" s="16" t="s">
        <v>3964</v>
      </c>
      <c r="C1529" s="16" t="s">
        <v>656</v>
      </c>
      <c r="D1529" s="16" t="s">
        <v>124</v>
      </c>
      <c r="F1529" s="16" t="s">
        <v>3965</v>
      </c>
      <c r="G1529" s="16">
        <v>2021</v>
      </c>
      <c r="H1529" s="50" t="s">
        <v>404</v>
      </c>
      <c r="I1529" s="16" t="s">
        <v>3966</v>
      </c>
    </row>
    <row r="1530" spans="1:9" hidden="1" x14ac:dyDescent="0.35">
      <c r="A1530" s="16">
        <v>350</v>
      </c>
      <c r="B1530" s="16" t="s">
        <v>3967</v>
      </c>
      <c r="C1530" s="16" t="s">
        <v>633</v>
      </c>
      <c r="D1530" s="16" t="s">
        <v>130</v>
      </c>
      <c r="E1530" s="16" t="s">
        <v>1118</v>
      </c>
      <c r="F1530" s="16" t="s">
        <v>413</v>
      </c>
      <c r="G1530" s="16" t="s">
        <v>3943</v>
      </c>
      <c r="H1530" s="50" t="s">
        <v>403</v>
      </c>
      <c r="I1530" s="16" t="s">
        <v>3968</v>
      </c>
    </row>
    <row r="1531" spans="1:9" hidden="1" x14ac:dyDescent="0.35">
      <c r="B1531" s="16" t="s">
        <v>3969</v>
      </c>
      <c r="C1531" s="16" t="s">
        <v>3970</v>
      </c>
      <c r="D1531" s="16" t="s">
        <v>130</v>
      </c>
      <c r="E1531" s="16" t="s">
        <v>1118</v>
      </c>
      <c r="F1531" s="16" t="s">
        <v>413</v>
      </c>
      <c r="G1531" s="16" t="s">
        <v>3943</v>
      </c>
      <c r="H1531" s="50" t="s">
        <v>403</v>
      </c>
      <c r="I1531" s="16" t="s">
        <v>3968</v>
      </c>
    </row>
    <row r="1532" spans="1:9" hidden="1" x14ac:dyDescent="0.35">
      <c r="A1532" s="16">
        <v>350</v>
      </c>
      <c r="B1532" s="16" t="s">
        <v>1083</v>
      </c>
      <c r="C1532" s="16" t="s">
        <v>3971</v>
      </c>
      <c r="D1532" s="16" t="s">
        <v>130</v>
      </c>
      <c r="E1532" s="16" t="s">
        <v>1118</v>
      </c>
      <c r="F1532" s="16" t="s">
        <v>413</v>
      </c>
      <c r="G1532" s="16" t="s">
        <v>3944</v>
      </c>
      <c r="H1532" s="50" t="s">
        <v>403</v>
      </c>
      <c r="I1532" s="16" t="s">
        <v>3968</v>
      </c>
    </row>
    <row r="1533" spans="1:9" hidden="1" x14ac:dyDescent="0.35">
      <c r="A1533" s="16">
        <v>350</v>
      </c>
      <c r="B1533" s="16" t="s">
        <v>3972</v>
      </c>
      <c r="C1533" s="16" t="s">
        <v>3973</v>
      </c>
      <c r="D1533" s="16" t="s">
        <v>130</v>
      </c>
      <c r="E1533" s="16" t="s">
        <v>813</v>
      </c>
      <c r="F1533" s="16" t="s">
        <v>413</v>
      </c>
      <c r="G1533" s="16" t="s">
        <v>3944</v>
      </c>
      <c r="H1533" s="50" t="s">
        <v>403</v>
      </c>
      <c r="I1533" s="16" t="s">
        <v>3968</v>
      </c>
    </row>
    <row r="1534" spans="1:9" hidden="1" x14ac:dyDescent="0.35">
      <c r="A1534" s="16">
        <v>350</v>
      </c>
      <c r="B1534" s="16" t="s">
        <v>3974</v>
      </c>
      <c r="C1534" s="16" t="s">
        <v>3975</v>
      </c>
      <c r="D1534" s="16" t="s">
        <v>130</v>
      </c>
      <c r="E1534" s="16" t="s">
        <v>813</v>
      </c>
      <c r="F1534" s="16" t="s">
        <v>413</v>
      </c>
      <c r="G1534" s="16" t="s">
        <v>3944</v>
      </c>
      <c r="H1534" s="50" t="s">
        <v>403</v>
      </c>
      <c r="I1534" s="16" t="s">
        <v>3968</v>
      </c>
    </row>
    <row r="1535" spans="1:9" hidden="1" x14ac:dyDescent="0.35">
      <c r="A1535" s="16">
        <v>350</v>
      </c>
      <c r="B1535" s="16" t="s">
        <v>3976</v>
      </c>
      <c r="C1535" s="16" t="s">
        <v>3977</v>
      </c>
      <c r="D1535" s="16" t="s">
        <v>130</v>
      </c>
      <c r="E1535" s="16" t="s">
        <v>813</v>
      </c>
      <c r="F1535" s="16" t="s">
        <v>413</v>
      </c>
      <c r="G1535" s="16" t="s">
        <v>3944</v>
      </c>
      <c r="H1535" s="50" t="s">
        <v>403</v>
      </c>
      <c r="I1535" s="16" t="s">
        <v>3968</v>
      </c>
    </row>
    <row r="1536" spans="1:9" hidden="1" x14ac:dyDescent="0.35">
      <c r="A1536" s="16">
        <v>351</v>
      </c>
      <c r="B1536" s="16" t="s">
        <v>211</v>
      </c>
      <c r="C1536" s="16" t="s">
        <v>628</v>
      </c>
      <c r="D1536" s="16" t="s">
        <v>124</v>
      </c>
      <c r="E1536" s="16" t="s">
        <v>536</v>
      </c>
      <c r="F1536" s="16" t="s">
        <v>413</v>
      </c>
      <c r="G1536" s="16" t="s">
        <v>1330</v>
      </c>
      <c r="H1536" s="50" t="s">
        <v>1330</v>
      </c>
      <c r="I1536" s="16" t="s">
        <v>3978</v>
      </c>
    </row>
    <row r="1537" spans="1:9" hidden="1" x14ac:dyDescent="0.35">
      <c r="A1537" s="16">
        <v>351</v>
      </c>
      <c r="B1537" s="16" t="s">
        <v>565</v>
      </c>
      <c r="C1537" s="16" t="s">
        <v>2021</v>
      </c>
      <c r="D1537" s="16" t="s">
        <v>124</v>
      </c>
      <c r="E1537" s="16" t="s">
        <v>536</v>
      </c>
      <c r="F1537" s="16" t="s">
        <v>413</v>
      </c>
      <c r="G1537" s="16" t="s">
        <v>1330</v>
      </c>
      <c r="H1537" s="50" t="s">
        <v>1330</v>
      </c>
      <c r="I1537" s="16" t="s">
        <v>3978</v>
      </c>
    </row>
    <row r="1538" spans="1:9" hidden="1" x14ac:dyDescent="0.35">
      <c r="A1538" s="16">
        <v>351</v>
      </c>
      <c r="B1538" s="16" t="s">
        <v>3979</v>
      </c>
      <c r="C1538" s="16" t="s">
        <v>3949</v>
      </c>
      <c r="D1538" s="16" t="s">
        <v>124</v>
      </c>
      <c r="E1538" s="16" t="s">
        <v>536</v>
      </c>
      <c r="F1538" s="16" t="s">
        <v>413</v>
      </c>
      <c r="G1538" s="16" t="s">
        <v>1330</v>
      </c>
      <c r="H1538" s="50" t="s">
        <v>1330</v>
      </c>
      <c r="I1538" s="16" t="s">
        <v>3978</v>
      </c>
    </row>
    <row r="1539" spans="1:9" hidden="1" x14ac:dyDescent="0.35">
      <c r="A1539" s="16">
        <v>351</v>
      </c>
      <c r="B1539" s="16" t="s">
        <v>3980</v>
      </c>
      <c r="C1539" s="16" t="s">
        <v>633</v>
      </c>
      <c r="D1539" s="16" t="s">
        <v>124</v>
      </c>
      <c r="E1539" s="16" t="s">
        <v>536</v>
      </c>
      <c r="F1539" s="16" t="s">
        <v>413</v>
      </c>
      <c r="G1539" s="16" t="s">
        <v>1330</v>
      </c>
      <c r="H1539" s="50" t="s">
        <v>1330</v>
      </c>
      <c r="I1539" s="16" t="s">
        <v>3978</v>
      </c>
    </row>
    <row r="1540" spans="1:9" hidden="1" x14ac:dyDescent="0.35">
      <c r="A1540" s="16">
        <v>357</v>
      </c>
      <c r="B1540" s="16" t="s">
        <v>3981</v>
      </c>
      <c r="C1540" s="16" t="s">
        <v>3982</v>
      </c>
      <c r="D1540" s="16" t="s">
        <v>198</v>
      </c>
      <c r="F1540" s="16" t="s">
        <v>413</v>
      </c>
      <c r="G1540" s="16" t="s">
        <v>3983</v>
      </c>
      <c r="H1540" s="50" t="s">
        <v>404</v>
      </c>
      <c r="I1540" s="16" t="s">
        <v>3984</v>
      </c>
    </row>
    <row r="1541" spans="1:9" hidden="1" x14ac:dyDescent="0.35">
      <c r="A1541" s="16">
        <v>357</v>
      </c>
      <c r="B1541" s="16" t="s">
        <v>3985</v>
      </c>
      <c r="C1541" s="16" t="s">
        <v>3982</v>
      </c>
      <c r="D1541" s="16" t="s">
        <v>198</v>
      </c>
      <c r="F1541" s="16" t="s">
        <v>413</v>
      </c>
      <c r="G1541" s="16" t="s">
        <v>3983</v>
      </c>
      <c r="H1541" s="50" t="s">
        <v>404</v>
      </c>
      <c r="I1541" s="16" t="s">
        <v>3984</v>
      </c>
    </row>
    <row r="1542" spans="1:9" hidden="1" x14ac:dyDescent="0.35">
      <c r="A1542" s="16">
        <v>361</v>
      </c>
      <c r="B1542" s="16" t="s">
        <v>3986</v>
      </c>
      <c r="C1542" s="16" t="s">
        <v>3202</v>
      </c>
      <c r="D1542" s="16" t="s">
        <v>130</v>
      </c>
      <c r="E1542" s="16" t="s">
        <v>813</v>
      </c>
      <c r="F1542" s="16" t="s">
        <v>1002</v>
      </c>
      <c r="G1542" s="16" t="s">
        <v>1330</v>
      </c>
      <c r="H1542" s="50" t="s">
        <v>1330</v>
      </c>
      <c r="I1542" s="16" t="s">
        <v>3987</v>
      </c>
    </row>
    <row r="1543" spans="1:9" hidden="1" x14ac:dyDescent="0.35">
      <c r="A1543" s="16">
        <v>361</v>
      </c>
      <c r="B1543" s="16" t="s">
        <v>3988</v>
      </c>
      <c r="C1543" s="16" t="s">
        <v>1936</v>
      </c>
      <c r="D1543" s="16" t="s">
        <v>130</v>
      </c>
      <c r="E1543" s="16" t="s">
        <v>809</v>
      </c>
      <c r="F1543" s="16" t="s">
        <v>1002</v>
      </c>
      <c r="G1543" s="16" t="s">
        <v>1330</v>
      </c>
      <c r="H1543" s="50" t="s">
        <v>1330</v>
      </c>
      <c r="I1543" s="16" t="s">
        <v>3987</v>
      </c>
    </row>
    <row r="1544" spans="1:9" hidden="1" x14ac:dyDescent="0.35">
      <c r="A1544" s="16">
        <v>361</v>
      </c>
      <c r="B1544" s="16" t="s">
        <v>3989</v>
      </c>
      <c r="C1544" s="16" t="s">
        <v>3990</v>
      </c>
      <c r="D1544" s="16" t="s">
        <v>130</v>
      </c>
      <c r="E1544" s="16" t="s">
        <v>809</v>
      </c>
      <c r="F1544" s="16" t="s">
        <v>1002</v>
      </c>
      <c r="G1544" s="16" t="s">
        <v>1330</v>
      </c>
      <c r="H1544" s="50" t="s">
        <v>1330</v>
      </c>
      <c r="I1544" s="16" t="s">
        <v>3991</v>
      </c>
    </row>
    <row r="1545" spans="1:9" hidden="1" x14ac:dyDescent="0.35">
      <c r="A1545" s="16">
        <v>361</v>
      </c>
      <c r="B1545" s="16" t="s">
        <v>3992</v>
      </c>
      <c r="D1545" s="16" t="s">
        <v>130</v>
      </c>
      <c r="E1545" s="16" t="s">
        <v>809</v>
      </c>
      <c r="F1545" s="16" t="s">
        <v>1002</v>
      </c>
      <c r="G1545" s="16" t="s">
        <v>1330</v>
      </c>
      <c r="H1545" s="50" t="s">
        <v>1330</v>
      </c>
      <c r="I1545" s="16" t="s">
        <v>3991</v>
      </c>
    </row>
    <row r="1546" spans="1:9" hidden="1" x14ac:dyDescent="0.35">
      <c r="A1546" s="16">
        <v>361</v>
      </c>
      <c r="B1546" s="16" t="s">
        <v>3993</v>
      </c>
      <c r="C1546" s="16" t="s">
        <v>3994</v>
      </c>
      <c r="D1546" s="16" t="s">
        <v>130</v>
      </c>
      <c r="E1546" s="16" t="s">
        <v>809</v>
      </c>
      <c r="F1546" s="16" t="s">
        <v>1002</v>
      </c>
      <c r="G1546" s="16" t="s">
        <v>1330</v>
      </c>
      <c r="H1546" s="50" t="s">
        <v>1330</v>
      </c>
      <c r="I1546" s="16" t="s">
        <v>3991</v>
      </c>
    </row>
    <row r="1547" spans="1:9" hidden="1" x14ac:dyDescent="0.35">
      <c r="A1547" s="16">
        <v>361</v>
      </c>
      <c r="B1547" s="16" t="s">
        <v>3995</v>
      </c>
      <c r="C1547" s="16" t="s">
        <v>3994</v>
      </c>
      <c r="D1547" s="16" t="s">
        <v>130</v>
      </c>
      <c r="E1547" s="16" t="s">
        <v>809</v>
      </c>
      <c r="F1547" s="16" t="s">
        <v>1002</v>
      </c>
      <c r="G1547" s="16" t="s">
        <v>1330</v>
      </c>
      <c r="H1547" s="50" t="s">
        <v>1330</v>
      </c>
      <c r="I1547" s="16" t="s">
        <v>3991</v>
      </c>
    </row>
    <row r="1548" spans="1:9" x14ac:dyDescent="0.35">
      <c r="A1548" s="16">
        <v>383</v>
      </c>
      <c r="B1548" s="16" t="s">
        <v>3996</v>
      </c>
      <c r="C1548" s="16" t="s">
        <v>3202</v>
      </c>
      <c r="D1548" s="16" t="s">
        <v>130</v>
      </c>
      <c r="E1548" s="16" t="s">
        <v>813</v>
      </c>
      <c r="F1548" s="16" t="s">
        <v>122</v>
      </c>
      <c r="G1548" s="16" t="s">
        <v>1464</v>
      </c>
      <c r="H1548" s="50" t="s">
        <v>1330</v>
      </c>
      <c r="I1548" s="16" t="s">
        <v>3997</v>
      </c>
    </row>
    <row r="1549" spans="1:9" x14ac:dyDescent="0.35">
      <c r="A1549" s="16">
        <v>383</v>
      </c>
      <c r="B1549" s="16" t="s">
        <v>2114</v>
      </c>
      <c r="C1549" s="16" t="s">
        <v>676</v>
      </c>
      <c r="D1549" s="16" t="s">
        <v>130</v>
      </c>
      <c r="E1549" s="16" t="s">
        <v>813</v>
      </c>
      <c r="F1549" s="16" t="s">
        <v>122</v>
      </c>
      <c r="G1549" s="16" t="s">
        <v>1464</v>
      </c>
      <c r="H1549" s="50" t="s">
        <v>1330</v>
      </c>
      <c r="I1549" s="16" t="s">
        <v>3998</v>
      </c>
    </row>
    <row r="1550" spans="1:9" x14ac:dyDescent="0.35">
      <c r="A1550" s="16">
        <v>383</v>
      </c>
      <c r="B1550" s="16" t="s">
        <v>2117</v>
      </c>
      <c r="C1550" s="16" t="s">
        <v>3999</v>
      </c>
      <c r="D1550" s="16" t="s">
        <v>130</v>
      </c>
      <c r="E1550" s="16" t="s">
        <v>1118</v>
      </c>
      <c r="F1550" s="16" t="s">
        <v>122</v>
      </c>
      <c r="G1550" s="16" t="s">
        <v>1464</v>
      </c>
      <c r="H1550" s="50" t="s">
        <v>1330</v>
      </c>
      <c r="I1550" s="16" t="s">
        <v>3997</v>
      </c>
    </row>
    <row r="1551" spans="1:9" x14ac:dyDescent="0.35">
      <c r="A1551" s="16">
        <v>383</v>
      </c>
      <c r="B1551" s="16" t="s">
        <v>2119</v>
      </c>
      <c r="C1551" s="16" t="s">
        <v>1936</v>
      </c>
      <c r="D1551" s="16" t="s">
        <v>130</v>
      </c>
      <c r="E1551" s="16" t="s">
        <v>1118</v>
      </c>
      <c r="F1551" s="16" t="s">
        <v>122</v>
      </c>
      <c r="G1551" s="16" t="s">
        <v>1464</v>
      </c>
      <c r="H1551" s="50" t="s">
        <v>1330</v>
      </c>
      <c r="I1551" s="16" t="s">
        <v>3998</v>
      </c>
    </row>
    <row r="1552" spans="1:9" x14ac:dyDescent="0.35">
      <c r="A1552" s="16">
        <v>383</v>
      </c>
      <c r="B1552" s="16" t="s">
        <v>4000</v>
      </c>
      <c r="C1552" s="16" t="s">
        <v>4001</v>
      </c>
      <c r="D1552" s="16" t="s">
        <v>130</v>
      </c>
      <c r="E1552" s="16" t="s">
        <v>1118</v>
      </c>
      <c r="F1552" s="16" t="s">
        <v>122</v>
      </c>
      <c r="G1552" s="16" t="s">
        <v>1464</v>
      </c>
      <c r="H1552" s="50" t="s">
        <v>1330</v>
      </c>
      <c r="I1552" s="16" t="s">
        <v>3997</v>
      </c>
    </row>
    <row r="1553" spans="1:9" x14ac:dyDescent="0.35">
      <c r="A1553" s="16">
        <v>383</v>
      </c>
      <c r="B1553" s="16" t="s">
        <v>4002</v>
      </c>
      <c r="D1553" s="16" t="s">
        <v>130</v>
      </c>
      <c r="E1553" s="16" t="s">
        <v>1118</v>
      </c>
      <c r="F1553" s="16" t="s">
        <v>122</v>
      </c>
      <c r="G1553" s="16" t="s">
        <v>1464</v>
      </c>
      <c r="H1553" s="50" t="s">
        <v>1330</v>
      </c>
      <c r="I1553" s="16" t="s">
        <v>3998</v>
      </c>
    </row>
    <row r="1554" spans="1:9" x14ac:dyDescent="0.35">
      <c r="A1554" s="16">
        <v>383</v>
      </c>
      <c r="B1554" s="16" t="s">
        <v>4003</v>
      </c>
      <c r="C1554" s="16" t="s">
        <v>633</v>
      </c>
      <c r="D1554" s="16" t="s">
        <v>130</v>
      </c>
      <c r="E1554" s="16" t="s">
        <v>1118</v>
      </c>
      <c r="F1554" s="16" t="s">
        <v>122</v>
      </c>
      <c r="G1554" s="16" t="s">
        <v>1464</v>
      </c>
      <c r="H1554" s="50" t="s">
        <v>1330</v>
      </c>
      <c r="I1554" s="16" t="s">
        <v>3998</v>
      </c>
    </row>
    <row r="1555" spans="1:9" x14ac:dyDescent="0.35">
      <c r="A1555" s="16">
        <v>383</v>
      </c>
      <c r="B1555" s="16" t="s">
        <v>2598</v>
      </c>
      <c r="C1555" s="16" t="s">
        <v>4004</v>
      </c>
      <c r="D1555" s="16" t="s">
        <v>130</v>
      </c>
      <c r="E1555" s="16" t="s">
        <v>1118</v>
      </c>
      <c r="F1555" s="16" t="s">
        <v>122</v>
      </c>
      <c r="G1555" s="16" t="s">
        <v>1464</v>
      </c>
      <c r="H1555" s="50" t="s">
        <v>1330</v>
      </c>
      <c r="I1555" s="16" t="s">
        <v>3998</v>
      </c>
    </row>
    <row r="1556" spans="1:9" x14ac:dyDescent="0.35">
      <c r="A1556" s="16">
        <v>383</v>
      </c>
      <c r="B1556" s="16" t="s">
        <v>2563</v>
      </c>
      <c r="C1556" s="16" t="s">
        <v>4005</v>
      </c>
      <c r="D1556" s="16" t="s">
        <v>130</v>
      </c>
      <c r="E1556" s="16" t="s">
        <v>1118</v>
      </c>
      <c r="F1556" s="16" t="s">
        <v>122</v>
      </c>
      <c r="G1556" s="16" t="s">
        <v>1464</v>
      </c>
      <c r="H1556" s="50" t="s">
        <v>1330</v>
      </c>
      <c r="I1556" s="16" t="s">
        <v>3998</v>
      </c>
    </row>
    <row r="1557" spans="1:9" x14ac:dyDescent="0.35">
      <c r="A1557" s="16">
        <v>383</v>
      </c>
      <c r="B1557" s="16" t="s">
        <v>4006</v>
      </c>
      <c r="C1557" s="16" t="s">
        <v>4004</v>
      </c>
      <c r="D1557" s="16" t="s">
        <v>130</v>
      </c>
      <c r="E1557" s="16" t="s">
        <v>1118</v>
      </c>
      <c r="F1557" s="16" t="s">
        <v>122</v>
      </c>
      <c r="G1557" s="16" t="s">
        <v>1464</v>
      </c>
      <c r="H1557" s="50" t="s">
        <v>1330</v>
      </c>
      <c r="I1557" s="16" t="s">
        <v>3998</v>
      </c>
    </row>
    <row r="1558" spans="1:9" hidden="1" x14ac:dyDescent="0.35">
      <c r="A1558" s="16">
        <v>387</v>
      </c>
      <c r="B1558" s="16" t="s">
        <v>4007</v>
      </c>
      <c r="C1558" s="16" t="s">
        <v>3597</v>
      </c>
      <c r="D1558" s="16" t="s">
        <v>130</v>
      </c>
      <c r="E1558" s="16" t="s">
        <v>1021</v>
      </c>
      <c r="F1558" s="16" t="s">
        <v>4008</v>
      </c>
      <c r="G1558" s="16" t="s">
        <v>4009</v>
      </c>
      <c r="H1558" s="50" t="s">
        <v>1330</v>
      </c>
      <c r="I1558" s="16" t="s">
        <v>4010</v>
      </c>
    </row>
    <row r="1559" spans="1:9" hidden="1" x14ac:dyDescent="0.35">
      <c r="A1559" s="16">
        <v>387</v>
      </c>
      <c r="B1559" s="16" t="s">
        <v>4011</v>
      </c>
      <c r="C1559" s="16" t="s">
        <v>633</v>
      </c>
      <c r="D1559" s="16" t="s">
        <v>130</v>
      </c>
      <c r="E1559" s="16" t="s">
        <v>1021</v>
      </c>
      <c r="F1559" s="16" t="s">
        <v>4008</v>
      </c>
      <c r="G1559" s="16" t="s">
        <v>4009</v>
      </c>
      <c r="H1559" s="50" t="s">
        <v>1330</v>
      </c>
      <c r="I1559" s="16" t="s">
        <v>2460</v>
      </c>
    </row>
    <row r="1560" spans="1:9" hidden="1" x14ac:dyDescent="0.35">
      <c r="A1560" s="16">
        <v>387</v>
      </c>
      <c r="B1560" s="16" t="s">
        <v>4012</v>
      </c>
      <c r="C1560" s="16" t="s">
        <v>628</v>
      </c>
      <c r="D1560" s="16" t="s">
        <v>130</v>
      </c>
      <c r="E1560" s="16" t="s">
        <v>1021</v>
      </c>
      <c r="F1560" s="16" t="s">
        <v>4008</v>
      </c>
      <c r="G1560" s="16" t="s">
        <v>4009</v>
      </c>
      <c r="H1560" s="50" t="s">
        <v>1330</v>
      </c>
      <c r="I1560" s="16" t="s">
        <v>2460</v>
      </c>
    </row>
    <row r="1561" spans="1:9" hidden="1" x14ac:dyDescent="0.35">
      <c r="A1561" s="16">
        <v>387</v>
      </c>
      <c r="B1561" s="16" t="s">
        <v>4013</v>
      </c>
      <c r="C1561" s="16" t="s">
        <v>705</v>
      </c>
      <c r="D1561" s="16" t="s">
        <v>130</v>
      </c>
      <c r="E1561" s="16" t="s">
        <v>1021</v>
      </c>
      <c r="F1561" s="16" t="s">
        <v>4008</v>
      </c>
      <c r="G1561" s="16" t="s">
        <v>4009</v>
      </c>
      <c r="H1561" s="50" t="s">
        <v>1330</v>
      </c>
      <c r="I1561" s="16" t="s">
        <v>2460</v>
      </c>
    </row>
    <row r="1562" spans="1:9" hidden="1" x14ac:dyDescent="0.35">
      <c r="A1562" s="16">
        <v>387</v>
      </c>
      <c r="B1562" s="16" t="s">
        <v>4014</v>
      </c>
      <c r="D1562" s="16" t="s">
        <v>130</v>
      </c>
      <c r="E1562" s="16" t="s">
        <v>1021</v>
      </c>
      <c r="F1562" s="16" t="s">
        <v>4008</v>
      </c>
      <c r="G1562" s="16" t="s">
        <v>4009</v>
      </c>
      <c r="H1562" s="50" t="s">
        <v>1330</v>
      </c>
      <c r="I1562" s="16" t="s">
        <v>4015</v>
      </c>
    </row>
    <row r="1563" spans="1:9" hidden="1" x14ac:dyDescent="0.35">
      <c r="A1563" s="16">
        <v>396</v>
      </c>
      <c r="B1563" s="16" t="s">
        <v>4016</v>
      </c>
      <c r="C1563" s="16" t="s">
        <v>4017</v>
      </c>
      <c r="D1563" s="16" t="s">
        <v>130</v>
      </c>
      <c r="E1563" s="16" t="s">
        <v>1118</v>
      </c>
      <c r="F1563" s="16" t="s">
        <v>122</v>
      </c>
      <c r="G1563" s="16" t="s">
        <v>4018</v>
      </c>
      <c r="H1563" s="50" t="s">
        <v>404</v>
      </c>
      <c r="I1563" s="16" t="s">
        <v>4019</v>
      </c>
    </row>
    <row r="1564" spans="1:9" hidden="1" x14ac:dyDescent="0.35">
      <c r="A1564" s="16">
        <v>396</v>
      </c>
      <c r="B1564" s="16" t="s">
        <v>4020</v>
      </c>
      <c r="C1564" s="16" t="s">
        <v>4017</v>
      </c>
      <c r="D1564" s="16" t="s">
        <v>130</v>
      </c>
      <c r="E1564" s="16" t="s">
        <v>1118</v>
      </c>
      <c r="F1564" s="16" t="s">
        <v>122</v>
      </c>
      <c r="G1564" s="16" t="s">
        <v>4018</v>
      </c>
      <c r="H1564" s="50" t="s">
        <v>404</v>
      </c>
      <c r="I1564" s="16" t="s">
        <v>4019</v>
      </c>
    </row>
    <row r="1565" spans="1:9" hidden="1" x14ac:dyDescent="0.35">
      <c r="A1565" s="16">
        <v>396</v>
      </c>
      <c r="B1565" s="16" t="s">
        <v>4021</v>
      </c>
      <c r="C1565" s="16" t="s">
        <v>4017</v>
      </c>
      <c r="D1565" s="16" t="s">
        <v>130</v>
      </c>
      <c r="E1565" s="16" t="s">
        <v>1118</v>
      </c>
      <c r="F1565" s="16" t="s">
        <v>122</v>
      </c>
      <c r="G1565" s="16" t="s">
        <v>4018</v>
      </c>
      <c r="H1565" s="50" t="s">
        <v>404</v>
      </c>
      <c r="I1565" s="16" t="s">
        <v>4019</v>
      </c>
    </row>
    <row r="1566" spans="1:9" hidden="1" x14ac:dyDescent="0.35">
      <c r="A1566" s="16">
        <v>396</v>
      </c>
      <c r="B1566" s="16" t="s">
        <v>4022</v>
      </c>
      <c r="C1566" s="16" t="s">
        <v>4023</v>
      </c>
      <c r="D1566" s="16" t="s">
        <v>130</v>
      </c>
      <c r="E1566" s="16" t="s">
        <v>1118</v>
      </c>
      <c r="F1566" s="16" t="s">
        <v>122</v>
      </c>
      <c r="G1566" s="16" t="s">
        <v>4018</v>
      </c>
      <c r="H1566" s="50" t="s">
        <v>404</v>
      </c>
      <c r="I1566" s="16" t="s">
        <v>4019</v>
      </c>
    </row>
    <row r="1567" spans="1:9" hidden="1" x14ac:dyDescent="0.35">
      <c r="A1567" s="16">
        <v>396</v>
      </c>
      <c r="B1567" s="16" t="s">
        <v>4024</v>
      </c>
      <c r="C1567" s="16" t="s">
        <v>4025</v>
      </c>
      <c r="D1567" s="16" t="s">
        <v>130</v>
      </c>
      <c r="E1567" s="16" t="s">
        <v>1118</v>
      </c>
      <c r="F1567" s="16" t="s">
        <v>122</v>
      </c>
      <c r="G1567" s="16" t="s">
        <v>4018</v>
      </c>
      <c r="H1567" s="50" t="s">
        <v>404</v>
      </c>
      <c r="I1567" s="16" t="s">
        <v>4019</v>
      </c>
    </row>
    <row r="1568" spans="1:9" x14ac:dyDescent="0.35">
      <c r="A1568" s="16">
        <v>422</v>
      </c>
      <c r="B1568" s="16" t="s">
        <v>4026</v>
      </c>
      <c r="C1568" s="16" t="s">
        <v>633</v>
      </c>
      <c r="D1568" s="16" t="s">
        <v>124</v>
      </c>
      <c r="E1568" s="16" t="s">
        <v>1329</v>
      </c>
      <c r="F1568" s="16" t="s">
        <v>2792</v>
      </c>
      <c r="G1568" s="16" t="s">
        <v>4027</v>
      </c>
      <c r="H1568" s="50" t="s">
        <v>404</v>
      </c>
      <c r="I1568" s="16" t="s">
        <v>3941</v>
      </c>
    </row>
    <row r="1569" spans="1:9" x14ac:dyDescent="0.35">
      <c r="A1569" s="16">
        <v>422</v>
      </c>
      <c r="B1569" s="16" t="s">
        <v>4028</v>
      </c>
      <c r="D1569" s="16" t="s">
        <v>124</v>
      </c>
      <c r="E1569" s="16" t="s">
        <v>1329</v>
      </c>
      <c r="F1569" s="16" t="s">
        <v>28</v>
      </c>
      <c r="G1569" s="16" t="s">
        <v>4027</v>
      </c>
      <c r="H1569" s="50" t="s">
        <v>404</v>
      </c>
      <c r="I1569" s="16" t="s">
        <v>4029</v>
      </c>
    </row>
    <row r="1570" spans="1:9" x14ac:dyDescent="0.35">
      <c r="A1570" s="16">
        <v>422</v>
      </c>
      <c r="B1570" s="16" t="s">
        <v>4030</v>
      </c>
      <c r="C1570" s="16" t="s">
        <v>686</v>
      </c>
      <c r="D1570" s="16" t="s">
        <v>124</v>
      </c>
      <c r="E1570" s="16" t="s">
        <v>1329</v>
      </c>
      <c r="F1570" s="16" t="s">
        <v>28</v>
      </c>
      <c r="G1570" s="16" t="s">
        <v>4031</v>
      </c>
      <c r="H1570" s="50" t="s">
        <v>1330</v>
      </c>
      <c r="I1570" s="16" t="s">
        <v>534</v>
      </c>
    </row>
    <row r="1571" spans="1:9" hidden="1" x14ac:dyDescent="0.35">
      <c r="A1571" s="16">
        <v>423</v>
      </c>
      <c r="B1571" s="16" t="s">
        <v>4032</v>
      </c>
      <c r="C1571" s="16" t="s">
        <v>633</v>
      </c>
      <c r="D1571" s="16" t="s">
        <v>124</v>
      </c>
      <c r="E1571" s="16" t="s">
        <v>1329</v>
      </c>
      <c r="F1571" s="16" t="s">
        <v>28</v>
      </c>
      <c r="G1571" s="16">
        <v>1990</v>
      </c>
      <c r="H1571" s="50" t="s">
        <v>1330</v>
      </c>
      <c r="I1571" s="16" t="s">
        <v>4033</v>
      </c>
    </row>
    <row r="1572" spans="1:9" hidden="1" x14ac:dyDescent="0.35">
      <c r="A1572" s="16">
        <v>423</v>
      </c>
      <c r="B1572" s="16" t="s">
        <v>3287</v>
      </c>
      <c r="C1572" s="16" t="s">
        <v>633</v>
      </c>
      <c r="D1572" s="16" t="s">
        <v>124</v>
      </c>
      <c r="E1572" s="16" t="s">
        <v>1329</v>
      </c>
      <c r="F1572" s="16" t="s">
        <v>28</v>
      </c>
      <c r="G1572" s="16">
        <v>1990</v>
      </c>
      <c r="H1572" s="50" t="s">
        <v>1330</v>
      </c>
      <c r="I1572" s="16" t="s">
        <v>4033</v>
      </c>
    </row>
    <row r="1573" spans="1:9" hidden="1" x14ac:dyDescent="0.35">
      <c r="A1573" s="16">
        <v>423</v>
      </c>
      <c r="B1573" s="16" t="s">
        <v>4034</v>
      </c>
      <c r="C1573" s="16" t="s">
        <v>633</v>
      </c>
      <c r="D1573" s="16" t="s">
        <v>124</v>
      </c>
      <c r="E1573" s="16" t="s">
        <v>1329</v>
      </c>
      <c r="F1573" s="16" t="s">
        <v>28</v>
      </c>
      <c r="G1573" s="16">
        <v>1990</v>
      </c>
      <c r="H1573" s="50" t="s">
        <v>1330</v>
      </c>
      <c r="I1573" s="16" t="s">
        <v>4033</v>
      </c>
    </row>
    <row r="1574" spans="1:9" hidden="1" x14ac:dyDescent="0.35">
      <c r="A1574" s="16">
        <v>423</v>
      </c>
      <c r="B1574" s="16" t="s">
        <v>4035</v>
      </c>
      <c r="D1574" s="16" t="s">
        <v>124</v>
      </c>
      <c r="E1574" s="16" t="s">
        <v>1329</v>
      </c>
      <c r="F1574" s="16" t="s">
        <v>28</v>
      </c>
      <c r="G1574" s="16">
        <v>1990</v>
      </c>
      <c r="H1574" s="50" t="s">
        <v>1330</v>
      </c>
      <c r="I1574" s="16" t="s">
        <v>4033</v>
      </c>
    </row>
    <row r="1575" spans="1:9" hidden="1" x14ac:dyDescent="0.35">
      <c r="A1575" s="16">
        <v>425</v>
      </c>
      <c r="B1575" s="16" t="s">
        <v>4036</v>
      </c>
      <c r="C1575" s="16" t="s">
        <v>633</v>
      </c>
      <c r="D1575" s="16" t="s">
        <v>130</v>
      </c>
      <c r="E1575" s="16" t="s">
        <v>809</v>
      </c>
      <c r="F1575" s="16" t="s">
        <v>4037</v>
      </c>
      <c r="G1575" s="16" t="s">
        <v>4038</v>
      </c>
      <c r="H1575" s="50" t="s">
        <v>406</v>
      </c>
      <c r="I1575" s="16" t="s">
        <v>4039</v>
      </c>
    </row>
    <row r="1576" spans="1:9" hidden="1" x14ac:dyDescent="0.35">
      <c r="A1576" s="16">
        <v>425</v>
      </c>
      <c r="B1576" s="16" t="s">
        <v>2195</v>
      </c>
      <c r="C1576" s="16" t="s">
        <v>3945</v>
      </c>
      <c r="D1576" s="16" t="s">
        <v>130</v>
      </c>
      <c r="E1576" s="16" t="s">
        <v>809</v>
      </c>
      <c r="F1576" s="16" t="s">
        <v>4037</v>
      </c>
      <c r="G1576" s="16" t="s">
        <v>4038</v>
      </c>
      <c r="H1576" s="50" t="s">
        <v>406</v>
      </c>
      <c r="I1576" s="16" t="s">
        <v>4039</v>
      </c>
    </row>
    <row r="1577" spans="1:9" hidden="1" x14ac:dyDescent="0.35">
      <c r="A1577" s="16">
        <v>425</v>
      </c>
      <c r="B1577" s="16" t="s">
        <v>3942</v>
      </c>
      <c r="C1577" s="16" t="s">
        <v>633</v>
      </c>
      <c r="D1577" s="16" t="s">
        <v>130</v>
      </c>
      <c r="E1577" s="16" t="s">
        <v>809</v>
      </c>
      <c r="F1577" s="16" t="s">
        <v>4037</v>
      </c>
      <c r="G1577" s="16" t="s">
        <v>4038</v>
      </c>
      <c r="H1577" s="50" t="s">
        <v>406</v>
      </c>
      <c r="I1577" s="16" t="s">
        <v>4039</v>
      </c>
    </row>
    <row r="1578" spans="1:9" hidden="1" x14ac:dyDescent="0.35">
      <c r="A1578" s="16">
        <v>425</v>
      </c>
      <c r="B1578" s="16" t="s">
        <v>4040</v>
      </c>
      <c r="C1578" s="16" t="s">
        <v>4041</v>
      </c>
      <c r="D1578" s="16" t="s">
        <v>130</v>
      </c>
      <c r="E1578" s="16" t="s">
        <v>809</v>
      </c>
      <c r="F1578" s="16" t="s">
        <v>4037</v>
      </c>
      <c r="G1578" s="16" t="s">
        <v>4038</v>
      </c>
      <c r="H1578" s="50" t="s">
        <v>406</v>
      </c>
      <c r="I1578" s="16" t="s">
        <v>4039</v>
      </c>
    </row>
    <row r="1579" spans="1:9" hidden="1" x14ac:dyDescent="0.35">
      <c r="A1579" s="16">
        <v>425</v>
      </c>
      <c r="B1579" s="16" t="s">
        <v>286</v>
      </c>
      <c r="D1579" s="16" t="s">
        <v>130</v>
      </c>
      <c r="E1579" s="16" t="s">
        <v>813</v>
      </c>
      <c r="F1579" s="16" t="s">
        <v>4037</v>
      </c>
      <c r="G1579" s="16" t="s">
        <v>4038</v>
      </c>
      <c r="H1579" s="50" t="s">
        <v>406</v>
      </c>
      <c r="I1579" s="16" t="s">
        <v>4039</v>
      </c>
    </row>
    <row r="1580" spans="1:9" hidden="1" x14ac:dyDescent="0.35">
      <c r="A1580" s="16">
        <v>425</v>
      </c>
      <c r="B1580" s="16" t="s">
        <v>814</v>
      </c>
      <c r="C1580" s="16" t="s">
        <v>4042</v>
      </c>
      <c r="D1580" s="16" t="s">
        <v>130</v>
      </c>
      <c r="E1580" s="16" t="s">
        <v>813</v>
      </c>
      <c r="F1580" s="16" t="s">
        <v>4037</v>
      </c>
      <c r="G1580" s="16" t="s">
        <v>4038</v>
      </c>
      <c r="H1580" s="50" t="s">
        <v>406</v>
      </c>
      <c r="I1580" s="16" t="s">
        <v>4039</v>
      </c>
    </row>
    <row r="1581" spans="1:9" hidden="1" x14ac:dyDescent="0.35">
      <c r="A1581" s="16">
        <v>425</v>
      </c>
      <c r="B1581" s="16" t="s">
        <v>4043</v>
      </c>
      <c r="C1581" s="16" t="s">
        <v>633</v>
      </c>
      <c r="D1581" s="16" t="s">
        <v>130</v>
      </c>
      <c r="E1581" s="16" t="s">
        <v>1118</v>
      </c>
      <c r="F1581" s="16" t="s">
        <v>4037</v>
      </c>
      <c r="G1581" s="16" t="s">
        <v>4038</v>
      </c>
      <c r="H1581" s="50" t="s">
        <v>406</v>
      </c>
      <c r="I1581" s="16" t="s">
        <v>4039</v>
      </c>
    </row>
    <row r="1582" spans="1:9" hidden="1" x14ac:dyDescent="0.35">
      <c r="A1582" s="16">
        <v>425</v>
      </c>
      <c r="B1582" s="16" t="s">
        <v>415</v>
      </c>
      <c r="C1582" s="16" t="s">
        <v>633</v>
      </c>
      <c r="D1582" s="16" t="s">
        <v>130</v>
      </c>
      <c r="E1582" s="16" t="s">
        <v>813</v>
      </c>
      <c r="F1582" s="16" t="s">
        <v>4037</v>
      </c>
      <c r="G1582" s="16" t="s">
        <v>4038</v>
      </c>
      <c r="H1582" s="50" t="s">
        <v>406</v>
      </c>
      <c r="I1582" s="16" t="s">
        <v>4039</v>
      </c>
    </row>
    <row r="1583" spans="1:9" hidden="1" x14ac:dyDescent="0.35">
      <c r="A1583" s="16">
        <v>425</v>
      </c>
      <c r="B1583" s="16" t="s">
        <v>288</v>
      </c>
      <c r="C1583" s="16" t="s">
        <v>1935</v>
      </c>
      <c r="D1583" s="16" t="s">
        <v>130</v>
      </c>
      <c r="E1583" s="16" t="s">
        <v>813</v>
      </c>
      <c r="F1583" s="16" t="s">
        <v>4037</v>
      </c>
      <c r="G1583" s="16" t="s">
        <v>4038</v>
      </c>
      <c r="H1583" s="50" t="s">
        <v>406</v>
      </c>
      <c r="I1583" s="16" t="s">
        <v>4039</v>
      </c>
    </row>
    <row r="1584" spans="1:9" hidden="1" x14ac:dyDescent="0.35">
      <c r="A1584" s="16">
        <v>425</v>
      </c>
      <c r="B1584" s="16" t="s">
        <v>4044</v>
      </c>
      <c r="C1584" s="16" t="s">
        <v>1935</v>
      </c>
      <c r="D1584" s="16" t="s">
        <v>130</v>
      </c>
      <c r="E1584" s="16" t="s">
        <v>813</v>
      </c>
      <c r="F1584" s="16" t="s">
        <v>4037</v>
      </c>
      <c r="G1584" s="16" t="s">
        <v>4038</v>
      </c>
      <c r="H1584" s="50" t="s">
        <v>406</v>
      </c>
      <c r="I1584" s="16" t="s">
        <v>4039</v>
      </c>
    </row>
    <row r="1585" spans="1:9" hidden="1" x14ac:dyDescent="0.35">
      <c r="A1585" s="16">
        <v>425</v>
      </c>
      <c r="B1585" s="16" t="s">
        <v>4045</v>
      </c>
      <c r="C1585" s="16" t="s">
        <v>1935</v>
      </c>
      <c r="D1585" s="16" t="s">
        <v>130</v>
      </c>
      <c r="E1585" s="16" t="s">
        <v>813</v>
      </c>
      <c r="F1585" s="16" t="s">
        <v>4037</v>
      </c>
      <c r="G1585" s="16" t="s">
        <v>4038</v>
      </c>
      <c r="H1585" s="50" t="s">
        <v>406</v>
      </c>
      <c r="I1585" s="16" t="s">
        <v>4039</v>
      </c>
    </row>
    <row r="1586" spans="1:9" hidden="1" x14ac:dyDescent="0.35">
      <c r="A1586" s="16">
        <v>425</v>
      </c>
      <c r="B1586" s="16" t="s">
        <v>4046</v>
      </c>
      <c r="C1586" s="16" t="s">
        <v>1935</v>
      </c>
      <c r="D1586" s="16" t="s">
        <v>130</v>
      </c>
      <c r="E1586" s="16" t="s">
        <v>813</v>
      </c>
      <c r="F1586" s="16" t="s">
        <v>4037</v>
      </c>
      <c r="G1586" s="16" t="s">
        <v>4038</v>
      </c>
      <c r="H1586" s="50" t="s">
        <v>406</v>
      </c>
      <c r="I1586" s="16" t="s">
        <v>4039</v>
      </c>
    </row>
    <row r="1587" spans="1:9" hidden="1" x14ac:dyDescent="0.35">
      <c r="A1587" s="16">
        <v>425</v>
      </c>
      <c r="B1587" s="16" t="s">
        <v>4047</v>
      </c>
      <c r="C1587" s="16" t="s">
        <v>1935</v>
      </c>
      <c r="D1587" s="16" t="s">
        <v>130</v>
      </c>
      <c r="E1587" s="16" t="s">
        <v>813</v>
      </c>
      <c r="F1587" s="16" t="s">
        <v>4037</v>
      </c>
      <c r="G1587" s="16" t="s">
        <v>4038</v>
      </c>
      <c r="H1587" s="50" t="s">
        <v>406</v>
      </c>
      <c r="I1587" s="16" t="s">
        <v>4039</v>
      </c>
    </row>
    <row r="1588" spans="1:9" hidden="1" x14ac:dyDescent="0.35">
      <c r="A1588" s="16">
        <v>425</v>
      </c>
      <c r="B1588" s="16" t="s">
        <v>2114</v>
      </c>
      <c r="C1588" s="16" t="s">
        <v>1936</v>
      </c>
      <c r="D1588" s="16" t="s">
        <v>130</v>
      </c>
      <c r="E1588" s="16" t="s">
        <v>813</v>
      </c>
      <c r="F1588" s="16" t="s">
        <v>4037</v>
      </c>
      <c r="G1588" s="16" t="s">
        <v>4038</v>
      </c>
      <c r="H1588" s="50" t="s">
        <v>406</v>
      </c>
      <c r="I1588" s="16" t="s">
        <v>4039</v>
      </c>
    </row>
    <row r="1589" spans="1:9" hidden="1" x14ac:dyDescent="0.35">
      <c r="A1589" s="16">
        <v>425</v>
      </c>
      <c r="B1589" s="16" t="s">
        <v>4048</v>
      </c>
      <c r="C1589" s="16" t="s">
        <v>4049</v>
      </c>
      <c r="D1589" s="16" t="s">
        <v>130</v>
      </c>
      <c r="E1589" s="16" t="s">
        <v>813</v>
      </c>
      <c r="F1589" s="16" t="s">
        <v>4037</v>
      </c>
      <c r="G1589" s="16" t="s">
        <v>4038</v>
      </c>
      <c r="H1589" s="50" t="s">
        <v>406</v>
      </c>
      <c r="I1589" s="16" t="s">
        <v>4039</v>
      </c>
    </row>
    <row r="1590" spans="1:9" hidden="1" x14ac:dyDescent="0.35">
      <c r="A1590" s="16">
        <v>425</v>
      </c>
      <c r="B1590" s="16" t="s">
        <v>4050</v>
      </c>
      <c r="C1590" s="16" t="s">
        <v>2999</v>
      </c>
      <c r="D1590" s="16" t="s">
        <v>130</v>
      </c>
      <c r="E1590" s="16" t="s">
        <v>1021</v>
      </c>
      <c r="F1590" s="16" t="s">
        <v>4037</v>
      </c>
      <c r="G1590" s="16" t="s">
        <v>4038</v>
      </c>
      <c r="H1590" s="50" t="s">
        <v>406</v>
      </c>
      <c r="I1590" s="16" t="s">
        <v>4039</v>
      </c>
    </row>
    <row r="1591" spans="1:9" hidden="1" x14ac:dyDescent="0.35">
      <c r="A1591" s="16">
        <v>425</v>
      </c>
      <c r="B1591" s="16" t="s">
        <v>4051</v>
      </c>
      <c r="C1591" s="16" t="s">
        <v>656</v>
      </c>
      <c r="D1591" s="16" t="s">
        <v>130</v>
      </c>
      <c r="E1591" s="16" t="s">
        <v>1021</v>
      </c>
      <c r="F1591" s="16" t="s">
        <v>4037</v>
      </c>
      <c r="G1591" s="16" t="s">
        <v>4038</v>
      </c>
      <c r="H1591" s="50" t="s">
        <v>406</v>
      </c>
      <c r="I1591" s="16" t="s">
        <v>4039</v>
      </c>
    </row>
    <row r="1592" spans="1:9" hidden="1" x14ac:dyDescent="0.35">
      <c r="A1592" s="16">
        <v>425</v>
      </c>
      <c r="B1592" s="16" t="s">
        <v>4052</v>
      </c>
      <c r="C1592" s="16" t="s">
        <v>663</v>
      </c>
      <c r="D1592" s="16" t="s">
        <v>130</v>
      </c>
      <c r="E1592" s="16" t="s">
        <v>1021</v>
      </c>
      <c r="F1592" s="16" t="s">
        <v>4037</v>
      </c>
      <c r="G1592" s="16" t="s">
        <v>4038</v>
      </c>
      <c r="H1592" s="50" t="s">
        <v>406</v>
      </c>
      <c r="I1592" s="16" t="s">
        <v>4039</v>
      </c>
    </row>
    <row r="1593" spans="1:9" hidden="1" x14ac:dyDescent="0.35">
      <c r="A1593" s="16">
        <v>428</v>
      </c>
      <c r="B1593" s="16" t="s">
        <v>286</v>
      </c>
      <c r="D1593" s="16" t="s">
        <v>130</v>
      </c>
      <c r="E1593" s="16" t="s">
        <v>813</v>
      </c>
      <c r="F1593" s="16" t="s">
        <v>1002</v>
      </c>
      <c r="G1593" s="16" t="s">
        <v>1615</v>
      </c>
      <c r="H1593" s="50" t="s">
        <v>1330</v>
      </c>
      <c r="I1593" s="16" t="s">
        <v>4053</v>
      </c>
    </row>
    <row r="1594" spans="1:9" hidden="1" x14ac:dyDescent="0.35">
      <c r="A1594" s="16">
        <v>428</v>
      </c>
      <c r="B1594" s="16" t="s">
        <v>814</v>
      </c>
      <c r="C1594" s="16" t="s">
        <v>2111</v>
      </c>
      <c r="D1594" s="16" t="s">
        <v>130</v>
      </c>
      <c r="E1594" s="16" t="s">
        <v>813</v>
      </c>
      <c r="F1594" s="16" t="s">
        <v>1002</v>
      </c>
      <c r="G1594" s="16" t="s">
        <v>1615</v>
      </c>
      <c r="H1594" s="50" t="s">
        <v>1330</v>
      </c>
      <c r="I1594" s="16" t="s">
        <v>4053</v>
      </c>
    </row>
    <row r="1595" spans="1:9" hidden="1" x14ac:dyDescent="0.35">
      <c r="A1595" s="16">
        <v>428</v>
      </c>
      <c r="B1595" s="16" t="s">
        <v>3942</v>
      </c>
      <c r="C1595" s="16" t="s">
        <v>633</v>
      </c>
      <c r="D1595" s="16" t="s">
        <v>130</v>
      </c>
      <c r="E1595" s="16" t="s">
        <v>813</v>
      </c>
      <c r="F1595" s="16" t="s">
        <v>1002</v>
      </c>
      <c r="G1595" s="16" t="s">
        <v>1615</v>
      </c>
      <c r="H1595" s="50" t="s">
        <v>1330</v>
      </c>
      <c r="I1595" s="16" t="s">
        <v>4053</v>
      </c>
    </row>
    <row r="1596" spans="1:9" hidden="1" x14ac:dyDescent="0.35">
      <c r="A1596" s="16">
        <v>428</v>
      </c>
      <c r="B1596" s="16" t="s">
        <v>415</v>
      </c>
      <c r="C1596" s="16" t="s">
        <v>633</v>
      </c>
      <c r="D1596" s="16" t="s">
        <v>130</v>
      </c>
      <c r="E1596" s="16" t="s">
        <v>813</v>
      </c>
      <c r="F1596" s="16" t="s">
        <v>1002</v>
      </c>
      <c r="G1596" s="16" t="s">
        <v>1615</v>
      </c>
      <c r="H1596" s="50" t="s">
        <v>1330</v>
      </c>
      <c r="I1596" s="16" t="s">
        <v>4053</v>
      </c>
    </row>
    <row r="1597" spans="1:9" hidden="1" x14ac:dyDescent="0.35">
      <c r="A1597" s="16">
        <v>428</v>
      </c>
      <c r="B1597" s="16" t="s">
        <v>4054</v>
      </c>
      <c r="C1597" s="16" t="s">
        <v>633</v>
      </c>
      <c r="D1597" s="16" t="s">
        <v>130</v>
      </c>
      <c r="E1597" s="16" t="s">
        <v>813</v>
      </c>
      <c r="F1597" s="16" t="s">
        <v>1002</v>
      </c>
      <c r="G1597" s="16" t="s">
        <v>1615</v>
      </c>
      <c r="H1597" s="50" t="s">
        <v>1330</v>
      </c>
      <c r="I1597" s="16" t="s">
        <v>4053</v>
      </c>
    </row>
    <row r="1598" spans="1:9" hidden="1" x14ac:dyDescent="0.35">
      <c r="A1598" s="16">
        <v>428</v>
      </c>
      <c r="B1598" s="16" t="s">
        <v>4055</v>
      </c>
      <c r="C1598" s="16" t="s">
        <v>633</v>
      </c>
      <c r="D1598" s="16" t="s">
        <v>130</v>
      </c>
      <c r="E1598" s="16" t="s">
        <v>813</v>
      </c>
      <c r="F1598" s="16" t="s">
        <v>1002</v>
      </c>
      <c r="G1598" s="16" t="s">
        <v>1615</v>
      </c>
      <c r="H1598" s="50" t="s">
        <v>1330</v>
      </c>
      <c r="I1598" s="16" t="s">
        <v>4053</v>
      </c>
    </row>
    <row r="1599" spans="1:9" hidden="1" x14ac:dyDescent="0.35">
      <c r="A1599" s="16">
        <v>428</v>
      </c>
      <c r="B1599" s="16" t="s">
        <v>4056</v>
      </c>
      <c r="D1599" s="16" t="s">
        <v>130</v>
      </c>
      <c r="E1599" s="16" t="s">
        <v>813</v>
      </c>
      <c r="F1599" s="16" t="s">
        <v>1002</v>
      </c>
      <c r="G1599" s="16" t="s">
        <v>1615</v>
      </c>
      <c r="H1599" s="50" t="s">
        <v>1330</v>
      </c>
      <c r="I1599" s="16" t="s">
        <v>4053</v>
      </c>
    </row>
    <row r="1600" spans="1:9" hidden="1" x14ac:dyDescent="0.35">
      <c r="A1600" s="16">
        <v>428</v>
      </c>
      <c r="B1600" s="16" t="s">
        <v>4057</v>
      </c>
      <c r="C1600" s="16" t="s">
        <v>633</v>
      </c>
      <c r="D1600" s="16" t="s">
        <v>130</v>
      </c>
      <c r="E1600" s="16" t="s">
        <v>813</v>
      </c>
      <c r="F1600" s="16" t="s">
        <v>1002</v>
      </c>
      <c r="G1600" s="16" t="s">
        <v>1615</v>
      </c>
      <c r="H1600" s="50" t="s">
        <v>1330</v>
      </c>
      <c r="I1600" s="16" t="s">
        <v>4053</v>
      </c>
    </row>
    <row r="1601" spans="1:9" hidden="1" x14ac:dyDescent="0.35">
      <c r="A1601" s="16">
        <v>428</v>
      </c>
      <c r="B1601" s="16" t="s">
        <v>4058</v>
      </c>
      <c r="C1601" s="16" t="s">
        <v>633</v>
      </c>
      <c r="D1601" s="16" t="s">
        <v>130</v>
      </c>
      <c r="E1601" s="16" t="s">
        <v>813</v>
      </c>
      <c r="F1601" s="16" t="s">
        <v>1002</v>
      </c>
      <c r="G1601" s="16" t="s">
        <v>1615</v>
      </c>
      <c r="H1601" s="50" t="s">
        <v>1330</v>
      </c>
      <c r="I1601" s="16" t="s">
        <v>4053</v>
      </c>
    </row>
    <row r="1602" spans="1:9" hidden="1" x14ac:dyDescent="0.35">
      <c r="A1602" s="16">
        <v>428</v>
      </c>
      <c r="B1602" s="16" t="s">
        <v>4059</v>
      </c>
      <c r="C1602" s="16" t="s">
        <v>4060</v>
      </c>
      <c r="D1602" s="16" t="s">
        <v>130</v>
      </c>
      <c r="E1602" s="16" t="s">
        <v>813</v>
      </c>
      <c r="F1602" s="16" t="s">
        <v>1002</v>
      </c>
      <c r="G1602" s="16" t="s">
        <v>1615</v>
      </c>
      <c r="H1602" s="50" t="s">
        <v>1330</v>
      </c>
      <c r="I1602" s="16" t="s">
        <v>4053</v>
      </c>
    </row>
    <row r="1603" spans="1:9" hidden="1" x14ac:dyDescent="0.35">
      <c r="A1603" s="16">
        <v>432</v>
      </c>
      <c r="B1603" s="16" t="s">
        <v>4061</v>
      </c>
      <c r="C1603" s="16" t="s">
        <v>4062</v>
      </c>
      <c r="D1603" s="16" t="s">
        <v>124</v>
      </c>
      <c r="E1603" s="16" t="s">
        <v>539</v>
      </c>
      <c r="F1603" s="16" t="s">
        <v>122</v>
      </c>
      <c r="G1603" s="16">
        <v>2013</v>
      </c>
      <c r="H1603" s="50" t="s">
        <v>405</v>
      </c>
      <c r="I1603" s="16" t="s">
        <v>4063</v>
      </c>
    </row>
    <row r="1604" spans="1:9" hidden="1" x14ac:dyDescent="0.35">
      <c r="A1604" s="16">
        <v>432</v>
      </c>
      <c r="B1604" s="16" t="s">
        <v>4064</v>
      </c>
      <c r="C1604" s="16" t="s">
        <v>4065</v>
      </c>
      <c r="D1604" s="16" t="s">
        <v>124</v>
      </c>
      <c r="E1604" s="16" t="s">
        <v>539</v>
      </c>
      <c r="F1604" s="16" t="s">
        <v>122</v>
      </c>
      <c r="G1604" s="16">
        <v>2013</v>
      </c>
      <c r="H1604" s="50" t="s">
        <v>405</v>
      </c>
      <c r="I1604" s="16" t="s">
        <v>4063</v>
      </c>
    </row>
    <row r="1605" spans="1:9" hidden="1" x14ac:dyDescent="0.35">
      <c r="A1605" s="16">
        <v>432</v>
      </c>
      <c r="B1605" s="16" t="s">
        <v>4066</v>
      </c>
      <c r="C1605" s="16" t="s">
        <v>4067</v>
      </c>
      <c r="D1605" s="16" t="s">
        <v>124</v>
      </c>
      <c r="E1605" s="16" t="s">
        <v>539</v>
      </c>
      <c r="F1605" s="16" t="s">
        <v>122</v>
      </c>
      <c r="G1605" s="16">
        <v>2013</v>
      </c>
      <c r="H1605" s="50" t="s">
        <v>405</v>
      </c>
      <c r="I1605" s="16" t="s">
        <v>4063</v>
      </c>
    </row>
    <row r="1606" spans="1:9" hidden="1" x14ac:dyDescent="0.35">
      <c r="A1606" s="16">
        <v>432</v>
      </c>
      <c r="B1606" s="16" t="s">
        <v>2115</v>
      </c>
      <c r="C1606" s="16" t="s">
        <v>633</v>
      </c>
      <c r="D1606" s="16" t="s">
        <v>130</v>
      </c>
      <c r="E1606" s="16" t="s">
        <v>809</v>
      </c>
      <c r="F1606" s="16" t="s">
        <v>122</v>
      </c>
      <c r="G1606" s="16" t="s">
        <v>4068</v>
      </c>
      <c r="H1606" s="50" t="s">
        <v>406</v>
      </c>
      <c r="I1606" s="16" t="s">
        <v>4063</v>
      </c>
    </row>
    <row r="1607" spans="1:9" hidden="1" x14ac:dyDescent="0.35">
      <c r="A1607" s="16">
        <v>432</v>
      </c>
      <c r="B1607" s="16" t="s">
        <v>1899</v>
      </c>
      <c r="C1607" s="16" t="s">
        <v>633</v>
      </c>
      <c r="D1607" s="16" t="s">
        <v>130</v>
      </c>
      <c r="E1607" s="16" t="s">
        <v>1118</v>
      </c>
      <c r="F1607" s="16" t="s">
        <v>122</v>
      </c>
      <c r="G1607" s="16" t="s">
        <v>4068</v>
      </c>
      <c r="H1607" s="50" t="s">
        <v>406</v>
      </c>
      <c r="I1607" s="16" t="s">
        <v>4063</v>
      </c>
    </row>
    <row r="1608" spans="1:9" hidden="1" x14ac:dyDescent="0.35">
      <c r="A1608" s="16">
        <v>432</v>
      </c>
      <c r="B1608" s="16" t="s">
        <v>4069</v>
      </c>
      <c r="C1608" s="16" t="s">
        <v>4070</v>
      </c>
      <c r="D1608" s="16" t="s">
        <v>130</v>
      </c>
      <c r="E1608" s="16" t="s">
        <v>809</v>
      </c>
      <c r="F1608" s="16" t="s">
        <v>122</v>
      </c>
      <c r="G1608" s="16" t="s">
        <v>4068</v>
      </c>
      <c r="H1608" s="50" t="s">
        <v>406</v>
      </c>
      <c r="I1608" s="16" t="s">
        <v>4063</v>
      </c>
    </row>
    <row r="1609" spans="1:9" hidden="1" x14ac:dyDescent="0.35">
      <c r="A1609" s="16">
        <v>432</v>
      </c>
      <c r="B1609" s="16" t="s">
        <v>2195</v>
      </c>
      <c r="C1609" s="16" t="s">
        <v>3945</v>
      </c>
      <c r="D1609" s="16" t="s">
        <v>130</v>
      </c>
      <c r="E1609" s="16" t="s">
        <v>809</v>
      </c>
      <c r="F1609" s="16" t="s">
        <v>122</v>
      </c>
      <c r="G1609" s="16" t="s">
        <v>4068</v>
      </c>
      <c r="H1609" s="50" t="s">
        <v>406</v>
      </c>
      <c r="I1609" s="16" t="s">
        <v>4063</v>
      </c>
    </row>
    <row r="1610" spans="1:9" hidden="1" x14ac:dyDescent="0.35">
      <c r="A1610" s="16">
        <v>432</v>
      </c>
      <c r="B1610" s="16" t="s">
        <v>2113</v>
      </c>
      <c r="C1610" s="16" t="s">
        <v>633</v>
      </c>
      <c r="D1610" s="16" t="s">
        <v>130</v>
      </c>
      <c r="E1610" s="16" t="s">
        <v>809</v>
      </c>
      <c r="F1610" s="16" t="s">
        <v>122</v>
      </c>
      <c r="G1610" s="16" t="s">
        <v>4068</v>
      </c>
      <c r="H1610" s="50" t="s">
        <v>406</v>
      </c>
      <c r="I1610" s="16" t="s">
        <v>4063</v>
      </c>
    </row>
    <row r="1611" spans="1:9" hidden="1" x14ac:dyDescent="0.35">
      <c r="A1611" s="16">
        <v>432</v>
      </c>
      <c r="B1611" s="16" t="s">
        <v>2114</v>
      </c>
      <c r="C1611" s="16" t="s">
        <v>1936</v>
      </c>
      <c r="D1611" s="16" t="s">
        <v>130</v>
      </c>
      <c r="E1611" s="16" t="s">
        <v>809</v>
      </c>
      <c r="F1611" s="16" t="s">
        <v>122</v>
      </c>
      <c r="G1611" s="16" t="s">
        <v>4068</v>
      </c>
      <c r="H1611" s="50" t="s">
        <v>406</v>
      </c>
      <c r="I1611" s="16" t="s">
        <v>4063</v>
      </c>
    </row>
    <row r="1612" spans="1:9" hidden="1" x14ac:dyDescent="0.35">
      <c r="A1612" s="16">
        <v>432</v>
      </c>
      <c r="B1612" s="16" t="s">
        <v>4071</v>
      </c>
      <c r="C1612" s="16" t="s">
        <v>633</v>
      </c>
      <c r="D1612" s="16" t="s">
        <v>130</v>
      </c>
      <c r="E1612" s="16" t="s">
        <v>809</v>
      </c>
      <c r="F1612" s="16" t="s">
        <v>122</v>
      </c>
      <c r="G1612" s="16" t="s">
        <v>4068</v>
      </c>
      <c r="H1612" s="50" t="s">
        <v>406</v>
      </c>
      <c r="I1612" s="16" t="s">
        <v>4063</v>
      </c>
    </row>
    <row r="1613" spans="1:9" hidden="1" x14ac:dyDescent="0.35">
      <c r="A1613" s="16">
        <v>432</v>
      </c>
      <c r="B1613" s="16" t="s">
        <v>2117</v>
      </c>
      <c r="C1613" s="16" t="s">
        <v>4072</v>
      </c>
      <c r="D1613" s="16" t="s">
        <v>130</v>
      </c>
      <c r="E1613" s="16" t="s">
        <v>1118</v>
      </c>
      <c r="F1613" s="16" t="s">
        <v>122</v>
      </c>
      <c r="G1613" s="16" t="s">
        <v>4068</v>
      </c>
      <c r="H1613" s="50" t="s">
        <v>406</v>
      </c>
      <c r="I1613" s="16" t="s">
        <v>4063</v>
      </c>
    </row>
    <row r="1614" spans="1:9" hidden="1" x14ac:dyDescent="0.35">
      <c r="A1614" s="16">
        <v>432</v>
      </c>
      <c r="B1614" s="16" t="s">
        <v>1083</v>
      </c>
      <c r="C1614" s="16" t="s">
        <v>4073</v>
      </c>
      <c r="D1614" s="16" t="s">
        <v>130</v>
      </c>
      <c r="E1614" s="16" t="s">
        <v>1118</v>
      </c>
      <c r="F1614" s="16" t="s">
        <v>122</v>
      </c>
      <c r="G1614" s="16" t="s">
        <v>4068</v>
      </c>
      <c r="H1614" s="50" t="s">
        <v>406</v>
      </c>
      <c r="I1614" s="16" t="s">
        <v>4063</v>
      </c>
    </row>
    <row r="1615" spans="1:9" hidden="1" x14ac:dyDescent="0.35">
      <c r="A1615" s="16">
        <v>435</v>
      </c>
      <c r="B1615" s="16" t="s">
        <v>286</v>
      </c>
      <c r="D1615" s="16" t="s">
        <v>130</v>
      </c>
      <c r="E1615" s="16" t="s">
        <v>813</v>
      </c>
      <c r="F1615" s="16" t="s">
        <v>122</v>
      </c>
      <c r="G1615" s="16" t="s">
        <v>1344</v>
      </c>
      <c r="H1615" s="50" t="s">
        <v>1330</v>
      </c>
      <c r="I1615" s="16" t="s">
        <v>4074</v>
      </c>
    </row>
    <row r="1616" spans="1:9" hidden="1" x14ac:dyDescent="0.35">
      <c r="A1616" s="16">
        <v>435</v>
      </c>
      <c r="B1616" s="16" t="s">
        <v>3942</v>
      </c>
      <c r="C1616" s="16" t="s">
        <v>633</v>
      </c>
      <c r="D1616" s="16" t="s">
        <v>130</v>
      </c>
      <c r="E1616" s="16" t="s">
        <v>809</v>
      </c>
      <c r="F1616" s="16" t="s">
        <v>122</v>
      </c>
      <c r="G1616" s="16" t="s">
        <v>1344</v>
      </c>
      <c r="H1616" s="50" t="s">
        <v>1330</v>
      </c>
      <c r="I1616" s="16" t="s">
        <v>4074</v>
      </c>
    </row>
    <row r="1617" spans="1:9" hidden="1" x14ac:dyDescent="0.35">
      <c r="A1617" s="16">
        <v>435</v>
      </c>
      <c r="B1617" s="16" t="s">
        <v>4075</v>
      </c>
      <c r="C1617" s="16" t="s">
        <v>633</v>
      </c>
      <c r="D1617" s="16" t="s">
        <v>130</v>
      </c>
      <c r="E1617" s="16" t="s">
        <v>813</v>
      </c>
      <c r="F1617" s="16" t="s">
        <v>122</v>
      </c>
      <c r="G1617" s="16" t="s">
        <v>1344</v>
      </c>
      <c r="H1617" s="50" t="s">
        <v>1330</v>
      </c>
      <c r="I1617" s="16" t="s">
        <v>4074</v>
      </c>
    </row>
    <row r="1618" spans="1:9" hidden="1" x14ac:dyDescent="0.35">
      <c r="A1618" s="16">
        <v>435</v>
      </c>
      <c r="B1618" s="16" t="s">
        <v>415</v>
      </c>
      <c r="C1618" s="16" t="s">
        <v>633</v>
      </c>
      <c r="D1618" s="16" t="s">
        <v>130</v>
      </c>
      <c r="E1618" s="16" t="s">
        <v>813</v>
      </c>
      <c r="F1618" s="16" t="s">
        <v>122</v>
      </c>
      <c r="G1618" s="16" t="s">
        <v>1344</v>
      </c>
      <c r="H1618" s="50" t="s">
        <v>1330</v>
      </c>
      <c r="I1618" s="16" t="s">
        <v>4074</v>
      </c>
    </row>
    <row r="1619" spans="1:9" hidden="1" x14ac:dyDescent="0.35">
      <c r="A1619" s="16">
        <v>435</v>
      </c>
      <c r="B1619" s="16" t="s">
        <v>416</v>
      </c>
      <c r="D1619" s="16" t="s">
        <v>130</v>
      </c>
      <c r="E1619" s="16" t="s">
        <v>813</v>
      </c>
      <c r="F1619" s="16" t="s">
        <v>122</v>
      </c>
      <c r="G1619" s="16" t="s">
        <v>1344</v>
      </c>
      <c r="H1619" s="50" t="s">
        <v>1330</v>
      </c>
      <c r="I1619" s="16" t="s">
        <v>4074</v>
      </c>
    </row>
    <row r="1620" spans="1:9" hidden="1" x14ac:dyDescent="0.35">
      <c r="A1620" s="16">
        <v>435</v>
      </c>
      <c r="B1620" s="16" t="s">
        <v>4076</v>
      </c>
      <c r="C1620" s="16" t="s">
        <v>633</v>
      </c>
      <c r="D1620" s="16" t="s">
        <v>130</v>
      </c>
      <c r="E1620" s="16" t="s">
        <v>1118</v>
      </c>
      <c r="F1620" s="16" t="s">
        <v>122</v>
      </c>
      <c r="G1620" s="16" t="s">
        <v>1344</v>
      </c>
      <c r="H1620" s="50" t="s">
        <v>1330</v>
      </c>
      <c r="I1620" s="16" t="s">
        <v>4074</v>
      </c>
    </row>
    <row r="1621" spans="1:9" hidden="1" x14ac:dyDescent="0.35">
      <c r="A1621" s="16">
        <v>435</v>
      </c>
      <c r="B1621" s="16" t="s">
        <v>4077</v>
      </c>
      <c r="C1621" s="16" t="s">
        <v>4078</v>
      </c>
      <c r="D1621" s="16" t="s">
        <v>130</v>
      </c>
      <c r="E1621" s="16" t="s">
        <v>1118</v>
      </c>
      <c r="F1621" s="16" t="s">
        <v>122</v>
      </c>
      <c r="G1621" s="16" t="s">
        <v>1344</v>
      </c>
      <c r="H1621" s="50" t="s">
        <v>1330</v>
      </c>
      <c r="I1621" s="16" t="s">
        <v>4074</v>
      </c>
    </row>
    <row r="1622" spans="1:9" hidden="1" x14ac:dyDescent="0.35">
      <c r="A1622" s="16">
        <v>435</v>
      </c>
      <c r="B1622" s="16" t="s">
        <v>4079</v>
      </c>
      <c r="C1622" s="16" t="s">
        <v>4078</v>
      </c>
      <c r="D1622" s="16" t="s">
        <v>130</v>
      </c>
      <c r="E1622" s="16" t="s">
        <v>1118</v>
      </c>
      <c r="F1622" s="16" t="s">
        <v>122</v>
      </c>
      <c r="G1622" s="16" t="s">
        <v>1344</v>
      </c>
      <c r="H1622" s="50" t="s">
        <v>1330</v>
      </c>
      <c r="I1622" s="16" t="s">
        <v>4074</v>
      </c>
    </row>
    <row r="1623" spans="1:9" hidden="1" x14ac:dyDescent="0.35">
      <c r="A1623" s="16">
        <v>435</v>
      </c>
      <c r="B1623" s="16" t="s">
        <v>4080</v>
      </c>
      <c r="C1623" s="16" t="s">
        <v>4081</v>
      </c>
      <c r="D1623" s="16" t="s">
        <v>130</v>
      </c>
      <c r="E1623" s="16" t="s">
        <v>1118</v>
      </c>
      <c r="F1623" s="16" t="s">
        <v>122</v>
      </c>
      <c r="G1623" s="16" t="s">
        <v>1344</v>
      </c>
      <c r="H1623" s="50" t="s">
        <v>1330</v>
      </c>
      <c r="I1623" s="16" t="s">
        <v>4074</v>
      </c>
    </row>
    <row r="1624" spans="1:9" hidden="1" x14ac:dyDescent="0.35">
      <c r="A1624" s="16">
        <v>435</v>
      </c>
      <c r="B1624" s="16" t="s">
        <v>3972</v>
      </c>
      <c r="C1624" s="16" t="s">
        <v>4082</v>
      </c>
      <c r="D1624" s="16" t="s">
        <v>130</v>
      </c>
      <c r="E1624" s="16" t="s">
        <v>1118</v>
      </c>
      <c r="F1624" s="16" t="s">
        <v>122</v>
      </c>
      <c r="G1624" s="16" t="s">
        <v>1344</v>
      </c>
      <c r="H1624" s="50" t="s">
        <v>1330</v>
      </c>
      <c r="I1624" s="16" t="s">
        <v>4074</v>
      </c>
    </row>
    <row r="1625" spans="1:9" hidden="1" x14ac:dyDescent="0.35">
      <c r="A1625" s="16">
        <v>435</v>
      </c>
      <c r="B1625" s="16" t="s">
        <v>4083</v>
      </c>
      <c r="C1625" s="16" t="s">
        <v>4082</v>
      </c>
      <c r="D1625" s="16" t="s">
        <v>130</v>
      </c>
      <c r="E1625" s="16" t="s">
        <v>1118</v>
      </c>
      <c r="F1625" s="16" t="s">
        <v>122</v>
      </c>
      <c r="G1625" s="16" t="s">
        <v>1344</v>
      </c>
      <c r="H1625" s="50" t="s">
        <v>1330</v>
      </c>
      <c r="I1625" s="16" t="s">
        <v>4074</v>
      </c>
    </row>
    <row r="1626" spans="1:9" hidden="1" x14ac:dyDescent="0.35">
      <c r="A1626" s="16">
        <v>435</v>
      </c>
      <c r="B1626" s="16" t="s">
        <v>4084</v>
      </c>
      <c r="C1626" s="16" t="s">
        <v>4082</v>
      </c>
      <c r="D1626" s="16" t="s">
        <v>130</v>
      </c>
      <c r="E1626" s="16" t="s">
        <v>1118</v>
      </c>
      <c r="F1626" s="16" t="s">
        <v>122</v>
      </c>
      <c r="G1626" s="16" t="s">
        <v>1344</v>
      </c>
      <c r="H1626" s="50" t="s">
        <v>1330</v>
      </c>
      <c r="I1626" s="16" t="s">
        <v>4074</v>
      </c>
    </row>
    <row r="1627" spans="1:9" hidden="1" x14ac:dyDescent="0.35">
      <c r="A1627" s="16">
        <v>435</v>
      </c>
      <c r="B1627" s="16" t="s">
        <v>3974</v>
      </c>
      <c r="C1627" s="16" t="s">
        <v>4082</v>
      </c>
      <c r="D1627" s="16" t="s">
        <v>130</v>
      </c>
      <c r="E1627" s="16" t="s">
        <v>1118</v>
      </c>
      <c r="F1627" s="16" t="s">
        <v>122</v>
      </c>
      <c r="G1627" s="16" t="s">
        <v>1344</v>
      </c>
      <c r="H1627" s="50" t="s">
        <v>1330</v>
      </c>
      <c r="I1627" s="16" t="s">
        <v>4074</v>
      </c>
    </row>
    <row r="1628" spans="1:9" hidden="1" x14ac:dyDescent="0.35">
      <c r="A1628" s="16">
        <v>435</v>
      </c>
      <c r="B1628" s="16" t="s">
        <v>4085</v>
      </c>
      <c r="C1628" s="16" t="s">
        <v>4082</v>
      </c>
      <c r="D1628" s="16" t="s">
        <v>130</v>
      </c>
      <c r="E1628" s="16" t="s">
        <v>1118</v>
      </c>
      <c r="F1628" s="16" t="s">
        <v>122</v>
      </c>
      <c r="G1628" s="16" t="s">
        <v>1344</v>
      </c>
      <c r="H1628" s="50" t="s">
        <v>1330</v>
      </c>
      <c r="I1628" s="16" t="s">
        <v>4074</v>
      </c>
    </row>
    <row r="1629" spans="1:9" hidden="1" x14ac:dyDescent="0.35">
      <c r="A1629" s="16">
        <v>435</v>
      </c>
      <c r="B1629" s="16" t="s">
        <v>4086</v>
      </c>
      <c r="C1629" s="16" t="s">
        <v>4082</v>
      </c>
      <c r="D1629" s="16" t="s">
        <v>130</v>
      </c>
      <c r="E1629" s="16" t="s">
        <v>1118</v>
      </c>
      <c r="F1629" s="16" t="s">
        <v>122</v>
      </c>
      <c r="G1629" s="16" t="s">
        <v>1344</v>
      </c>
      <c r="H1629" s="50" t="s">
        <v>1330</v>
      </c>
      <c r="I1629" s="16" t="s">
        <v>4074</v>
      </c>
    </row>
    <row r="1630" spans="1:9" hidden="1" x14ac:dyDescent="0.35">
      <c r="A1630" s="16">
        <v>435</v>
      </c>
      <c r="B1630" s="16" t="s">
        <v>4740</v>
      </c>
      <c r="C1630" s="16" t="s">
        <v>4082</v>
      </c>
      <c r="D1630" s="16" t="s">
        <v>130</v>
      </c>
      <c r="E1630" s="16" t="s">
        <v>1118</v>
      </c>
      <c r="F1630" s="16" t="s">
        <v>122</v>
      </c>
      <c r="G1630" s="16" t="s">
        <v>1344</v>
      </c>
      <c r="H1630" s="50" t="s">
        <v>1330</v>
      </c>
      <c r="I1630" s="16" t="s">
        <v>4074</v>
      </c>
    </row>
    <row r="1631" spans="1:9" hidden="1" x14ac:dyDescent="0.35">
      <c r="A1631" s="16">
        <v>435</v>
      </c>
      <c r="B1631" s="16" t="s">
        <v>4087</v>
      </c>
      <c r="C1631" s="16" t="s">
        <v>4067</v>
      </c>
      <c r="D1631" s="16" t="s">
        <v>130</v>
      </c>
      <c r="E1631" s="16" t="s">
        <v>1118</v>
      </c>
      <c r="F1631" s="16" t="s">
        <v>122</v>
      </c>
      <c r="G1631" s="16" t="s">
        <v>1344</v>
      </c>
      <c r="H1631" s="50" t="s">
        <v>1330</v>
      </c>
      <c r="I1631" s="16" t="s">
        <v>4074</v>
      </c>
    </row>
    <row r="1632" spans="1:9" hidden="1" x14ac:dyDescent="0.35">
      <c r="A1632" s="16">
        <v>435</v>
      </c>
      <c r="B1632" s="16" t="s">
        <v>4088</v>
      </c>
      <c r="C1632" s="16" t="s">
        <v>633</v>
      </c>
      <c r="D1632" s="16" t="s">
        <v>130</v>
      </c>
      <c r="E1632" s="16" t="s">
        <v>1118</v>
      </c>
      <c r="F1632" s="16" t="s">
        <v>122</v>
      </c>
      <c r="G1632" s="16" t="s">
        <v>1344</v>
      </c>
      <c r="H1632" s="50" t="s">
        <v>1330</v>
      </c>
      <c r="I1632" s="16" t="s">
        <v>4074</v>
      </c>
    </row>
    <row r="1633" spans="1:9" hidden="1" x14ac:dyDescent="0.35">
      <c r="A1633" s="16">
        <v>448</v>
      </c>
      <c r="B1633" s="16" t="s">
        <v>1061</v>
      </c>
      <c r="C1633" s="16" t="s">
        <v>633</v>
      </c>
      <c r="D1633" s="16" t="s">
        <v>130</v>
      </c>
      <c r="E1633" s="16" t="s">
        <v>813</v>
      </c>
      <c r="F1633" s="16" t="s">
        <v>1002</v>
      </c>
      <c r="G1633" s="16">
        <v>2019</v>
      </c>
      <c r="H1633" s="50" t="s">
        <v>1330</v>
      </c>
      <c r="I1633" s="16" t="s">
        <v>4089</v>
      </c>
    </row>
    <row r="1634" spans="1:9" hidden="1" x14ac:dyDescent="0.35">
      <c r="A1634" s="16">
        <v>448</v>
      </c>
      <c r="B1634" s="16" t="s">
        <v>4075</v>
      </c>
      <c r="C1634" s="16" t="s">
        <v>633</v>
      </c>
      <c r="D1634" s="16" t="s">
        <v>130</v>
      </c>
      <c r="E1634" s="16" t="s">
        <v>813</v>
      </c>
      <c r="F1634" s="16" t="s">
        <v>1002</v>
      </c>
      <c r="G1634" s="16">
        <v>2019</v>
      </c>
      <c r="H1634" s="50" t="s">
        <v>1330</v>
      </c>
      <c r="I1634" s="16" t="s">
        <v>4089</v>
      </c>
    </row>
    <row r="1635" spans="1:9" hidden="1" x14ac:dyDescent="0.35">
      <c r="A1635" s="16">
        <v>448</v>
      </c>
      <c r="B1635" s="16" t="s">
        <v>415</v>
      </c>
      <c r="C1635" s="16" t="s">
        <v>633</v>
      </c>
      <c r="D1635" s="16" t="s">
        <v>130</v>
      </c>
      <c r="E1635" s="16" t="s">
        <v>813</v>
      </c>
      <c r="F1635" s="16" t="s">
        <v>1002</v>
      </c>
      <c r="G1635" s="16">
        <v>2019</v>
      </c>
      <c r="H1635" s="50" t="s">
        <v>1330</v>
      </c>
      <c r="I1635" s="16" t="s">
        <v>4089</v>
      </c>
    </row>
    <row r="1636" spans="1:9" hidden="1" x14ac:dyDescent="0.35">
      <c r="A1636" s="16">
        <v>448</v>
      </c>
      <c r="B1636" s="16" t="s">
        <v>4090</v>
      </c>
      <c r="C1636" s="16" t="s">
        <v>4091</v>
      </c>
      <c r="D1636" s="16" t="s">
        <v>130</v>
      </c>
      <c r="E1636" s="16" t="s">
        <v>813</v>
      </c>
      <c r="F1636" s="16" t="s">
        <v>1002</v>
      </c>
      <c r="G1636" s="16">
        <v>2019</v>
      </c>
      <c r="H1636" s="50" t="s">
        <v>1330</v>
      </c>
      <c r="I1636" s="16" t="s">
        <v>4089</v>
      </c>
    </row>
    <row r="1637" spans="1:9" hidden="1" x14ac:dyDescent="0.35">
      <c r="A1637" s="16">
        <v>448</v>
      </c>
      <c r="B1637" s="16" t="s">
        <v>4092</v>
      </c>
      <c r="C1637" s="16" t="s">
        <v>4093</v>
      </c>
      <c r="D1637" s="16" t="s">
        <v>130</v>
      </c>
      <c r="E1637" s="16" t="s">
        <v>813</v>
      </c>
      <c r="F1637" s="16" t="s">
        <v>1002</v>
      </c>
      <c r="G1637" s="16">
        <v>2019</v>
      </c>
      <c r="H1637" s="50" t="s">
        <v>1330</v>
      </c>
      <c r="I1637" s="16" t="s">
        <v>4089</v>
      </c>
    </row>
    <row r="1638" spans="1:9" hidden="1" x14ac:dyDescent="0.35">
      <c r="A1638" s="16">
        <v>448</v>
      </c>
      <c r="B1638" s="16" t="s">
        <v>4094</v>
      </c>
      <c r="C1638" s="16" t="s">
        <v>4095</v>
      </c>
      <c r="D1638" s="16" t="s">
        <v>130</v>
      </c>
      <c r="E1638" s="16" t="s">
        <v>813</v>
      </c>
      <c r="F1638" s="16" t="s">
        <v>1002</v>
      </c>
      <c r="G1638" s="16">
        <v>2019</v>
      </c>
      <c r="H1638" s="50" t="s">
        <v>1330</v>
      </c>
      <c r="I1638" s="16" t="s">
        <v>4089</v>
      </c>
    </row>
    <row r="1639" spans="1:9" hidden="1" x14ac:dyDescent="0.35">
      <c r="A1639" s="16">
        <v>448</v>
      </c>
      <c r="B1639" s="16" t="s">
        <v>4096</v>
      </c>
      <c r="C1639" s="16" t="s">
        <v>4097</v>
      </c>
      <c r="D1639" s="16" t="s">
        <v>130</v>
      </c>
      <c r="E1639" s="16" t="s">
        <v>1118</v>
      </c>
      <c r="F1639" s="16" t="s">
        <v>1002</v>
      </c>
      <c r="G1639" s="16">
        <v>2019</v>
      </c>
      <c r="H1639" s="50" t="s">
        <v>1330</v>
      </c>
      <c r="I1639" s="16" t="s">
        <v>4089</v>
      </c>
    </row>
    <row r="1640" spans="1:9" hidden="1" x14ac:dyDescent="0.35">
      <c r="A1640" s="16">
        <v>448</v>
      </c>
      <c r="B1640" s="16" t="s">
        <v>4098</v>
      </c>
      <c r="C1640" s="16" t="s">
        <v>4099</v>
      </c>
      <c r="D1640" s="16" t="s">
        <v>130</v>
      </c>
      <c r="E1640" s="16" t="s">
        <v>1118</v>
      </c>
      <c r="F1640" s="16" t="s">
        <v>1002</v>
      </c>
      <c r="G1640" s="16">
        <v>2019</v>
      </c>
      <c r="H1640" s="50" t="s">
        <v>1330</v>
      </c>
      <c r="I1640" s="16" t="s">
        <v>4089</v>
      </c>
    </row>
    <row r="1641" spans="1:9" hidden="1" x14ac:dyDescent="0.35">
      <c r="A1641" s="16">
        <v>448</v>
      </c>
      <c r="B1641" s="16" t="s">
        <v>4100</v>
      </c>
      <c r="C1641" s="16" t="s">
        <v>4101</v>
      </c>
      <c r="D1641" s="16" t="s">
        <v>130</v>
      </c>
      <c r="E1641" s="16" t="s">
        <v>813</v>
      </c>
      <c r="F1641" s="16" t="s">
        <v>1002</v>
      </c>
      <c r="G1641" s="16">
        <v>2019</v>
      </c>
      <c r="H1641" s="50" t="s">
        <v>1330</v>
      </c>
      <c r="I1641" s="16" t="s">
        <v>4089</v>
      </c>
    </row>
    <row r="1642" spans="1:9" hidden="1" x14ac:dyDescent="0.35">
      <c r="A1642" s="16">
        <v>448</v>
      </c>
      <c r="B1642" s="16" t="s">
        <v>4102</v>
      </c>
      <c r="C1642" s="16" t="s">
        <v>4103</v>
      </c>
      <c r="D1642" s="16" t="s">
        <v>130</v>
      </c>
      <c r="E1642" s="16" t="s">
        <v>813</v>
      </c>
      <c r="F1642" s="16" t="s">
        <v>1002</v>
      </c>
      <c r="G1642" s="16">
        <v>2019</v>
      </c>
      <c r="H1642" s="50" t="s">
        <v>1330</v>
      </c>
      <c r="I1642" s="16" t="s">
        <v>4089</v>
      </c>
    </row>
    <row r="1643" spans="1:9" hidden="1" x14ac:dyDescent="0.35">
      <c r="A1643" s="16">
        <v>448</v>
      </c>
      <c r="B1643" s="16" t="s">
        <v>4104</v>
      </c>
      <c r="C1643" s="16" t="s">
        <v>4105</v>
      </c>
      <c r="D1643" s="16" t="s">
        <v>130</v>
      </c>
      <c r="E1643" s="16" t="s">
        <v>1118</v>
      </c>
      <c r="F1643" s="16" t="s">
        <v>1002</v>
      </c>
      <c r="G1643" s="16">
        <v>2019</v>
      </c>
      <c r="H1643" s="50" t="s">
        <v>1330</v>
      </c>
      <c r="I1643" s="16" t="s">
        <v>4089</v>
      </c>
    </row>
    <row r="1644" spans="1:9" hidden="1" x14ac:dyDescent="0.35">
      <c r="A1644" s="16">
        <v>448</v>
      </c>
      <c r="B1644" s="16" t="s">
        <v>4106</v>
      </c>
      <c r="C1644" s="16" t="s">
        <v>4107</v>
      </c>
      <c r="D1644" s="16" t="s">
        <v>130</v>
      </c>
      <c r="E1644" s="16" t="s">
        <v>1118</v>
      </c>
      <c r="F1644" s="16" t="s">
        <v>1002</v>
      </c>
      <c r="G1644" s="16">
        <v>2019</v>
      </c>
      <c r="H1644" s="50" t="s">
        <v>1330</v>
      </c>
      <c r="I1644" s="16" t="s">
        <v>4089</v>
      </c>
    </row>
    <row r="1645" spans="1:9" hidden="1" x14ac:dyDescent="0.35">
      <c r="A1645" s="16">
        <v>448</v>
      </c>
      <c r="B1645" s="16" t="s">
        <v>4108</v>
      </c>
      <c r="C1645" s="16" t="s">
        <v>4097</v>
      </c>
      <c r="D1645" s="16" t="s">
        <v>130</v>
      </c>
      <c r="E1645" s="16" t="s">
        <v>809</v>
      </c>
      <c r="F1645" s="16" t="s">
        <v>1002</v>
      </c>
      <c r="G1645" s="16">
        <v>2019</v>
      </c>
      <c r="H1645" s="50" t="s">
        <v>1330</v>
      </c>
      <c r="I1645" s="16" t="s">
        <v>4089</v>
      </c>
    </row>
    <row r="1646" spans="1:9" hidden="1" x14ac:dyDescent="0.35">
      <c r="A1646" s="16">
        <v>448</v>
      </c>
      <c r="B1646" s="16" t="s">
        <v>4109</v>
      </c>
      <c r="C1646" s="16" t="s">
        <v>4099</v>
      </c>
      <c r="D1646" s="16" t="s">
        <v>130</v>
      </c>
      <c r="E1646" s="16" t="s">
        <v>813</v>
      </c>
      <c r="F1646" s="16" t="s">
        <v>1002</v>
      </c>
      <c r="G1646" s="16">
        <v>2019</v>
      </c>
      <c r="H1646" s="50" t="s">
        <v>1330</v>
      </c>
      <c r="I1646" s="16" t="s">
        <v>4089</v>
      </c>
    </row>
    <row r="1647" spans="1:9" hidden="1" x14ac:dyDescent="0.35">
      <c r="A1647" s="16">
        <v>448</v>
      </c>
      <c r="B1647" s="16" t="s">
        <v>416</v>
      </c>
      <c r="D1647" s="16" t="s">
        <v>130</v>
      </c>
      <c r="E1647" s="16" t="s">
        <v>813</v>
      </c>
      <c r="F1647" s="16" t="s">
        <v>1002</v>
      </c>
      <c r="G1647" s="16">
        <v>2019</v>
      </c>
      <c r="H1647" s="50" t="s">
        <v>1330</v>
      </c>
      <c r="I1647" s="16" t="s">
        <v>4089</v>
      </c>
    </row>
    <row r="1648" spans="1:9" hidden="1" x14ac:dyDescent="0.35">
      <c r="A1648" s="16">
        <v>448</v>
      </c>
      <c r="B1648" s="16" t="s">
        <v>4110</v>
      </c>
      <c r="D1648" s="16" t="s">
        <v>130</v>
      </c>
      <c r="E1648" s="16" t="s">
        <v>1118</v>
      </c>
      <c r="F1648" s="16" t="s">
        <v>1002</v>
      </c>
      <c r="G1648" s="16">
        <v>2019</v>
      </c>
      <c r="H1648" s="50" t="s">
        <v>1330</v>
      </c>
      <c r="I1648" s="16" t="s">
        <v>4089</v>
      </c>
    </row>
    <row r="1649" spans="1:9" hidden="1" x14ac:dyDescent="0.35">
      <c r="A1649" s="16">
        <v>448</v>
      </c>
      <c r="B1649" s="16" t="s">
        <v>4111</v>
      </c>
      <c r="C1649" s="16" t="s">
        <v>4112</v>
      </c>
      <c r="D1649" s="16" t="s">
        <v>130</v>
      </c>
      <c r="E1649" s="16" t="s">
        <v>1118</v>
      </c>
      <c r="F1649" s="16" t="s">
        <v>1002</v>
      </c>
      <c r="G1649" s="16">
        <v>2019</v>
      </c>
      <c r="H1649" s="50" t="s">
        <v>1330</v>
      </c>
      <c r="I1649" s="16" t="s">
        <v>4089</v>
      </c>
    </row>
    <row r="1650" spans="1:9" hidden="1" x14ac:dyDescent="0.35">
      <c r="A1650" s="16">
        <v>448</v>
      </c>
      <c r="B1650" s="16" t="s">
        <v>4113</v>
      </c>
      <c r="C1650" s="16" t="s">
        <v>4112</v>
      </c>
      <c r="D1650" s="16" t="s">
        <v>130</v>
      </c>
      <c r="E1650" s="16" t="s">
        <v>1118</v>
      </c>
      <c r="F1650" s="16" t="s">
        <v>1002</v>
      </c>
      <c r="G1650" s="16">
        <v>2019</v>
      </c>
      <c r="H1650" s="50" t="s">
        <v>1330</v>
      </c>
      <c r="I1650" s="16" t="s">
        <v>4089</v>
      </c>
    </row>
    <row r="1651" spans="1:9" hidden="1" x14ac:dyDescent="0.35">
      <c r="A1651" s="16">
        <v>448</v>
      </c>
      <c r="B1651" s="16" t="s">
        <v>4114</v>
      </c>
      <c r="C1651" s="16" t="s">
        <v>4112</v>
      </c>
      <c r="D1651" s="16" t="s">
        <v>130</v>
      </c>
      <c r="E1651" s="16" t="s">
        <v>1118</v>
      </c>
      <c r="F1651" s="16" t="s">
        <v>1002</v>
      </c>
      <c r="G1651" s="16">
        <v>2019</v>
      </c>
      <c r="H1651" s="50" t="s">
        <v>1330</v>
      </c>
      <c r="I1651" s="16" t="s">
        <v>4089</v>
      </c>
    </row>
    <row r="1652" spans="1:9" hidden="1" x14ac:dyDescent="0.35">
      <c r="A1652" s="16">
        <v>448</v>
      </c>
      <c r="B1652" s="16" t="s">
        <v>4115</v>
      </c>
      <c r="C1652" s="16" t="s">
        <v>4112</v>
      </c>
      <c r="D1652" s="16" t="s">
        <v>130</v>
      </c>
      <c r="E1652" s="16" t="s">
        <v>1118</v>
      </c>
      <c r="F1652" s="16" t="s">
        <v>1002</v>
      </c>
      <c r="G1652" s="16">
        <v>2019</v>
      </c>
      <c r="H1652" s="50" t="s">
        <v>1330</v>
      </c>
      <c r="I1652" s="16" t="s">
        <v>4089</v>
      </c>
    </row>
    <row r="1653" spans="1:9" hidden="1" x14ac:dyDescent="0.35">
      <c r="A1653" s="16">
        <v>448</v>
      </c>
      <c r="B1653" s="16" t="s">
        <v>4116</v>
      </c>
      <c r="C1653" s="16" t="s">
        <v>4112</v>
      </c>
      <c r="D1653" s="16" t="s">
        <v>130</v>
      </c>
      <c r="E1653" s="16" t="s">
        <v>1118</v>
      </c>
      <c r="F1653" s="16" t="s">
        <v>1002</v>
      </c>
      <c r="G1653" s="16">
        <v>2019</v>
      </c>
      <c r="H1653" s="50" t="s">
        <v>1330</v>
      </c>
      <c r="I1653" s="16" t="s">
        <v>4089</v>
      </c>
    </row>
    <row r="1654" spans="1:9" hidden="1" x14ac:dyDescent="0.35">
      <c r="A1654" s="16">
        <v>448</v>
      </c>
      <c r="B1654" s="16" t="s">
        <v>4117</v>
      </c>
      <c r="C1654" s="16" t="s">
        <v>4112</v>
      </c>
      <c r="D1654" s="16" t="s">
        <v>130</v>
      </c>
      <c r="E1654" s="16" t="s">
        <v>1118</v>
      </c>
      <c r="F1654" s="16" t="s">
        <v>1002</v>
      </c>
      <c r="G1654" s="16">
        <v>2019</v>
      </c>
      <c r="H1654" s="50" t="s">
        <v>1330</v>
      </c>
      <c r="I1654" s="16" t="s">
        <v>4089</v>
      </c>
    </row>
    <row r="1655" spans="1:9" hidden="1" x14ac:dyDescent="0.35">
      <c r="A1655" s="16">
        <v>448</v>
      </c>
      <c r="B1655" s="16" t="s">
        <v>4741</v>
      </c>
      <c r="D1655" s="16" t="s">
        <v>130</v>
      </c>
      <c r="E1655" s="16" t="s">
        <v>1118</v>
      </c>
      <c r="F1655" s="16" t="s">
        <v>1002</v>
      </c>
      <c r="G1655" s="16">
        <v>2019</v>
      </c>
      <c r="H1655" s="50" t="s">
        <v>1330</v>
      </c>
      <c r="I1655" s="16" t="s">
        <v>4089</v>
      </c>
    </row>
    <row r="1656" spans="1:9" hidden="1" x14ac:dyDescent="0.35">
      <c r="A1656" s="16">
        <v>448</v>
      </c>
      <c r="B1656" s="16" t="s">
        <v>4118</v>
      </c>
      <c r="D1656" s="16" t="s">
        <v>130</v>
      </c>
      <c r="E1656" s="16" t="s">
        <v>1118</v>
      </c>
      <c r="F1656" s="16" t="s">
        <v>1002</v>
      </c>
      <c r="G1656" s="16">
        <v>2019</v>
      </c>
      <c r="H1656" s="50" t="s">
        <v>1330</v>
      </c>
      <c r="I1656" s="16" t="s">
        <v>4089</v>
      </c>
    </row>
    <row r="1657" spans="1:9" hidden="1" x14ac:dyDescent="0.35">
      <c r="A1657" s="16">
        <v>450</v>
      </c>
      <c r="B1657" s="16" t="s">
        <v>4119</v>
      </c>
      <c r="C1657" s="16" t="s">
        <v>4120</v>
      </c>
      <c r="D1657" s="16" t="s">
        <v>198</v>
      </c>
      <c r="E1657" s="16" t="s">
        <v>538</v>
      </c>
      <c r="F1657" s="16" t="s">
        <v>413</v>
      </c>
      <c r="G1657" s="16" t="s">
        <v>4121</v>
      </c>
      <c r="H1657" s="50" t="s">
        <v>403</v>
      </c>
      <c r="I1657" s="16" t="s">
        <v>4122</v>
      </c>
    </row>
    <row r="1658" spans="1:9" hidden="1" x14ac:dyDescent="0.35">
      <c r="A1658" s="16">
        <v>450</v>
      </c>
      <c r="B1658" s="16" t="s">
        <v>4123</v>
      </c>
      <c r="C1658" s="16" t="s">
        <v>4124</v>
      </c>
      <c r="D1658" s="16" t="s">
        <v>198</v>
      </c>
      <c r="E1658" s="16" t="s">
        <v>539</v>
      </c>
      <c r="F1658" s="16" t="s">
        <v>413</v>
      </c>
      <c r="G1658" s="16" t="s">
        <v>4121</v>
      </c>
      <c r="H1658" s="50" t="s">
        <v>403</v>
      </c>
      <c r="I1658" s="16" t="s">
        <v>4122</v>
      </c>
    </row>
    <row r="1659" spans="1:9" hidden="1" x14ac:dyDescent="0.35">
      <c r="A1659" s="16">
        <v>450</v>
      </c>
      <c r="B1659" s="16" t="s">
        <v>4125</v>
      </c>
      <c r="D1659" s="16" t="s">
        <v>198</v>
      </c>
      <c r="E1659" s="16" t="s">
        <v>539</v>
      </c>
      <c r="F1659" s="16" t="s">
        <v>413</v>
      </c>
      <c r="G1659" s="16" t="s">
        <v>4121</v>
      </c>
      <c r="H1659" s="50" t="s">
        <v>403</v>
      </c>
      <c r="I1659" s="16" t="s">
        <v>4122</v>
      </c>
    </row>
    <row r="1660" spans="1:9" hidden="1" x14ac:dyDescent="0.35">
      <c r="A1660" s="16">
        <v>450</v>
      </c>
      <c r="B1660" s="16" t="s">
        <v>4126</v>
      </c>
      <c r="D1660" s="16" t="s">
        <v>198</v>
      </c>
      <c r="E1660" s="16" t="s">
        <v>539</v>
      </c>
      <c r="F1660" s="16" t="s">
        <v>413</v>
      </c>
      <c r="G1660" s="16" t="s">
        <v>4121</v>
      </c>
      <c r="H1660" s="50" t="s">
        <v>403</v>
      </c>
      <c r="I1660" s="16" t="s">
        <v>4122</v>
      </c>
    </row>
    <row r="1661" spans="1:9" hidden="1" x14ac:dyDescent="0.35">
      <c r="A1661" s="16">
        <v>450</v>
      </c>
      <c r="B1661" s="16" t="s">
        <v>4127</v>
      </c>
      <c r="D1661" s="16" t="s">
        <v>198</v>
      </c>
      <c r="E1661" s="16" t="s">
        <v>539</v>
      </c>
      <c r="F1661" s="16" t="s">
        <v>413</v>
      </c>
      <c r="G1661" s="16" t="s">
        <v>4121</v>
      </c>
      <c r="H1661" s="50" t="s">
        <v>403</v>
      </c>
      <c r="I1661" s="16" t="s">
        <v>4122</v>
      </c>
    </row>
    <row r="1662" spans="1:9" hidden="1" x14ac:dyDescent="0.35">
      <c r="A1662" s="16">
        <v>450</v>
      </c>
      <c r="B1662" s="16" t="s">
        <v>4128</v>
      </c>
      <c r="D1662" s="16" t="s">
        <v>198</v>
      </c>
      <c r="E1662" s="16" t="s">
        <v>539</v>
      </c>
      <c r="F1662" s="16" t="s">
        <v>413</v>
      </c>
      <c r="G1662" s="16" t="s">
        <v>4121</v>
      </c>
      <c r="H1662" s="50" t="s">
        <v>403</v>
      </c>
      <c r="I1662" s="16" t="s">
        <v>4122</v>
      </c>
    </row>
    <row r="1663" spans="1:9" hidden="1" x14ac:dyDescent="0.35">
      <c r="A1663" s="16">
        <v>450</v>
      </c>
      <c r="B1663" s="16" t="s">
        <v>4129</v>
      </c>
      <c r="D1663" s="16" t="s">
        <v>198</v>
      </c>
      <c r="E1663" s="16" t="s">
        <v>539</v>
      </c>
      <c r="F1663" s="16" t="s">
        <v>413</v>
      </c>
      <c r="G1663" s="16" t="s">
        <v>4121</v>
      </c>
      <c r="H1663" s="50" t="s">
        <v>403</v>
      </c>
      <c r="I1663" s="16" t="s">
        <v>4122</v>
      </c>
    </row>
    <row r="1664" spans="1:9" hidden="1" x14ac:dyDescent="0.35">
      <c r="A1664" s="16">
        <v>450</v>
      </c>
      <c r="B1664" s="16" t="s">
        <v>4130</v>
      </c>
      <c r="D1664" s="16" t="s">
        <v>198</v>
      </c>
      <c r="E1664" s="16" t="s">
        <v>539</v>
      </c>
      <c r="F1664" s="16" t="s">
        <v>413</v>
      </c>
      <c r="G1664" s="16" t="s">
        <v>4121</v>
      </c>
      <c r="H1664" s="50" t="s">
        <v>403</v>
      </c>
      <c r="I1664" s="16" t="s">
        <v>4122</v>
      </c>
    </row>
    <row r="1665" spans="1:9" hidden="1" x14ac:dyDescent="0.35">
      <c r="A1665" s="16">
        <v>450</v>
      </c>
      <c r="B1665" s="16" t="s">
        <v>4131</v>
      </c>
      <c r="C1665" s="16" t="s">
        <v>4132</v>
      </c>
      <c r="D1665" s="16" t="s">
        <v>198</v>
      </c>
      <c r="E1665" s="16" t="s">
        <v>538</v>
      </c>
      <c r="F1665" s="16" t="s">
        <v>413</v>
      </c>
      <c r="G1665" s="16" t="s">
        <v>4121</v>
      </c>
      <c r="H1665" s="50" t="s">
        <v>403</v>
      </c>
      <c r="I1665" s="16" t="s">
        <v>4122</v>
      </c>
    </row>
    <row r="1666" spans="1:9" hidden="1" x14ac:dyDescent="0.35">
      <c r="A1666" s="16">
        <v>450</v>
      </c>
      <c r="B1666" s="16" t="s">
        <v>4133</v>
      </c>
      <c r="C1666" s="16" t="s">
        <v>4134</v>
      </c>
      <c r="D1666" s="16" t="s">
        <v>198</v>
      </c>
      <c r="E1666" s="16" t="s">
        <v>539</v>
      </c>
      <c r="F1666" s="16" t="s">
        <v>413</v>
      </c>
      <c r="G1666" s="16" t="s">
        <v>4121</v>
      </c>
      <c r="H1666" s="50" t="s">
        <v>403</v>
      </c>
      <c r="I1666" s="16" t="s">
        <v>4122</v>
      </c>
    </row>
    <row r="1667" spans="1:9" hidden="1" x14ac:dyDescent="0.35">
      <c r="A1667" s="16">
        <v>450</v>
      </c>
      <c r="B1667" s="16" t="s">
        <v>4135</v>
      </c>
      <c r="D1667" s="16" t="s">
        <v>198</v>
      </c>
      <c r="E1667" s="16" t="s">
        <v>539</v>
      </c>
      <c r="F1667" s="16" t="s">
        <v>413</v>
      </c>
      <c r="G1667" s="16" t="s">
        <v>4121</v>
      </c>
      <c r="H1667" s="50" t="s">
        <v>403</v>
      </c>
      <c r="I1667" s="16" t="s">
        <v>4122</v>
      </c>
    </row>
    <row r="1668" spans="1:9" hidden="1" x14ac:dyDescent="0.35">
      <c r="A1668" s="16">
        <v>450</v>
      </c>
      <c r="B1668" s="16" t="s">
        <v>4136</v>
      </c>
      <c r="D1668" s="16" t="s">
        <v>198</v>
      </c>
      <c r="E1668" s="16" t="s">
        <v>539</v>
      </c>
      <c r="F1668" s="16" t="s">
        <v>413</v>
      </c>
      <c r="G1668" s="16" t="s">
        <v>4121</v>
      </c>
      <c r="H1668" s="50" t="s">
        <v>403</v>
      </c>
      <c r="I1668" s="16" t="s">
        <v>4122</v>
      </c>
    </row>
    <row r="1669" spans="1:9" hidden="1" x14ac:dyDescent="0.35">
      <c r="A1669" s="16">
        <v>450</v>
      </c>
      <c r="B1669" s="16" t="s">
        <v>4137</v>
      </c>
      <c r="D1669" s="16" t="s">
        <v>198</v>
      </c>
      <c r="E1669" s="16" t="s">
        <v>539</v>
      </c>
      <c r="F1669" s="16" t="s">
        <v>413</v>
      </c>
      <c r="G1669" s="16" t="s">
        <v>4121</v>
      </c>
      <c r="H1669" s="50" t="s">
        <v>403</v>
      </c>
      <c r="I1669" s="16" t="s">
        <v>4122</v>
      </c>
    </row>
    <row r="1670" spans="1:9" hidden="1" x14ac:dyDescent="0.35">
      <c r="A1670" s="16">
        <v>450</v>
      </c>
      <c r="B1670" s="16" t="s">
        <v>4138</v>
      </c>
      <c r="D1670" s="16" t="s">
        <v>198</v>
      </c>
      <c r="E1670" s="16" t="s">
        <v>539</v>
      </c>
      <c r="F1670" s="16" t="s">
        <v>413</v>
      </c>
      <c r="G1670" s="16" t="s">
        <v>4121</v>
      </c>
      <c r="H1670" s="50" t="s">
        <v>403</v>
      </c>
      <c r="I1670" s="16" t="s">
        <v>4122</v>
      </c>
    </row>
    <row r="1671" spans="1:9" hidden="1" x14ac:dyDescent="0.35">
      <c r="A1671" s="16">
        <v>450</v>
      </c>
      <c r="B1671" s="16" t="s">
        <v>4139</v>
      </c>
      <c r="D1671" s="16" t="s">
        <v>198</v>
      </c>
      <c r="E1671" s="16" t="s">
        <v>539</v>
      </c>
      <c r="F1671" s="16" t="s">
        <v>413</v>
      </c>
      <c r="G1671" s="16" t="s">
        <v>4121</v>
      </c>
      <c r="H1671" s="50" t="s">
        <v>403</v>
      </c>
      <c r="I1671" s="16" t="s">
        <v>4122</v>
      </c>
    </row>
    <row r="1672" spans="1:9" hidden="1" x14ac:dyDescent="0.35">
      <c r="A1672" s="16">
        <v>450</v>
      </c>
      <c r="B1672" s="16" t="s">
        <v>4140</v>
      </c>
      <c r="D1672" s="16" t="s">
        <v>198</v>
      </c>
      <c r="E1672" s="16" t="s">
        <v>539</v>
      </c>
      <c r="F1672" s="16" t="s">
        <v>413</v>
      </c>
      <c r="G1672" s="16" t="s">
        <v>4121</v>
      </c>
      <c r="H1672" s="50" t="s">
        <v>403</v>
      </c>
      <c r="I1672" s="16" t="s">
        <v>4122</v>
      </c>
    </row>
    <row r="1673" spans="1:9" hidden="1" x14ac:dyDescent="0.35">
      <c r="A1673" s="16">
        <v>455</v>
      </c>
      <c r="B1673" s="16" t="s">
        <v>4141</v>
      </c>
      <c r="C1673" s="16" t="s">
        <v>633</v>
      </c>
      <c r="D1673" s="16" t="s">
        <v>124</v>
      </c>
      <c r="E1673" s="16" t="s">
        <v>538</v>
      </c>
      <c r="F1673" s="16" t="s">
        <v>413</v>
      </c>
      <c r="G1673" s="16">
        <v>2020</v>
      </c>
      <c r="H1673" s="50" t="s">
        <v>403</v>
      </c>
      <c r="I1673" s="16" t="s">
        <v>4142</v>
      </c>
    </row>
    <row r="1674" spans="1:9" hidden="1" x14ac:dyDescent="0.35">
      <c r="A1674" s="16">
        <v>455</v>
      </c>
      <c r="B1674" s="16" t="s">
        <v>4143</v>
      </c>
      <c r="C1674" s="16" t="s">
        <v>633</v>
      </c>
      <c r="D1674" s="16" t="s">
        <v>124</v>
      </c>
      <c r="E1674" s="16" t="s">
        <v>538</v>
      </c>
      <c r="F1674" s="16" t="s">
        <v>413</v>
      </c>
      <c r="G1674" s="16">
        <v>2020</v>
      </c>
      <c r="H1674" s="50" t="s">
        <v>403</v>
      </c>
      <c r="I1674" s="16" t="s">
        <v>4142</v>
      </c>
    </row>
    <row r="1675" spans="1:9" hidden="1" x14ac:dyDescent="0.35">
      <c r="A1675" s="16">
        <v>455</v>
      </c>
      <c r="B1675" s="16" t="s">
        <v>4144</v>
      </c>
      <c r="C1675" s="16" t="s">
        <v>633</v>
      </c>
      <c r="D1675" s="16" t="s">
        <v>124</v>
      </c>
      <c r="E1675" s="16" t="s">
        <v>538</v>
      </c>
      <c r="F1675" s="16" t="s">
        <v>413</v>
      </c>
      <c r="G1675" s="16">
        <v>2020</v>
      </c>
      <c r="H1675" s="50" t="s">
        <v>403</v>
      </c>
      <c r="I1675" s="16" t="s">
        <v>4142</v>
      </c>
    </row>
    <row r="1676" spans="1:9" hidden="1" x14ac:dyDescent="0.35">
      <c r="A1676" s="16">
        <v>460</v>
      </c>
      <c r="B1676" s="16" t="s">
        <v>286</v>
      </c>
      <c r="D1676" s="16" t="s">
        <v>130</v>
      </c>
      <c r="E1676" s="16" t="s">
        <v>813</v>
      </c>
      <c r="F1676" s="16" t="s">
        <v>122</v>
      </c>
      <c r="G1676" s="16" t="s">
        <v>1330</v>
      </c>
      <c r="H1676" s="50" t="s">
        <v>1330</v>
      </c>
      <c r="I1676" s="16" t="s">
        <v>4145</v>
      </c>
    </row>
    <row r="1677" spans="1:9" hidden="1" x14ac:dyDescent="0.35">
      <c r="A1677" s="16">
        <v>460</v>
      </c>
      <c r="B1677" s="16" t="s">
        <v>2194</v>
      </c>
      <c r="C1677" s="16" t="s">
        <v>633</v>
      </c>
      <c r="D1677" s="16" t="s">
        <v>130</v>
      </c>
      <c r="E1677" s="16" t="s">
        <v>813</v>
      </c>
      <c r="F1677" s="16" t="s">
        <v>122</v>
      </c>
      <c r="G1677" s="16" t="s">
        <v>1330</v>
      </c>
      <c r="H1677" s="50" t="s">
        <v>1330</v>
      </c>
      <c r="I1677" s="16" t="s">
        <v>4145</v>
      </c>
    </row>
    <row r="1678" spans="1:9" hidden="1" x14ac:dyDescent="0.35">
      <c r="A1678" s="16">
        <v>460</v>
      </c>
      <c r="B1678" s="16" t="s">
        <v>415</v>
      </c>
      <c r="C1678" s="16" t="s">
        <v>633</v>
      </c>
      <c r="D1678" s="16" t="s">
        <v>130</v>
      </c>
      <c r="E1678" s="16" t="s">
        <v>813</v>
      </c>
      <c r="F1678" s="16" t="s">
        <v>122</v>
      </c>
      <c r="G1678" s="16" t="s">
        <v>1330</v>
      </c>
      <c r="H1678" s="50" t="s">
        <v>1330</v>
      </c>
      <c r="I1678" s="16" t="s">
        <v>4145</v>
      </c>
    </row>
    <row r="1679" spans="1:9" hidden="1" x14ac:dyDescent="0.35">
      <c r="A1679" s="16">
        <v>460</v>
      </c>
      <c r="B1679" s="16" t="s">
        <v>4146</v>
      </c>
      <c r="C1679" s="16" t="s">
        <v>1936</v>
      </c>
      <c r="D1679" s="16" t="s">
        <v>130</v>
      </c>
      <c r="E1679" s="16" t="s">
        <v>813</v>
      </c>
      <c r="F1679" s="16" t="s">
        <v>122</v>
      </c>
      <c r="G1679" s="16" t="s">
        <v>1330</v>
      </c>
      <c r="H1679" s="50" t="s">
        <v>1330</v>
      </c>
      <c r="I1679" s="16" t="s">
        <v>4145</v>
      </c>
    </row>
    <row r="1680" spans="1:9" hidden="1" x14ac:dyDescent="0.35">
      <c r="A1680" s="16">
        <v>460</v>
      </c>
      <c r="B1680" s="16" t="s">
        <v>4147</v>
      </c>
      <c r="C1680" s="16" t="s">
        <v>1936</v>
      </c>
      <c r="D1680" s="16" t="s">
        <v>130</v>
      </c>
      <c r="E1680" s="16" t="s">
        <v>813</v>
      </c>
      <c r="F1680" s="16" t="s">
        <v>122</v>
      </c>
      <c r="G1680" s="16" t="s">
        <v>1330</v>
      </c>
      <c r="H1680" s="50" t="s">
        <v>1330</v>
      </c>
      <c r="I1680" s="16" t="s">
        <v>4145</v>
      </c>
    </row>
    <row r="1681" spans="1:9" hidden="1" x14ac:dyDescent="0.35">
      <c r="A1681" s="16">
        <v>460</v>
      </c>
      <c r="B1681" s="16" t="s">
        <v>4148</v>
      </c>
      <c r="C1681" s="16" t="s">
        <v>633</v>
      </c>
      <c r="D1681" s="16" t="s">
        <v>130</v>
      </c>
      <c r="E1681" s="16" t="s">
        <v>809</v>
      </c>
      <c r="F1681" s="16" t="s">
        <v>122</v>
      </c>
      <c r="G1681" s="16" t="s">
        <v>1330</v>
      </c>
      <c r="H1681" s="50" t="s">
        <v>1330</v>
      </c>
      <c r="I1681" s="16" t="s">
        <v>4145</v>
      </c>
    </row>
    <row r="1682" spans="1:9" hidden="1" x14ac:dyDescent="0.35">
      <c r="A1682" s="16">
        <v>460</v>
      </c>
      <c r="B1682" s="16" t="s">
        <v>4149</v>
      </c>
      <c r="C1682" s="16" t="s">
        <v>633</v>
      </c>
      <c r="D1682" s="16" t="s">
        <v>124</v>
      </c>
      <c r="E1682" s="16" t="s">
        <v>559</v>
      </c>
      <c r="F1682" s="16" t="s">
        <v>413</v>
      </c>
      <c r="G1682" s="16" t="s">
        <v>1330</v>
      </c>
      <c r="H1682" s="50" t="s">
        <v>1330</v>
      </c>
      <c r="I1682" s="16" t="s">
        <v>4145</v>
      </c>
    </row>
    <row r="1683" spans="1:9" hidden="1" x14ac:dyDescent="0.35">
      <c r="A1683" s="16">
        <v>460</v>
      </c>
      <c r="B1683" s="16" t="s">
        <v>2753</v>
      </c>
      <c r="C1683" s="16" t="s">
        <v>4150</v>
      </c>
      <c r="D1683" s="16" t="s">
        <v>130</v>
      </c>
      <c r="E1683" s="16" t="s">
        <v>1118</v>
      </c>
      <c r="F1683" s="16" t="s">
        <v>122</v>
      </c>
      <c r="G1683" s="16" t="s">
        <v>1330</v>
      </c>
      <c r="H1683" s="50" t="s">
        <v>1330</v>
      </c>
      <c r="I1683" s="16" t="s">
        <v>4145</v>
      </c>
    </row>
    <row r="1684" spans="1:9" hidden="1" x14ac:dyDescent="0.35">
      <c r="A1684" s="16">
        <v>460</v>
      </c>
      <c r="B1684" s="16" t="s">
        <v>4151</v>
      </c>
      <c r="D1684" s="16" t="s">
        <v>130</v>
      </c>
      <c r="E1684" s="16" t="s">
        <v>1118</v>
      </c>
      <c r="F1684" s="16" t="s">
        <v>122</v>
      </c>
      <c r="G1684" s="16" t="s">
        <v>1330</v>
      </c>
      <c r="H1684" s="50" t="s">
        <v>1330</v>
      </c>
      <c r="I1684" s="16" t="s">
        <v>4152</v>
      </c>
    </row>
    <row r="1685" spans="1:9" hidden="1" x14ac:dyDescent="0.35">
      <c r="A1685" s="16">
        <v>460</v>
      </c>
      <c r="B1685" s="16" t="s">
        <v>4153</v>
      </c>
      <c r="D1685" s="16" t="s">
        <v>130</v>
      </c>
      <c r="E1685" s="16" t="s">
        <v>1118</v>
      </c>
      <c r="F1685" s="16" t="s">
        <v>122</v>
      </c>
      <c r="G1685" s="16" t="s">
        <v>1330</v>
      </c>
      <c r="H1685" s="50" t="s">
        <v>1330</v>
      </c>
      <c r="I1685" s="16" t="s">
        <v>4152</v>
      </c>
    </row>
    <row r="1686" spans="1:9" hidden="1" x14ac:dyDescent="0.35">
      <c r="A1686" s="16">
        <v>460</v>
      </c>
      <c r="B1686" s="16" t="s">
        <v>4154</v>
      </c>
      <c r="C1686" s="16" t="s">
        <v>633</v>
      </c>
      <c r="D1686" s="16" t="s">
        <v>130</v>
      </c>
      <c r="E1686" s="16" t="s">
        <v>1118</v>
      </c>
      <c r="F1686" s="16" t="s">
        <v>122</v>
      </c>
      <c r="G1686" s="16" t="s">
        <v>1330</v>
      </c>
      <c r="H1686" s="50" t="s">
        <v>1330</v>
      </c>
      <c r="I1686" s="16" t="s">
        <v>4152</v>
      </c>
    </row>
    <row r="1687" spans="1:9" hidden="1" x14ac:dyDescent="0.35">
      <c r="A1687" s="16">
        <v>460</v>
      </c>
      <c r="B1687" s="16" t="s">
        <v>2493</v>
      </c>
      <c r="C1687" s="16" t="s">
        <v>633</v>
      </c>
      <c r="D1687" s="16" t="s">
        <v>124</v>
      </c>
      <c r="E1687" s="16" t="s">
        <v>559</v>
      </c>
      <c r="F1687" s="16" t="s">
        <v>413</v>
      </c>
      <c r="G1687" s="16" t="s">
        <v>1330</v>
      </c>
      <c r="H1687" s="50" t="s">
        <v>1330</v>
      </c>
      <c r="I1687" s="16" t="s">
        <v>4145</v>
      </c>
    </row>
    <row r="1688" spans="1:9" hidden="1" x14ac:dyDescent="0.35">
      <c r="A1688" s="16">
        <v>462</v>
      </c>
      <c r="B1688" s="16" t="s">
        <v>4076</v>
      </c>
      <c r="C1688" s="16" t="s">
        <v>633</v>
      </c>
      <c r="D1688" s="16" t="s">
        <v>130</v>
      </c>
      <c r="E1688" s="16" t="s">
        <v>1118</v>
      </c>
      <c r="F1688" s="16" t="s">
        <v>413</v>
      </c>
      <c r="G1688" s="16" t="s">
        <v>1395</v>
      </c>
      <c r="H1688" s="50" t="s">
        <v>1330</v>
      </c>
      <c r="I1688" s="16" t="s">
        <v>4155</v>
      </c>
    </row>
    <row r="1689" spans="1:9" hidden="1" x14ac:dyDescent="0.35">
      <c r="A1689" s="16">
        <v>462</v>
      </c>
      <c r="B1689" s="16" t="s">
        <v>286</v>
      </c>
      <c r="D1689" s="16" t="s">
        <v>130</v>
      </c>
      <c r="E1689" s="16" t="s">
        <v>813</v>
      </c>
      <c r="F1689" s="16" t="s">
        <v>413</v>
      </c>
      <c r="G1689" s="16" t="s">
        <v>1395</v>
      </c>
      <c r="H1689" s="50" t="s">
        <v>1330</v>
      </c>
      <c r="I1689" s="16" t="s">
        <v>4155</v>
      </c>
    </row>
    <row r="1690" spans="1:9" hidden="1" x14ac:dyDescent="0.35">
      <c r="A1690" s="16">
        <v>462</v>
      </c>
      <c r="B1690" s="16" t="s">
        <v>4156</v>
      </c>
      <c r="C1690" s="16" t="s">
        <v>676</v>
      </c>
      <c r="D1690" s="16" t="s">
        <v>130</v>
      </c>
      <c r="E1690" s="16" t="s">
        <v>813</v>
      </c>
      <c r="F1690" s="16" t="s">
        <v>413</v>
      </c>
      <c r="G1690" s="16" t="s">
        <v>1395</v>
      </c>
      <c r="H1690" s="50" t="s">
        <v>1330</v>
      </c>
      <c r="I1690" s="16" t="s">
        <v>4155</v>
      </c>
    </row>
    <row r="1691" spans="1:9" hidden="1" x14ac:dyDescent="0.35">
      <c r="A1691" s="16">
        <v>462</v>
      </c>
      <c r="B1691" s="16" t="s">
        <v>4157</v>
      </c>
      <c r="C1691" s="16" t="s">
        <v>676</v>
      </c>
      <c r="D1691" s="16" t="s">
        <v>130</v>
      </c>
      <c r="E1691" s="16" t="s">
        <v>813</v>
      </c>
      <c r="F1691" s="16" t="s">
        <v>413</v>
      </c>
      <c r="G1691" s="16" t="s">
        <v>1395</v>
      </c>
      <c r="H1691" s="50" t="s">
        <v>1330</v>
      </c>
      <c r="I1691" s="16" t="s">
        <v>4155</v>
      </c>
    </row>
    <row r="1692" spans="1:9" hidden="1" x14ac:dyDescent="0.35">
      <c r="A1692" s="16">
        <v>462</v>
      </c>
      <c r="B1692" s="16" t="s">
        <v>4158</v>
      </c>
      <c r="C1692" s="16" t="s">
        <v>4159</v>
      </c>
      <c r="D1692" s="16" t="s">
        <v>130</v>
      </c>
      <c r="E1692" s="16" t="s">
        <v>813</v>
      </c>
      <c r="F1692" s="16" t="s">
        <v>413</v>
      </c>
      <c r="G1692" s="16" t="s">
        <v>1395</v>
      </c>
      <c r="H1692" s="50" t="s">
        <v>1330</v>
      </c>
      <c r="I1692" s="16" t="s">
        <v>4155</v>
      </c>
    </row>
    <row r="1693" spans="1:9" hidden="1" x14ac:dyDescent="0.35">
      <c r="A1693" s="16">
        <v>462</v>
      </c>
      <c r="B1693" s="16" t="s">
        <v>4160</v>
      </c>
      <c r="C1693" s="16" t="s">
        <v>4159</v>
      </c>
      <c r="D1693" s="16" t="s">
        <v>130</v>
      </c>
      <c r="E1693" s="16" t="s">
        <v>813</v>
      </c>
      <c r="F1693" s="16" t="s">
        <v>413</v>
      </c>
      <c r="G1693" s="16" t="s">
        <v>1395</v>
      </c>
      <c r="H1693" s="50" t="s">
        <v>1330</v>
      </c>
      <c r="I1693" s="16" t="s">
        <v>4155</v>
      </c>
    </row>
    <row r="1694" spans="1:9" hidden="1" x14ac:dyDescent="0.35">
      <c r="A1694" s="16">
        <v>462</v>
      </c>
      <c r="B1694" s="16" t="s">
        <v>2758</v>
      </c>
      <c r="C1694" s="16" t="s">
        <v>633</v>
      </c>
      <c r="D1694" s="16" t="s">
        <v>130</v>
      </c>
      <c r="E1694" s="16" t="s">
        <v>813</v>
      </c>
      <c r="F1694" s="16" t="s">
        <v>413</v>
      </c>
      <c r="G1694" s="16" t="s">
        <v>1395</v>
      </c>
      <c r="H1694" s="50" t="s">
        <v>1330</v>
      </c>
      <c r="I1694" s="16" t="s">
        <v>4155</v>
      </c>
    </row>
    <row r="1695" spans="1:9" hidden="1" x14ac:dyDescent="0.35">
      <c r="A1695" s="16">
        <v>462</v>
      </c>
      <c r="B1695" s="16" t="s">
        <v>4161</v>
      </c>
      <c r="C1695" s="16" t="s">
        <v>1910</v>
      </c>
      <c r="D1695" s="16" t="s">
        <v>130</v>
      </c>
      <c r="E1695" s="16" t="s">
        <v>1118</v>
      </c>
      <c r="F1695" s="16" t="s">
        <v>413</v>
      </c>
      <c r="G1695" s="16" t="s">
        <v>1395</v>
      </c>
      <c r="H1695" s="50" t="s">
        <v>1330</v>
      </c>
      <c r="I1695" s="16" t="s">
        <v>4162</v>
      </c>
    </row>
    <row r="1696" spans="1:9" hidden="1" x14ac:dyDescent="0.35">
      <c r="A1696" s="16">
        <v>462</v>
      </c>
      <c r="B1696" s="16" t="s">
        <v>4163</v>
      </c>
      <c r="C1696" s="16" t="s">
        <v>3225</v>
      </c>
      <c r="D1696" s="16" t="s">
        <v>130</v>
      </c>
      <c r="E1696" s="16" t="s">
        <v>1118</v>
      </c>
      <c r="F1696" s="16" t="s">
        <v>413</v>
      </c>
      <c r="G1696" s="16" t="s">
        <v>1395</v>
      </c>
      <c r="H1696" s="50" t="s">
        <v>1330</v>
      </c>
      <c r="I1696" s="16" t="s">
        <v>4162</v>
      </c>
    </row>
    <row r="1697" spans="1:9" hidden="1" x14ac:dyDescent="0.35">
      <c r="A1697" s="16">
        <v>462</v>
      </c>
      <c r="B1697" s="16" t="s">
        <v>4164</v>
      </c>
      <c r="C1697" s="16" t="s">
        <v>633</v>
      </c>
      <c r="D1697" s="16" t="s">
        <v>130</v>
      </c>
      <c r="E1697" s="16" t="s">
        <v>1118</v>
      </c>
      <c r="F1697" s="16" t="s">
        <v>413</v>
      </c>
      <c r="G1697" s="16" t="s">
        <v>1395</v>
      </c>
      <c r="H1697" s="50" t="s">
        <v>1330</v>
      </c>
      <c r="I1697" s="16" t="s">
        <v>4162</v>
      </c>
    </row>
    <row r="1698" spans="1:9" hidden="1" x14ac:dyDescent="0.35">
      <c r="A1698" s="16">
        <v>467</v>
      </c>
      <c r="B1698" s="16" t="s">
        <v>4165</v>
      </c>
      <c r="C1698" s="16" t="s">
        <v>4166</v>
      </c>
      <c r="D1698" s="16" t="s">
        <v>428</v>
      </c>
      <c r="E1698" s="16" t="s">
        <v>150</v>
      </c>
      <c r="F1698" s="16" t="s">
        <v>122</v>
      </c>
      <c r="G1698" s="16" t="s">
        <v>1519</v>
      </c>
      <c r="H1698" s="50" t="s">
        <v>405</v>
      </c>
      <c r="I1698" s="16" t="s">
        <v>4167</v>
      </c>
    </row>
    <row r="1699" spans="1:9" hidden="1" x14ac:dyDescent="0.35">
      <c r="A1699" s="16">
        <v>467</v>
      </c>
      <c r="B1699" s="16" t="s">
        <v>1104</v>
      </c>
      <c r="C1699" s="16" t="s">
        <v>4062</v>
      </c>
      <c r="D1699" s="16" t="s">
        <v>428</v>
      </c>
      <c r="E1699" s="16" t="s">
        <v>150</v>
      </c>
      <c r="F1699" s="16" t="s">
        <v>122</v>
      </c>
      <c r="G1699" s="16" t="s">
        <v>1519</v>
      </c>
      <c r="H1699" s="50" t="s">
        <v>405</v>
      </c>
      <c r="I1699" s="16" t="s">
        <v>4167</v>
      </c>
    </row>
    <row r="1700" spans="1:9" hidden="1" x14ac:dyDescent="0.35">
      <c r="A1700" s="16">
        <v>467</v>
      </c>
      <c r="B1700" s="16" t="s">
        <v>4151</v>
      </c>
      <c r="D1700" s="16" t="s">
        <v>428</v>
      </c>
      <c r="E1700" s="16" t="s">
        <v>150</v>
      </c>
      <c r="F1700" s="16" t="s">
        <v>122</v>
      </c>
      <c r="G1700" s="16" t="s">
        <v>1519</v>
      </c>
      <c r="H1700" s="50" t="s">
        <v>405</v>
      </c>
      <c r="I1700" s="16" t="s">
        <v>4167</v>
      </c>
    </row>
    <row r="1701" spans="1:9" hidden="1" x14ac:dyDescent="0.35">
      <c r="A1701" s="16">
        <v>467</v>
      </c>
      <c r="B1701" s="16" t="s">
        <v>4168</v>
      </c>
      <c r="C1701" s="16" t="s">
        <v>3249</v>
      </c>
      <c r="D1701" s="16" t="s">
        <v>428</v>
      </c>
      <c r="E1701" s="16" t="s">
        <v>150</v>
      </c>
      <c r="F1701" s="16" t="s">
        <v>122</v>
      </c>
      <c r="G1701" s="16" t="s">
        <v>1519</v>
      </c>
      <c r="H1701" s="50" t="s">
        <v>405</v>
      </c>
      <c r="I1701" s="16" t="s">
        <v>4167</v>
      </c>
    </row>
    <row r="1702" spans="1:9" hidden="1" x14ac:dyDescent="0.35">
      <c r="A1702" s="16">
        <v>467</v>
      </c>
      <c r="B1702" s="16" t="s">
        <v>4169</v>
      </c>
      <c r="C1702" s="16" t="s">
        <v>4062</v>
      </c>
      <c r="D1702" s="16" t="s">
        <v>428</v>
      </c>
      <c r="E1702" s="16" t="s">
        <v>150</v>
      </c>
      <c r="F1702" s="16" t="s">
        <v>122</v>
      </c>
      <c r="G1702" s="16" t="s">
        <v>1519</v>
      </c>
      <c r="H1702" s="50" t="s">
        <v>405</v>
      </c>
      <c r="I1702" s="16" t="s">
        <v>4167</v>
      </c>
    </row>
    <row r="1703" spans="1:9" hidden="1" x14ac:dyDescent="0.35">
      <c r="A1703" s="16">
        <v>467</v>
      </c>
      <c r="B1703" s="16" t="s">
        <v>4170</v>
      </c>
      <c r="C1703" s="16" t="s">
        <v>3249</v>
      </c>
      <c r="D1703" s="16" t="s">
        <v>428</v>
      </c>
      <c r="E1703" s="16" t="s">
        <v>150</v>
      </c>
      <c r="F1703" s="16" t="s">
        <v>122</v>
      </c>
      <c r="G1703" s="16" t="s">
        <v>1519</v>
      </c>
      <c r="H1703" s="50" t="s">
        <v>405</v>
      </c>
      <c r="I1703" s="16" t="s">
        <v>4167</v>
      </c>
    </row>
    <row r="1704" spans="1:9" hidden="1" x14ac:dyDescent="0.35">
      <c r="A1704" s="16">
        <v>467</v>
      </c>
      <c r="B1704" s="16" t="s">
        <v>4171</v>
      </c>
      <c r="C1704" s="16" t="s">
        <v>4166</v>
      </c>
      <c r="D1704" s="16" t="s">
        <v>428</v>
      </c>
      <c r="E1704" s="16" t="s">
        <v>150</v>
      </c>
      <c r="F1704" s="16" t="s">
        <v>122</v>
      </c>
      <c r="G1704" s="16" t="s">
        <v>1519</v>
      </c>
      <c r="H1704" s="50" t="s">
        <v>405</v>
      </c>
      <c r="I1704" s="16" t="s">
        <v>4167</v>
      </c>
    </row>
    <row r="1705" spans="1:9" hidden="1" x14ac:dyDescent="0.35">
      <c r="A1705" s="16">
        <v>467</v>
      </c>
      <c r="B1705" s="16" t="s">
        <v>4172</v>
      </c>
      <c r="D1705" s="16" t="s">
        <v>428</v>
      </c>
      <c r="E1705" s="16" t="s">
        <v>150</v>
      </c>
      <c r="F1705" s="16" t="s">
        <v>122</v>
      </c>
      <c r="G1705" s="16" t="s">
        <v>1519</v>
      </c>
      <c r="H1705" s="50" t="s">
        <v>405</v>
      </c>
      <c r="I1705" s="16" t="s">
        <v>4167</v>
      </c>
    </row>
    <row r="1706" spans="1:9" hidden="1" x14ac:dyDescent="0.35">
      <c r="A1706" s="16">
        <v>467</v>
      </c>
      <c r="B1706" s="16" t="s">
        <v>4173</v>
      </c>
      <c r="C1706" s="16" t="s">
        <v>4062</v>
      </c>
      <c r="D1706" s="16" t="s">
        <v>428</v>
      </c>
      <c r="E1706" s="16" t="s">
        <v>150</v>
      </c>
      <c r="F1706" s="16" t="s">
        <v>122</v>
      </c>
      <c r="G1706" s="16" t="s">
        <v>1519</v>
      </c>
      <c r="H1706" s="50" t="s">
        <v>405</v>
      </c>
      <c r="I1706" s="16" t="s">
        <v>4167</v>
      </c>
    </row>
    <row r="1707" spans="1:9" hidden="1" x14ac:dyDescent="0.35">
      <c r="A1707" s="16">
        <v>467</v>
      </c>
      <c r="B1707" s="16" t="s">
        <v>4174</v>
      </c>
      <c r="C1707" s="16" t="s">
        <v>3249</v>
      </c>
      <c r="D1707" s="16" t="s">
        <v>428</v>
      </c>
      <c r="E1707" s="16" t="s">
        <v>150</v>
      </c>
      <c r="F1707" s="16" t="s">
        <v>122</v>
      </c>
      <c r="G1707" s="16" t="s">
        <v>1519</v>
      </c>
      <c r="H1707" s="50" t="s">
        <v>405</v>
      </c>
      <c r="I1707" s="16" t="s">
        <v>4167</v>
      </c>
    </row>
    <row r="1708" spans="1:9" hidden="1" x14ac:dyDescent="0.35">
      <c r="A1708" s="16">
        <v>467</v>
      </c>
      <c r="B1708" s="16" t="s">
        <v>4175</v>
      </c>
      <c r="C1708" s="16" t="s">
        <v>4062</v>
      </c>
      <c r="D1708" s="16" t="s">
        <v>428</v>
      </c>
      <c r="E1708" s="16" t="s">
        <v>150</v>
      </c>
      <c r="F1708" s="16" t="s">
        <v>122</v>
      </c>
      <c r="G1708" s="16" t="s">
        <v>1519</v>
      </c>
      <c r="H1708" s="50" t="s">
        <v>405</v>
      </c>
      <c r="I1708" s="16" t="s">
        <v>4167</v>
      </c>
    </row>
    <row r="1709" spans="1:9" hidden="1" x14ac:dyDescent="0.35">
      <c r="A1709" s="16">
        <v>467</v>
      </c>
      <c r="B1709" s="16" t="s">
        <v>4176</v>
      </c>
      <c r="C1709" s="16" t="s">
        <v>3249</v>
      </c>
      <c r="D1709" s="16" t="s">
        <v>428</v>
      </c>
      <c r="E1709" s="16" t="s">
        <v>150</v>
      </c>
      <c r="F1709" s="16" t="s">
        <v>122</v>
      </c>
      <c r="G1709" s="16" t="s">
        <v>1519</v>
      </c>
      <c r="H1709" s="50" t="s">
        <v>405</v>
      </c>
      <c r="I1709" s="16" t="s">
        <v>4167</v>
      </c>
    </row>
    <row r="1710" spans="1:9" hidden="1" x14ac:dyDescent="0.35">
      <c r="A1710" s="16">
        <v>467</v>
      </c>
      <c r="B1710" s="16" t="s">
        <v>4177</v>
      </c>
      <c r="C1710" s="16" t="s">
        <v>4166</v>
      </c>
      <c r="D1710" s="16" t="s">
        <v>428</v>
      </c>
      <c r="E1710" s="16" t="s">
        <v>150</v>
      </c>
      <c r="F1710" s="16" t="s">
        <v>122</v>
      </c>
      <c r="G1710" s="16" t="s">
        <v>1519</v>
      </c>
      <c r="H1710" s="50" t="s">
        <v>405</v>
      </c>
      <c r="I1710" s="16" t="s">
        <v>4167</v>
      </c>
    </row>
    <row r="1711" spans="1:9" hidden="1" x14ac:dyDescent="0.35">
      <c r="A1711" s="16">
        <v>467</v>
      </c>
      <c r="B1711" s="16" t="s">
        <v>4178</v>
      </c>
      <c r="C1711" s="16" t="s">
        <v>4062</v>
      </c>
      <c r="D1711" s="16" t="s">
        <v>428</v>
      </c>
      <c r="E1711" s="16" t="s">
        <v>150</v>
      </c>
      <c r="F1711" s="16" t="s">
        <v>122</v>
      </c>
      <c r="G1711" s="16" t="s">
        <v>1519</v>
      </c>
      <c r="H1711" s="50" t="s">
        <v>405</v>
      </c>
      <c r="I1711" s="16" t="s">
        <v>4167</v>
      </c>
    </row>
    <row r="1712" spans="1:9" hidden="1" x14ac:dyDescent="0.35">
      <c r="A1712" s="16">
        <v>467</v>
      </c>
      <c r="B1712" s="16" t="s">
        <v>4179</v>
      </c>
      <c r="C1712" s="16" t="s">
        <v>3249</v>
      </c>
      <c r="D1712" s="16" t="s">
        <v>428</v>
      </c>
      <c r="E1712" s="16" t="s">
        <v>150</v>
      </c>
      <c r="F1712" s="16" t="s">
        <v>122</v>
      </c>
      <c r="G1712" s="16" t="s">
        <v>1519</v>
      </c>
      <c r="H1712" s="50" t="s">
        <v>405</v>
      </c>
      <c r="I1712" s="16" t="s">
        <v>4167</v>
      </c>
    </row>
    <row r="1713" spans="1:10" hidden="1" x14ac:dyDescent="0.35">
      <c r="A1713" s="16">
        <v>467</v>
      </c>
      <c r="B1713" s="16" t="s">
        <v>4180</v>
      </c>
      <c r="D1713" s="16" t="s">
        <v>428</v>
      </c>
      <c r="E1713" s="16" t="s">
        <v>150</v>
      </c>
      <c r="F1713" s="16" t="s">
        <v>122</v>
      </c>
      <c r="G1713" s="16" t="s">
        <v>1519</v>
      </c>
      <c r="H1713" s="50" t="s">
        <v>405</v>
      </c>
      <c r="I1713" s="16" t="s">
        <v>4167</v>
      </c>
    </row>
    <row r="1714" spans="1:10" hidden="1" x14ac:dyDescent="0.35">
      <c r="A1714" s="16">
        <v>467</v>
      </c>
      <c r="B1714" s="16" t="s">
        <v>286</v>
      </c>
      <c r="D1714" s="16" t="s">
        <v>130</v>
      </c>
      <c r="E1714" s="16" t="s">
        <v>813</v>
      </c>
      <c r="F1714" s="16" t="s">
        <v>122</v>
      </c>
      <c r="G1714" s="16" t="s">
        <v>1519</v>
      </c>
      <c r="H1714" s="50" t="s">
        <v>405</v>
      </c>
      <c r="I1714" s="16" t="s">
        <v>389</v>
      </c>
    </row>
    <row r="1715" spans="1:10" hidden="1" x14ac:dyDescent="0.35">
      <c r="A1715" s="16">
        <v>467</v>
      </c>
      <c r="B1715" s="16" t="s">
        <v>4076</v>
      </c>
      <c r="C1715" s="16" t="s">
        <v>633</v>
      </c>
      <c r="D1715" s="16" t="s">
        <v>130</v>
      </c>
      <c r="E1715" s="16" t="s">
        <v>1118</v>
      </c>
      <c r="F1715" s="16" t="s">
        <v>122</v>
      </c>
      <c r="G1715" s="16" t="s">
        <v>1519</v>
      </c>
      <c r="H1715" s="50" t="s">
        <v>405</v>
      </c>
      <c r="I1715" s="16" t="s">
        <v>389</v>
      </c>
    </row>
    <row r="1716" spans="1:10" hidden="1" x14ac:dyDescent="0.35">
      <c r="A1716" s="16">
        <v>467</v>
      </c>
      <c r="B1716" s="16" t="s">
        <v>4075</v>
      </c>
      <c r="C1716" s="16" t="s">
        <v>633</v>
      </c>
      <c r="D1716" s="16" t="s">
        <v>130</v>
      </c>
      <c r="E1716" s="16" t="s">
        <v>813</v>
      </c>
      <c r="F1716" s="16" t="s">
        <v>122</v>
      </c>
      <c r="G1716" s="16" t="s">
        <v>1519</v>
      </c>
      <c r="H1716" s="50" t="s">
        <v>405</v>
      </c>
      <c r="I1716" s="16" t="s">
        <v>389</v>
      </c>
    </row>
    <row r="1717" spans="1:10" hidden="1" x14ac:dyDescent="0.35">
      <c r="A1717" s="16">
        <v>467</v>
      </c>
      <c r="B1717" s="16" t="s">
        <v>415</v>
      </c>
      <c r="C1717" s="16" t="s">
        <v>633</v>
      </c>
      <c r="D1717" s="16" t="s">
        <v>130</v>
      </c>
      <c r="E1717" s="16" t="s">
        <v>813</v>
      </c>
      <c r="F1717" s="16" t="s">
        <v>122</v>
      </c>
      <c r="G1717" s="16" t="s">
        <v>1519</v>
      </c>
      <c r="H1717" s="50" t="s">
        <v>405</v>
      </c>
      <c r="I1717" s="16" t="s">
        <v>389</v>
      </c>
    </row>
    <row r="1718" spans="1:10" hidden="1" x14ac:dyDescent="0.35">
      <c r="A1718" s="16">
        <v>467</v>
      </c>
      <c r="B1718" s="16" t="s">
        <v>4090</v>
      </c>
      <c r="C1718" s="16" t="s">
        <v>676</v>
      </c>
      <c r="D1718" s="16" t="s">
        <v>130</v>
      </c>
      <c r="E1718" s="16" t="s">
        <v>813</v>
      </c>
      <c r="F1718" s="16" t="s">
        <v>122</v>
      </c>
      <c r="G1718" s="16" t="s">
        <v>1519</v>
      </c>
      <c r="H1718" s="50" t="s">
        <v>405</v>
      </c>
      <c r="I1718" s="16" t="s">
        <v>389</v>
      </c>
    </row>
    <row r="1719" spans="1:10" hidden="1" x14ac:dyDescent="0.35">
      <c r="A1719" s="16">
        <v>467</v>
      </c>
      <c r="B1719" s="16" t="s">
        <v>4092</v>
      </c>
      <c r="C1719" s="16" t="s">
        <v>676</v>
      </c>
      <c r="D1719" s="16" t="s">
        <v>130</v>
      </c>
      <c r="E1719" s="16" t="s">
        <v>813</v>
      </c>
      <c r="F1719" s="16" t="s">
        <v>122</v>
      </c>
      <c r="G1719" s="16" t="s">
        <v>1519</v>
      </c>
      <c r="H1719" s="50" t="s">
        <v>405</v>
      </c>
      <c r="I1719" s="16" t="s">
        <v>389</v>
      </c>
    </row>
    <row r="1720" spans="1:10" hidden="1" x14ac:dyDescent="0.35">
      <c r="A1720" s="16">
        <v>467</v>
      </c>
      <c r="B1720" s="16" t="s">
        <v>2114</v>
      </c>
      <c r="C1720" s="16" t="s">
        <v>1936</v>
      </c>
      <c r="D1720" s="16" t="s">
        <v>130</v>
      </c>
      <c r="E1720" s="16" t="s">
        <v>813</v>
      </c>
      <c r="F1720" s="16" t="s">
        <v>122</v>
      </c>
      <c r="G1720" s="16" t="s">
        <v>1519</v>
      </c>
      <c r="H1720" s="50" t="s">
        <v>405</v>
      </c>
      <c r="I1720" s="16" t="s">
        <v>389</v>
      </c>
    </row>
    <row r="1721" spans="1:10" hidden="1" x14ac:dyDescent="0.35">
      <c r="A1721" s="16">
        <v>467</v>
      </c>
      <c r="B1721" s="16" t="s">
        <v>1083</v>
      </c>
      <c r="C1721" s="16" t="s">
        <v>3971</v>
      </c>
      <c r="D1721" s="16" t="s">
        <v>130</v>
      </c>
      <c r="E1721" s="16" t="s">
        <v>1118</v>
      </c>
      <c r="F1721" s="16" t="s">
        <v>122</v>
      </c>
      <c r="G1721" s="16" t="s">
        <v>1519</v>
      </c>
      <c r="H1721" s="50" t="s">
        <v>405</v>
      </c>
      <c r="I1721" s="16" t="s">
        <v>389</v>
      </c>
    </row>
    <row r="1722" spans="1:10" hidden="1" x14ac:dyDescent="0.35">
      <c r="A1722" s="16">
        <v>467</v>
      </c>
      <c r="B1722" s="16" t="s">
        <v>3972</v>
      </c>
      <c r="C1722" s="16" t="s">
        <v>4181</v>
      </c>
      <c r="D1722" s="16" t="s">
        <v>130</v>
      </c>
      <c r="E1722" s="16" t="s">
        <v>1118</v>
      </c>
      <c r="F1722" s="16" t="s">
        <v>122</v>
      </c>
      <c r="G1722" s="16" t="s">
        <v>1519</v>
      </c>
      <c r="H1722" s="50" t="s">
        <v>405</v>
      </c>
      <c r="I1722" s="16" t="s">
        <v>389</v>
      </c>
    </row>
    <row r="1723" spans="1:10" hidden="1" x14ac:dyDescent="0.35">
      <c r="A1723" s="16">
        <v>467</v>
      </c>
      <c r="B1723" s="16" t="s">
        <v>3974</v>
      </c>
      <c r="C1723" s="16" t="s">
        <v>4182</v>
      </c>
      <c r="D1723" s="16" t="s">
        <v>130</v>
      </c>
      <c r="E1723" s="16" t="s">
        <v>1118</v>
      </c>
      <c r="F1723" s="16" t="s">
        <v>122</v>
      </c>
      <c r="G1723" s="16" t="s">
        <v>1519</v>
      </c>
      <c r="H1723" s="50" t="s">
        <v>405</v>
      </c>
      <c r="I1723" s="16" t="s">
        <v>389</v>
      </c>
    </row>
    <row r="1724" spans="1:10" hidden="1" x14ac:dyDescent="0.35">
      <c r="A1724" s="16">
        <v>467</v>
      </c>
      <c r="B1724" s="16" t="s">
        <v>4740</v>
      </c>
      <c r="C1724" s="16" t="s">
        <v>4181</v>
      </c>
      <c r="D1724" s="16" t="s">
        <v>130</v>
      </c>
      <c r="E1724" s="16" t="s">
        <v>1118</v>
      </c>
      <c r="F1724" s="16" t="s">
        <v>122</v>
      </c>
      <c r="G1724" s="16" t="s">
        <v>1519</v>
      </c>
      <c r="H1724" s="50" t="s">
        <v>405</v>
      </c>
      <c r="I1724" s="16" t="s">
        <v>389</v>
      </c>
    </row>
    <row r="1725" spans="1:10" hidden="1" x14ac:dyDescent="0.35">
      <c r="A1725" s="16">
        <v>467</v>
      </c>
      <c r="B1725" s="16" t="s">
        <v>4183</v>
      </c>
      <c r="C1725" s="16" t="s">
        <v>633</v>
      </c>
      <c r="D1725" s="16" t="s">
        <v>130</v>
      </c>
      <c r="E1725" s="16" t="s">
        <v>809</v>
      </c>
      <c r="F1725" s="16" t="s">
        <v>122</v>
      </c>
      <c r="G1725" s="16" t="s">
        <v>1519</v>
      </c>
      <c r="H1725" s="50" t="s">
        <v>405</v>
      </c>
      <c r="I1725" s="16" t="s">
        <v>389</v>
      </c>
    </row>
    <row r="1726" spans="1:10" hidden="1" x14ac:dyDescent="0.35">
      <c r="A1726" s="16">
        <v>467</v>
      </c>
      <c r="B1726" s="16" t="s">
        <v>4184</v>
      </c>
      <c r="C1726" s="16" t="s">
        <v>633</v>
      </c>
      <c r="D1726" s="16" t="s">
        <v>130</v>
      </c>
      <c r="E1726" s="16" t="s">
        <v>809</v>
      </c>
      <c r="F1726" s="16" t="s">
        <v>122</v>
      </c>
      <c r="G1726" s="16" t="s">
        <v>1519</v>
      </c>
      <c r="H1726" s="50" t="s">
        <v>405</v>
      </c>
      <c r="I1726" s="16" t="s">
        <v>389</v>
      </c>
    </row>
    <row r="1727" spans="1:10" hidden="1" x14ac:dyDescent="0.35">
      <c r="A1727" s="16">
        <v>467</v>
      </c>
      <c r="B1727" s="16" t="s">
        <v>4185</v>
      </c>
      <c r="C1727" s="16" t="s">
        <v>633</v>
      </c>
      <c r="D1727" s="16" t="s">
        <v>130</v>
      </c>
      <c r="E1727" s="16" t="s">
        <v>809</v>
      </c>
      <c r="F1727" s="16" t="s">
        <v>122</v>
      </c>
      <c r="G1727" s="16" t="s">
        <v>1519</v>
      </c>
      <c r="H1727" s="50" t="s">
        <v>405</v>
      </c>
      <c r="I1727" s="16" t="s">
        <v>389</v>
      </c>
    </row>
    <row r="1728" spans="1:10" hidden="1" x14ac:dyDescent="0.35">
      <c r="A1728" s="16">
        <v>467</v>
      </c>
      <c r="B1728" s="16" t="s">
        <v>4186</v>
      </c>
      <c r="C1728" s="16" t="s">
        <v>633</v>
      </c>
      <c r="D1728" s="16" t="s">
        <v>130</v>
      </c>
      <c r="E1728" s="16" t="s">
        <v>1118</v>
      </c>
      <c r="F1728" s="16" t="s">
        <v>3152</v>
      </c>
      <c r="G1728" s="16" t="s">
        <v>3944</v>
      </c>
      <c r="H1728" s="50" t="s">
        <v>403</v>
      </c>
      <c r="I1728" s="16" t="s">
        <v>389</v>
      </c>
      <c r="J1728" s="16" t="s">
        <v>4187</v>
      </c>
    </row>
    <row r="1729" spans="1:9" hidden="1" x14ac:dyDescent="0.35">
      <c r="A1729" s="16">
        <v>479</v>
      </c>
      <c r="B1729" s="16" t="s">
        <v>537</v>
      </c>
      <c r="C1729" s="16" t="s">
        <v>4188</v>
      </c>
      <c r="D1729" s="16" t="s">
        <v>124</v>
      </c>
      <c r="E1729" s="16" t="s">
        <v>536</v>
      </c>
      <c r="F1729" s="16" t="s">
        <v>122</v>
      </c>
      <c r="G1729" s="16" t="s">
        <v>4189</v>
      </c>
      <c r="I1729" s="16" t="s">
        <v>4190</v>
      </c>
    </row>
    <row r="1730" spans="1:9" hidden="1" x14ac:dyDescent="0.35">
      <c r="A1730" s="16">
        <v>479</v>
      </c>
      <c r="B1730" s="16" t="s">
        <v>4191</v>
      </c>
      <c r="C1730" s="16" t="s">
        <v>4192</v>
      </c>
      <c r="D1730" s="16" t="s">
        <v>124</v>
      </c>
      <c r="E1730" s="16" t="s">
        <v>536</v>
      </c>
      <c r="F1730" s="16" t="s">
        <v>122</v>
      </c>
      <c r="G1730" s="16" t="s">
        <v>4189</v>
      </c>
      <c r="I1730" s="16" t="s">
        <v>4190</v>
      </c>
    </row>
    <row r="1731" spans="1:9" hidden="1" x14ac:dyDescent="0.35">
      <c r="A1731" s="16">
        <v>482</v>
      </c>
      <c r="B1731" s="16" t="s">
        <v>4193</v>
      </c>
      <c r="C1731" s="16" t="s">
        <v>4194</v>
      </c>
      <c r="D1731" s="16" t="s">
        <v>124</v>
      </c>
      <c r="E1731" s="16" t="s">
        <v>536</v>
      </c>
      <c r="F1731" s="16" t="s">
        <v>3306</v>
      </c>
      <c r="G1731" s="16" t="s">
        <v>4195</v>
      </c>
      <c r="I1731" s="16" t="s">
        <v>4196</v>
      </c>
    </row>
    <row r="1732" spans="1:9" hidden="1" x14ac:dyDescent="0.35">
      <c r="A1732" s="16">
        <v>482</v>
      </c>
      <c r="B1732" s="16" t="s">
        <v>537</v>
      </c>
      <c r="C1732" s="16" t="s">
        <v>4194</v>
      </c>
      <c r="D1732" s="16" t="s">
        <v>124</v>
      </c>
      <c r="E1732" s="16" t="s">
        <v>536</v>
      </c>
      <c r="F1732" s="16" t="s">
        <v>3306</v>
      </c>
      <c r="G1732" s="16" t="s">
        <v>4197</v>
      </c>
      <c r="H1732" s="50" t="s">
        <v>406</v>
      </c>
      <c r="I1732" s="16" t="s">
        <v>4198</v>
      </c>
    </row>
    <row r="1733" spans="1:9" hidden="1" x14ac:dyDescent="0.35">
      <c r="A1733" s="16">
        <v>482</v>
      </c>
      <c r="B1733" s="16" t="s">
        <v>4199</v>
      </c>
      <c r="C1733" s="16" t="s">
        <v>4194</v>
      </c>
      <c r="D1733" s="16" t="s">
        <v>124</v>
      </c>
      <c r="E1733" s="16" t="s">
        <v>536</v>
      </c>
      <c r="F1733" s="16" t="s">
        <v>3152</v>
      </c>
      <c r="G1733" s="16" t="s">
        <v>4195</v>
      </c>
      <c r="I1733" s="16" t="s">
        <v>4196</v>
      </c>
    </row>
    <row r="1734" spans="1:9" hidden="1" x14ac:dyDescent="0.35">
      <c r="A1734" s="16">
        <v>482</v>
      </c>
      <c r="B1734" s="16" t="s">
        <v>4200</v>
      </c>
      <c r="C1734" s="16" t="s">
        <v>4194</v>
      </c>
      <c r="D1734" s="16" t="s">
        <v>124</v>
      </c>
      <c r="E1734" s="16" t="s">
        <v>536</v>
      </c>
      <c r="F1734" s="16" t="s">
        <v>122</v>
      </c>
      <c r="G1734" s="16" t="s">
        <v>4197</v>
      </c>
      <c r="H1734" s="50" t="s">
        <v>406</v>
      </c>
      <c r="I1734" s="16" t="s">
        <v>4198</v>
      </c>
    </row>
    <row r="1735" spans="1:9" hidden="1" x14ac:dyDescent="0.35">
      <c r="A1735" s="16">
        <v>482</v>
      </c>
      <c r="B1735" s="16" t="s">
        <v>4201</v>
      </c>
      <c r="D1735" s="16" t="s">
        <v>130</v>
      </c>
      <c r="E1735" s="16" t="s">
        <v>813</v>
      </c>
      <c r="F1735" s="16" t="s">
        <v>122</v>
      </c>
      <c r="G1735" s="16" t="s">
        <v>4195</v>
      </c>
      <c r="I1735" s="16" t="s">
        <v>4202</v>
      </c>
    </row>
    <row r="1736" spans="1:9" hidden="1" x14ac:dyDescent="0.35">
      <c r="A1736" s="16">
        <v>482</v>
      </c>
      <c r="B1736" s="16" t="s">
        <v>4203</v>
      </c>
      <c r="C1736" s="16" t="s">
        <v>832</v>
      </c>
      <c r="D1736" s="16" t="s">
        <v>130</v>
      </c>
      <c r="E1736" s="16" t="s">
        <v>809</v>
      </c>
      <c r="F1736" s="16" t="s">
        <v>122</v>
      </c>
      <c r="G1736" s="16" t="s">
        <v>4195</v>
      </c>
      <c r="I1736" s="16" t="s">
        <v>4202</v>
      </c>
    </row>
    <row r="1737" spans="1:9" hidden="1" x14ac:dyDescent="0.35">
      <c r="A1737" s="16">
        <v>482</v>
      </c>
      <c r="B1737" s="16" t="s">
        <v>4204</v>
      </c>
      <c r="C1737" s="16" t="s">
        <v>1936</v>
      </c>
      <c r="D1737" s="16" t="s">
        <v>130</v>
      </c>
      <c r="E1737" s="16" t="s">
        <v>813</v>
      </c>
      <c r="F1737" s="16" t="s">
        <v>122</v>
      </c>
      <c r="G1737" s="16" t="s">
        <v>4195</v>
      </c>
      <c r="I1737" s="16" t="s">
        <v>389</v>
      </c>
    </row>
    <row r="1738" spans="1:9" hidden="1" x14ac:dyDescent="0.35">
      <c r="A1738" s="16">
        <v>482</v>
      </c>
      <c r="B1738" s="16" t="s">
        <v>4205</v>
      </c>
      <c r="C1738" s="16" t="s">
        <v>1936</v>
      </c>
      <c r="D1738" s="16" t="s">
        <v>130</v>
      </c>
      <c r="E1738" s="16" t="s">
        <v>813</v>
      </c>
      <c r="F1738" s="16" t="s">
        <v>122</v>
      </c>
      <c r="G1738" s="16" t="s">
        <v>4195</v>
      </c>
      <c r="I1738" s="16" t="s">
        <v>389</v>
      </c>
    </row>
    <row r="1739" spans="1:9" hidden="1" x14ac:dyDescent="0.35">
      <c r="A1739" s="16">
        <v>482</v>
      </c>
      <c r="B1739" s="16" t="s">
        <v>2364</v>
      </c>
      <c r="C1739" s="16" t="s">
        <v>1936</v>
      </c>
      <c r="D1739" s="16" t="s">
        <v>130</v>
      </c>
      <c r="E1739" s="16" t="s">
        <v>813</v>
      </c>
      <c r="F1739" s="16" t="s">
        <v>122</v>
      </c>
      <c r="G1739" s="16" t="s">
        <v>4195</v>
      </c>
      <c r="I1739" s="16" t="s">
        <v>389</v>
      </c>
    </row>
    <row r="1740" spans="1:9" hidden="1" x14ac:dyDescent="0.35">
      <c r="A1740" s="16">
        <v>482</v>
      </c>
      <c r="B1740" s="16" t="s">
        <v>4206</v>
      </c>
      <c r="C1740" s="16" t="s">
        <v>1936</v>
      </c>
      <c r="D1740" s="16" t="s">
        <v>130</v>
      </c>
      <c r="E1740" s="16" t="s">
        <v>813</v>
      </c>
      <c r="F1740" s="16" t="s">
        <v>122</v>
      </c>
      <c r="G1740" s="16" t="s">
        <v>4195</v>
      </c>
      <c r="I1740" s="16" t="s">
        <v>389</v>
      </c>
    </row>
    <row r="1741" spans="1:9" hidden="1" x14ac:dyDescent="0.35">
      <c r="A1741" s="16">
        <v>484</v>
      </c>
      <c r="B1741" s="16" t="s">
        <v>2488</v>
      </c>
      <c r="C1741" s="16" t="s">
        <v>626</v>
      </c>
      <c r="D1741" s="16" t="s">
        <v>124</v>
      </c>
      <c r="E1741" s="16" t="s">
        <v>559</v>
      </c>
      <c r="F1741" s="16" t="s">
        <v>122</v>
      </c>
      <c r="G1741" s="16" t="s">
        <v>4207</v>
      </c>
      <c r="I1741" s="16" t="s">
        <v>4208</v>
      </c>
    </row>
    <row r="1742" spans="1:9" hidden="1" x14ac:dyDescent="0.35">
      <c r="A1742" s="16">
        <v>484</v>
      </c>
      <c r="B1742" s="16" t="s">
        <v>4209</v>
      </c>
      <c r="C1742" s="16" t="s">
        <v>4210</v>
      </c>
      <c r="D1742" s="16" t="s">
        <v>124</v>
      </c>
      <c r="E1742" s="16" t="s">
        <v>559</v>
      </c>
      <c r="F1742" s="16" t="s">
        <v>122</v>
      </c>
      <c r="G1742" s="16" t="s">
        <v>4207</v>
      </c>
      <c r="I1742" s="16" t="s">
        <v>4208</v>
      </c>
    </row>
    <row r="1743" spans="1:9" hidden="1" x14ac:dyDescent="0.35">
      <c r="A1743" s="16">
        <v>484</v>
      </c>
      <c r="B1743" s="16" t="s">
        <v>4211</v>
      </c>
      <c r="C1743" s="16" t="s">
        <v>4212</v>
      </c>
      <c r="D1743" s="16" t="s">
        <v>124</v>
      </c>
      <c r="E1743" s="16" t="s">
        <v>559</v>
      </c>
      <c r="F1743" s="16" t="s">
        <v>122</v>
      </c>
      <c r="G1743" s="16" t="s">
        <v>4207</v>
      </c>
      <c r="I1743" s="16" t="s">
        <v>4208</v>
      </c>
    </row>
    <row r="1744" spans="1:9" hidden="1" x14ac:dyDescent="0.35">
      <c r="A1744" s="16">
        <v>484</v>
      </c>
      <c r="B1744" s="16" t="s">
        <v>4213</v>
      </c>
      <c r="C1744" s="16" t="s">
        <v>4212</v>
      </c>
      <c r="D1744" s="16" t="s">
        <v>124</v>
      </c>
      <c r="E1744" s="16" t="s">
        <v>559</v>
      </c>
      <c r="F1744" s="16" t="s">
        <v>122</v>
      </c>
      <c r="G1744" s="16" t="s">
        <v>4207</v>
      </c>
      <c r="I1744" s="16" t="s">
        <v>4208</v>
      </c>
    </row>
    <row r="1745" spans="1:9" hidden="1" x14ac:dyDescent="0.35">
      <c r="A1745" s="16">
        <v>484</v>
      </c>
      <c r="B1745" s="16" t="s">
        <v>4214</v>
      </c>
      <c r="C1745" s="16" t="s">
        <v>4215</v>
      </c>
      <c r="D1745" s="16" t="s">
        <v>124</v>
      </c>
      <c r="E1745" s="16" t="s">
        <v>559</v>
      </c>
      <c r="F1745" s="16" t="s">
        <v>122</v>
      </c>
      <c r="G1745" s="16" t="s">
        <v>4207</v>
      </c>
      <c r="I1745" s="16" t="s">
        <v>4208</v>
      </c>
    </row>
    <row r="1746" spans="1:9" hidden="1" x14ac:dyDescent="0.35">
      <c r="A1746" s="16">
        <v>484</v>
      </c>
      <c r="B1746" s="16" t="s">
        <v>4216</v>
      </c>
      <c r="D1746" s="16" t="s">
        <v>124</v>
      </c>
      <c r="E1746" s="16" t="s">
        <v>559</v>
      </c>
      <c r="F1746" s="16" t="s">
        <v>122</v>
      </c>
      <c r="G1746" s="16" t="s">
        <v>4207</v>
      </c>
      <c r="I1746" s="16" t="s">
        <v>4208</v>
      </c>
    </row>
    <row r="1747" spans="1:9" hidden="1" x14ac:dyDescent="0.35">
      <c r="A1747" s="16">
        <v>484</v>
      </c>
      <c r="B1747" s="16" t="s">
        <v>4217</v>
      </c>
      <c r="D1747" s="16" t="s">
        <v>124</v>
      </c>
      <c r="E1747" s="16" t="s">
        <v>559</v>
      </c>
      <c r="F1747" s="16" t="s">
        <v>122</v>
      </c>
      <c r="G1747" s="16" t="s">
        <v>4207</v>
      </c>
      <c r="I1747" s="16" t="s">
        <v>4208</v>
      </c>
    </row>
    <row r="1748" spans="1:9" hidden="1" x14ac:dyDescent="0.35">
      <c r="A1748" s="16">
        <v>501</v>
      </c>
      <c r="B1748" s="16" t="s">
        <v>573</v>
      </c>
      <c r="C1748" s="16" t="s">
        <v>4062</v>
      </c>
      <c r="D1748" s="16" t="s">
        <v>198</v>
      </c>
      <c r="E1748" s="16" t="s">
        <v>539</v>
      </c>
      <c r="F1748" s="16" t="s">
        <v>4218</v>
      </c>
      <c r="G1748" s="16" t="s">
        <v>4219</v>
      </c>
      <c r="I1748" s="16" t="s">
        <v>4220</v>
      </c>
    </row>
    <row r="1749" spans="1:9" hidden="1" x14ac:dyDescent="0.35">
      <c r="A1749" s="16">
        <v>501</v>
      </c>
      <c r="B1749" s="16" t="s">
        <v>4221</v>
      </c>
      <c r="C1749" s="16" t="s">
        <v>4222</v>
      </c>
      <c r="D1749" s="16" t="s">
        <v>198</v>
      </c>
      <c r="E1749" s="16" t="s">
        <v>538</v>
      </c>
      <c r="F1749" s="16" t="s">
        <v>4218</v>
      </c>
      <c r="G1749" s="16" t="s">
        <v>4219</v>
      </c>
      <c r="I1749" s="16" t="s">
        <v>4223</v>
      </c>
    </row>
    <row r="1750" spans="1:9" hidden="1" x14ac:dyDescent="0.35">
      <c r="A1750" s="16">
        <v>501</v>
      </c>
      <c r="B1750" s="16" t="s">
        <v>4224</v>
      </c>
      <c r="C1750" s="16" t="s">
        <v>4225</v>
      </c>
      <c r="D1750" s="16" t="s">
        <v>198</v>
      </c>
      <c r="E1750" s="16" t="s">
        <v>538</v>
      </c>
      <c r="F1750" s="16" t="s">
        <v>4218</v>
      </c>
      <c r="G1750" s="16" t="s">
        <v>4219</v>
      </c>
      <c r="I1750" s="16" t="s">
        <v>4220</v>
      </c>
    </row>
    <row r="1751" spans="1:9" hidden="1" x14ac:dyDescent="0.35">
      <c r="A1751" s="16">
        <v>506</v>
      </c>
      <c r="B1751" s="16" t="s">
        <v>4226</v>
      </c>
      <c r="C1751" s="16" t="s">
        <v>633</v>
      </c>
      <c r="D1751" s="16" t="s">
        <v>124</v>
      </c>
      <c r="E1751" s="16" t="s">
        <v>536</v>
      </c>
      <c r="F1751" s="16" t="s">
        <v>4227</v>
      </c>
      <c r="G1751" s="16" t="s">
        <v>4228</v>
      </c>
      <c r="I1751" s="16" t="s">
        <v>4229</v>
      </c>
    </row>
    <row r="1752" spans="1:9" hidden="1" x14ac:dyDescent="0.35">
      <c r="A1752" s="16">
        <v>506</v>
      </c>
      <c r="B1752" s="16" t="s">
        <v>4230</v>
      </c>
      <c r="C1752" s="16" t="s">
        <v>4231</v>
      </c>
      <c r="D1752" s="16" t="s">
        <v>124</v>
      </c>
      <c r="E1752" s="16" t="s">
        <v>536</v>
      </c>
      <c r="F1752" s="16" t="s">
        <v>4227</v>
      </c>
      <c r="G1752" s="16" t="s">
        <v>4228</v>
      </c>
      <c r="I1752" s="16" t="s">
        <v>4232</v>
      </c>
    </row>
    <row r="1753" spans="1:9" hidden="1" x14ac:dyDescent="0.35">
      <c r="A1753" s="16">
        <v>506</v>
      </c>
      <c r="B1753" s="16" t="s">
        <v>4233</v>
      </c>
      <c r="C1753" s="16" t="s">
        <v>626</v>
      </c>
      <c r="D1753" s="16" t="s">
        <v>124</v>
      </c>
      <c r="E1753" s="16" t="s">
        <v>536</v>
      </c>
      <c r="F1753" s="16" t="s">
        <v>4227</v>
      </c>
      <c r="G1753" s="16" t="s">
        <v>4228</v>
      </c>
      <c r="I1753" s="16" t="s">
        <v>4232</v>
      </c>
    </row>
    <row r="1754" spans="1:9" hidden="1" x14ac:dyDescent="0.35">
      <c r="A1754" s="16">
        <v>506</v>
      </c>
      <c r="B1754" s="16" t="s">
        <v>4234</v>
      </c>
      <c r="C1754" s="16" t="s">
        <v>4235</v>
      </c>
      <c r="D1754" s="16" t="s">
        <v>124</v>
      </c>
      <c r="E1754" s="16" t="s">
        <v>536</v>
      </c>
      <c r="F1754" s="16" t="s">
        <v>4227</v>
      </c>
      <c r="G1754" s="16" t="s">
        <v>4228</v>
      </c>
      <c r="I1754" s="16" t="s">
        <v>4236</v>
      </c>
    </row>
    <row r="1755" spans="1:9" hidden="1" x14ac:dyDescent="0.35">
      <c r="A1755" s="16">
        <v>506</v>
      </c>
      <c r="B1755" s="16" t="s">
        <v>4237</v>
      </c>
      <c r="C1755" s="16" t="s">
        <v>4238</v>
      </c>
      <c r="D1755" s="16" t="s">
        <v>124</v>
      </c>
      <c r="E1755" s="16" t="s">
        <v>536</v>
      </c>
      <c r="F1755" s="16" t="s">
        <v>4227</v>
      </c>
      <c r="I1755" s="16" t="s">
        <v>4239</v>
      </c>
    </row>
    <row r="1756" spans="1:9" hidden="1" x14ac:dyDescent="0.35">
      <c r="A1756" s="16">
        <v>510</v>
      </c>
      <c r="B1756" s="16" t="s">
        <v>1748</v>
      </c>
      <c r="C1756" s="16" t="s">
        <v>633</v>
      </c>
      <c r="D1756" s="16" t="s">
        <v>130</v>
      </c>
      <c r="F1756" s="16" t="s">
        <v>122</v>
      </c>
      <c r="G1756" s="16" t="s">
        <v>4240</v>
      </c>
      <c r="H1756" s="50" t="s">
        <v>403</v>
      </c>
      <c r="I1756" s="16" t="s">
        <v>4241</v>
      </c>
    </row>
    <row r="1757" spans="1:9" hidden="1" x14ac:dyDescent="0.35">
      <c r="A1757" s="16">
        <v>510</v>
      </c>
      <c r="B1757" s="16" t="s">
        <v>4242</v>
      </c>
      <c r="C1757" s="16" t="s">
        <v>4243</v>
      </c>
      <c r="D1757" s="16" t="s">
        <v>124</v>
      </c>
      <c r="E1757" s="16" t="s">
        <v>538</v>
      </c>
      <c r="F1757" s="16" t="s">
        <v>122</v>
      </c>
      <c r="G1757" s="16" t="s">
        <v>4240</v>
      </c>
      <c r="H1757" s="50" t="s">
        <v>403</v>
      </c>
      <c r="I1757" s="16" t="s">
        <v>4244</v>
      </c>
    </row>
    <row r="1758" spans="1:9" hidden="1" x14ac:dyDescent="0.35">
      <c r="A1758" s="16">
        <v>510</v>
      </c>
      <c r="B1758" s="16" t="s">
        <v>4245</v>
      </c>
      <c r="C1758" s="16" t="s">
        <v>633</v>
      </c>
      <c r="D1758" s="16" t="s">
        <v>124</v>
      </c>
      <c r="E1758" s="16" t="s">
        <v>538</v>
      </c>
      <c r="F1758" s="16" t="s">
        <v>122</v>
      </c>
      <c r="G1758" s="16" t="s">
        <v>4240</v>
      </c>
      <c r="H1758" s="50" t="s">
        <v>403</v>
      </c>
      <c r="I1758" s="16" t="s">
        <v>4244</v>
      </c>
    </row>
    <row r="1759" spans="1:9" hidden="1" x14ac:dyDescent="0.35">
      <c r="A1759" s="16">
        <v>510</v>
      </c>
      <c r="B1759" s="16" t="s">
        <v>268</v>
      </c>
      <c r="C1759" s="16" t="s">
        <v>626</v>
      </c>
      <c r="D1759" s="16" t="s">
        <v>124</v>
      </c>
      <c r="E1759" s="16" t="s">
        <v>559</v>
      </c>
      <c r="F1759" s="16" t="s">
        <v>122</v>
      </c>
      <c r="G1759" s="16" t="s">
        <v>4240</v>
      </c>
      <c r="H1759" s="50" t="s">
        <v>403</v>
      </c>
      <c r="I1759" s="16" t="s">
        <v>4246</v>
      </c>
    </row>
    <row r="1760" spans="1:9" hidden="1" x14ac:dyDescent="0.35">
      <c r="A1760" s="16">
        <v>510</v>
      </c>
      <c r="B1760" s="16" t="s">
        <v>4247</v>
      </c>
      <c r="C1760" s="16" t="s">
        <v>626</v>
      </c>
      <c r="D1760" s="16" t="s">
        <v>124</v>
      </c>
      <c r="E1760" s="16" t="s">
        <v>559</v>
      </c>
      <c r="F1760" s="16" t="s">
        <v>122</v>
      </c>
      <c r="G1760" s="16" t="s">
        <v>4240</v>
      </c>
      <c r="H1760" s="50" t="s">
        <v>403</v>
      </c>
      <c r="I1760" s="16" t="s">
        <v>4246</v>
      </c>
    </row>
    <row r="1761" spans="1:9" hidden="1" x14ac:dyDescent="0.35">
      <c r="A1761" s="16">
        <v>514</v>
      </c>
      <c r="B1761" s="16" t="s">
        <v>134</v>
      </c>
      <c r="C1761" s="16" t="s">
        <v>4248</v>
      </c>
      <c r="D1761" s="16" t="s">
        <v>124</v>
      </c>
      <c r="E1761" s="16" t="s">
        <v>1329</v>
      </c>
      <c r="F1761" s="16" t="s">
        <v>28</v>
      </c>
      <c r="G1761" s="16" t="s">
        <v>4249</v>
      </c>
      <c r="H1761" s="50" t="s">
        <v>404</v>
      </c>
      <c r="I1761" s="16" t="s">
        <v>4250</v>
      </c>
    </row>
    <row r="1762" spans="1:9" hidden="1" x14ac:dyDescent="0.35">
      <c r="A1762" s="16">
        <v>514</v>
      </c>
      <c r="B1762" s="16" t="s">
        <v>4251</v>
      </c>
      <c r="C1762" s="16" t="s">
        <v>633</v>
      </c>
      <c r="D1762" s="16" t="s">
        <v>124</v>
      </c>
      <c r="E1762" s="16" t="s">
        <v>559</v>
      </c>
      <c r="F1762" s="16" t="s">
        <v>122</v>
      </c>
      <c r="G1762" s="16" t="s">
        <v>3127</v>
      </c>
      <c r="H1762" s="50" t="s">
        <v>404</v>
      </c>
      <c r="I1762" s="16" t="s">
        <v>4252</v>
      </c>
    </row>
    <row r="1763" spans="1:9" hidden="1" x14ac:dyDescent="0.35">
      <c r="A1763" s="16">
        <v>515</v>
      </c>
      <c r="B1763" s="16" t="s">
        <v>560</v>
      </c>
      <c r="C1763" s="16" t="s">
        <v>4253</v>
      </c>
      <c r="D1763" s="16" t="s">
        <v>124</v>
      </c>
      <c r="E1763" s="16" t="s">
        <v>559</v>
      </c>
      <c r="F1763" s="16" t="s">
        <v>413</v>
      </c>
      <c r="G1763" s="16" t="s">
        <v>1344</v>
      </c>
      <c r="I1763" s="16" t="s">
        <v>157</v>
      </c>
    </row>
    <row r="1764" spans="1:9" hidden="1" x14ac:dyDescent="0.35">
      <c r="A1764" s="16">
        <v>515</v>
      </c>
      <c r="B1764" s="16" t="s">
        <v>211</v>
      </c>
      <c r="C1764" s="16" t="s">
        <v>626</v>
      </c>
      <c r="D1764" s="16" t="s">
        <v>124</v>
      </c>
      <c r="E1764" s="16" t="s">
        <v>559</v>
      </c>
      <c r="F1764" s="16" t="s">
        <v>413</v>
      </c>
      <c r="G1764" s="16" t="s">
        <v>1344</v>
      </c>
      <c r="I1764" s="16" t="s">
        <v>157</v>
      </c>
    </row>
    <row r="1765" spans="1:9" hidden="1" x14ac:dyDescent="0.35">
      <c r="A1765" s="16">
        <v>515</v>
      </c>
      <c r="B1765" s="16" t="s">
        <v>4254</v>
      </c>
      <c r="C1765" s="16" t="s">
        <v>657</v>
      </c>
      <c r="D1765" s="16" t="s">
        <v>124</v>
      </c>
      <c r="E1765" s="16" t="s">
        <v>1220</v>
      </c>
      <c r="F1765" s="16" t="s">
        <v>413</v>
      </c>
      <c r="G1765" s="16" t="s">
        <v>1344</v>
      </c>
      <c r="I1765" s="16" t="s">
        <v>4255</v>
      </c>
    </row>
    <row r="1766" spans="1:9" hidden="1" x14ac:dyDescent="0.35">
      <c r="A1766" s="16">
        <v>515</v>
      </c>
      <c r="B1766" s="16" t="s">
        <v>219</v>
      </c>
      <c r="C1766" s="16" t="s">
        <v>633</v>
      </c>
      <c r="D1766" s="16" t="s">
        <v>124</v>
      </c>
      <c r="E1766" s="16" t="s">
        <v>1220</v>
      </c>
      <c r="F1766" s="16" t="s">
        <v>413</v>
      </c>
      <c r="G1766" s="16" t="s">
        <v>1344</v>
      </c>
      <c r="I1766" s="16" t="s">
        <v>4255</v>
      </c>
    </row>
    <row r="1767" spans="1:9" hidden="1" x14ac:dyDescent="0.35">
      <c r="A1767" s="16">
        <v>515</v>
      </c>
      <c r="B1767" s="16" t="s">
        <v>4256</v>
      </c>
      <c r="C1767" s="16" t="s">
        <v>4257</v>
      </c>
      <c r="D1767" s="16" t="s">
        <v>124</v>
      </c>
      <c r="E1767" s="16" t="s">
        <v>1220</v>
      </c>
      <c r="F1767" s="16" t="s">
        <v>413</v>
      </c>
      <c r="G1767" s="16" t="s">
        <v>1344</v>
      </c>
      <c r="I1767" s="16" t="s">
        <v>4255</v>
      </c>
    </row>
    <row r="1768" spans="1:9" hidden="1" x14ac:dyDescent="0.35">
      <c r="A1768" s="16">
        <v>515</v>
      </c>
      <c r="B1768" s="16" t="s">
        <v>4258</v>
      </c>
      <c r="C1768" s="16" t="s">
        <v>4257</v>
      </c>
      <c r="D1768" s="16" t="s">
        <v>124</v>
      </c>
      <c r="E1768" s="16" t="s">
        <v>1220</v>
      </c>
      <c r="F1768" s="16" t="s">
        <v>413</v>
      </c>
      <c r="G1768" s="16" t="s">
        <v>1344</v>
      </c>
      <c r="I1768" s="16" t="s">
        <v>4255</v>
      </c>
    </row>
    <row r="1769" spans="1:9" hidden="1" x14ac:dyDescent="0.35">
      <c r="A1769" s="16">
        <v>515</v>
      </c>
      <c r="B1769" s="16" t="s">
        <v>4259</v>
      </c>
      <c r="C1769" s="16" t="s">
        <v>4257</v>
      </c>
      <c r="D1769" s="16" t="s">
        <v>124</v>
      </c>
      <c r="E1769" s="16" t="s">
        <v>1220</v>
      </c>
      <c r="F1769" s="16" t="s">
        <v>413</v>
      </c>
      <c r="G1769" s="16" t="s">
        <v>1344</v>
      </c>
      <c r="I1769" s="16" t="s">
        <v>157</v>
      </c>
    </row>
    <row r="1770" spans="1:9" hidden="1" x14ac:dyDescent="0.35">
      <c r="A1770" s="16">
        <v>515</v>
      </c>
      <c r="B1770" s="16" t="s">
        <v>4260</v>
      </c>
      <c r="C1770" s="16" t="s">
        <v>4257</v>
      </c>
      <c r="D1770" s="16" t="s">
        <v>124</v>
      </c>
      <c r="E1770" s="16" t="s">
        <v>1220</v>
      </c>
      <c r="F1770" s="16" t="s">
        <v>413</v>
      </c>
      <c r="G1770" s="16" t="s">
        <v>1344</v>
      </c>
      <c r="I1770" s="16" t="s">
        <v>157</v>
      </c>
    </row>
    <row r="1771" spans="1:9" hidden="1" x14ac:dyDescent="0.35">
      <c r="A1771" s="16">
        <v>515</v>
      </c>
      <c r="B1771" s="16" t="s">
        <v>4261</v>
      </c>
      <c r="C1771" s="16" t="s">
        <v>4257</v>
      </c>
      <c r="D1771" s="16" t="s">
        <v>124</v>
      </c>
      <c r="E1771" s="16" t="s">
        <v>1220</v>
      </c>
      <c r="F1771" s="16" t="s">
        <v>413</v>
      </c>
      <c r="G1771" s="16" t="s">
        <v>1344</v>
      </c>
      <c r="I1771" s="16" t="s">
        <v>157</v>
      </c>
    </row>
    <row r="1772" spans="1:9" hidden="1" x14ac:dyDescent="0.35">
      <c r="A1772" s="16">
        <v>515</v>
      </c>
      <c r="B1772" s="16" t="s">
        <v>4262</v>
      </c>
      <c r="C1772" s="16" t="s">
        <v>633</v>
      </c>
      <c r="D1772" s="16" t="s">
        <v>124</v>
      </c>
      <c r="E1772" s="16" t="s">
        <v>428</v>
      </c>
      <c r="F1772" s="16" t="s">
        <v>413</v>
      </c>
      <c r="G1772" s="16" t="s">
        <v>1344</v>
      </c>
      <c r="I1772" s="16" t="s">
        <v>157</v>
      </c>
    </row>
    <row r="1773" spans="1:9" hidden="1" x14ac:dyDescent="0.35">
      <c r="A1773" s="16">
        <v>515</v>
      </c>
      <c r="B1773" s="16" t="s">
        <v>4263</v>
      </c>
      <c r="C1773" s="16" t="s">
        <v>4264</v>
      </c>
      <c r="D1773" s="16" t="s">
        <v>124</v>
      </c>
      <c r="E1773" s="16" t="s">
        <v>1220</v>
      </c>
      <c r="F1773" s="16" t="s">
        <v>413</v>
      </c>
      <c r="G1773" s="16" t="s">
        <v>1344</v>
      </c>
      <c r="I1773" s="16" t="s">
        <v>4265</v>
      </c>
    </row>
    <row r="1774" spans="1:9" hidden="1" x14ac:dyDescent="0.35">
      <c r="A1774" s="16">
        <v>515</v>
      </c>
      <c r="B1774" s="16" t="s">
        <v>4266</v>
      </c>
      <c r="C1774" s="16" t="s">
        <v>4267</v>
      </c>
      <c r="D1774" s="16" t="s">
        <v>124</v>
      </c>
      <c r="E1774" s="16" t="s">
        <v>1220</v>
      </c>
      <c r="F1774" s="16" t="s">
        <v>413</v>
      </c>
      <c r="G1774" s="16" t="s">
        <v>1344</v>
      </c>
      <c r="I1774" s="16" t="s">
        <v>4265</v>
      </c>
    </row>
    <row r="1775" spans="1:9" hidden="1" x14ac:dyDescent="0.35">
      <c r="A1775" s="16">
        <v>515</v>
      </c>
      <c r="B1775" s="16" t="s">
        <v>4268</v>
      </c>
      <c r="C1775" s="16" t="s">
        <v>1542</v>
      </c>
      <c r="D1775" s="16" t="s">
        <v>124</v>
      </c>
      <c r="E1775" s="16" t="s">
        <v>1220</v>
      </c>
      <c r="F1775" s="16" t="s">
        <v>413</v>
      </c>
      <c r="G1775" s="16" t="s">
        <v>1344</v>
      </c>
      <c r="I1775" s="16" t="s">
        <v>4265</v>
      </c>
    </row>
    <row r="1776" spans="1:9" hidden="1" x14ac:dyDescent="0.35">
      <c r="A1776" s="16">
        <v>515</v>
      </c>
      <c r="B1776" s="16" t="s">
        <v>4269</v>
      </c>
      <c r="C1776" s="16" t="s">
        <v>633</v>
      </c>
      <c r="D1776" s="16" t="s">
        <v>124</v>
      </c>
      <c r="E1776" s="16" t="s">
        <v>1220</v>
      </c>
      <c r="F1776" s="16" t="s">
        <v>413</v>
      </c>
      <c r="G1776" s="16" t="s">
        <v>1344</v>
      </c>
      <c r="I1776" s="16" t="s">
        <v>4265</v>
      </c>
    </row>
    <row r="1777" spans="1:10" hidden="1" x14ac:dyDescent="0.35">
      <c r="A1777" s="16">
        <v>522</v>
      </c>
      <c r="B1777" s="16" t="s">
        <v>4270</v>
      </c>
      <c r="C1777" s="16" t="s">
        <v>985</v>
      </c>
      <c r="D1777" s="16" t="s">
        <v>198</v>
      </c>
      <c r="E1777" s="16" t="s">
        <v>1220</v>
      </c>
      <c r="F1777" s="16" t="s">
        <v>122</v>
      </c>
      <c r="G1777" s="16" t="s">
        <v>4271</v>
      </c>
      <c r="H1777" s="50" t="s">
        <v>403</v>
      </c>
      <c r="I1777" s="16" t="s">
        <v>389</v>
      </c>
    </row>
    <row r="1778" spans="1:10" hidden="1" x14ac:dyDescent="0.35">
      <c r="A1778" s="16">
        <v>522</v>
      </c>
      <c r="B1778" s="16" t="s">
        <v>4272</v>
      </c>
      <c r="C1778" s="16" t="s">
        <v>633</v>
      </c>
      <c r="D1778" s="16" t="s">
        <v>198</v>
      </c>
      <c r="E1778" s="16" t="s">
        <v>1220</v>
      </c>
      <c r="F1778" s="16" t="s">
        <v>122</v>
      </c>
      <c r="G1778" s="16" t="s">
        <v>4271</v>
      </c>
      <c r="H1778" s="50" t="s">
        <v>403</v>
      </c>
      <c r="I1778" s="16" t="s">
        <v>389</v>
      </c>
    </row>
    <row r="1779" spans="1:10" hidden="1" x14ac:dyDescent="0.35">
      <c r="A1779" s="16">
        <v>522</v>
      </c>
      <c r="B1779" s="16" t="s">
        <v>4273</v>
      </c>
      <c r="C1779" s="16" t="s">
        <v>633</v>
      </c>
      <c r="D1779" s="16" t="s">
        <v>198</v>
      </c>
      <c r="E1779" s="16" t="s">
        <v>1220</v>
      </c>
      <c r="F1779" s="16" t="s">
        <v>122</v>
      </c>
      <c r="G1779" s="16" t="s">
        <v>4271</v>
      </c>
      <c r="H1779" s="50" t="s">
        <v>403</v>
      </c>
      <c r="I1779" s="16" t="s">
        <v>389</v>
      </c>
    </row>
    <row r="1780" spans="1:10" hidden="1" x14ac:dyDescent="0.35">
      <c r="A1780" s="16">
        <v>522</v>
      </c>
      <c r="B1780" s="16" t="s">
        <v>4274</v>
      </c>
      <c r="C1780" s="16" t="s">
        <v>633</v>
      </c>
      <c r="D1780" s="16" t="s">
        <v>198</v>
      </c>
      <c r="E1780" s="16" t="s">
        <v>1220</v>
      </c>
      <c r="F1780" s="16" t="s">
        <v>122</v>
      </c>
      <c r="G1780" s="16" t="s">
        <v>4271</v>
      </c>
      <c r="H1780" s="50" t="s">
        <v>403</v>
      </c>
      <c r="I1780" s="16" t="s">
        <v>389</v>
      </c>
    </row>
    <row r="1781" spans="1:10" hidden="1" x14ac:dyDescent="0.35">
      <c r="A1781" s="16">
        <v>522</v>
      </c>
      <c r="B1781" s="16" t="s">
        <v>4275</v>
      </c>
      <c r="C1781" s="16" t="s">
        <v>633</v>
      </c>
      <c r="D1781" s="16" t="s">
        <v>198</v>
      </c>
      <c r="E1781" s="16" t="s">
        <v>1220</v>
      </c>
      <c r="F1781" s="16" t="s">
        <v>122</v>
      </c>
      <c r="G1781" s="16" t="s">
        <v>4271</v>
      </c>
      <c r="H1781" s="50" t="s">
        <v>403</v>
      </c>
      <c r="I1781" s="16" t="s">
        <v>389</v>
      </c>
    </row>
    <row r="1782" spans="1:10" hidden="1" x14ac:dyDescent="0.35">
      <c r="A1782" s="16">
        <v>522</v>
      </c>
      <c r="B1782" s="16" t="s">
        <v>4276</v>
      </c>
      <c r="C1782" s="16" t="s">
        <v>633</v>
      </c>
      <c r="D1782" s="16" t="s">
        <v>198</v>
      </c>
      <c r="E1782" s="16" t="s">
        <v>1220</v>
      </c>
      <c r="F1782" s="16" t="s">
        <v>122</v>
      </c>
      <c r="G1782" s="16" t="s">
        <v>4271</v>
      </c>
      <c r="H1782" s="50" t="s">
        <v>403</v>
      </c>
      <c r="I1782" s="16" t="s">
        <v>389</v>
      </c>
    </row>
    <row r="1783" spans="1:10" hidden="1" x14ac:dyDescent="0.35">
      <c r="A1783" s="16">
        <v>522</v>
      </c>
      <c r="B1783" s="16" t="s">
        <v>4277</v>
      </c>
      <c r="C1783" s="16" t="s">
        <v>633</v>
      </c>
      <c r="D1783" s="16" t="s">
        <v>198</v>
      </c>
      <c r="E1783" s="16" t="s">
        <v>1220</v>
      </c>
      <c r="F1783" s="16" t="s">
        <v>122</v>
      </c>
      <c r="G1783" s="16" t="s">
        <v>4271</v>
      </c>
      <c r="H1783" s="50" t="s">
        <v>403</v>
      </c>
      <c r="I1783" s="16" t="s">
        <v>389</v>
      </c>
    </row>
    <row r="1784" spans="1:10" hidden="1" x14ac:dyDescent="0.35">
      <c r="A1784" s="16">
        <v>522</v>
      </c>
      <c r="B1784" s="16" t="s">
        <v>4278</v>
      </c>
      <c r="C1784" s="16" t="s">
        <v>633</v>
      </c>
      <c r="D1784" s="16" t="s">
        <v>198</v>
      </c>
      <c r="E1784" s="16" t="s">
        <v>1220</v>
      </c>
      <c r="F1784" s="16" t="s">
        <v>122</v>
      </c>
      <c r="G1784" s="16" t="s">
        <v>4271</v>
      </c>
      <c r="H1784" s="50" t="s">
        <v>403</v>
      </c>
      <c r="I1784" s="16" t="s">
        <v>389</v>
      </c>
    </row>
    <row r="1785" spans="1:10" hidden="1" x14ac:dyDescent="0.35">
      <c r="A1785" s="16">
        <v>522</v>
      </c>
      <c r="B1785" s="16" t="s">
        <v>4279</v>
      </c>
      <c r="C1785" s="16" t="s">
        <v>4280</v>
      </c>
      <c r="D1785" s="16" t="s">
        <v>198</v>
      </c>
      <c r="E1785" s="16" t="s">
        <v>1220</v>
      </c>
      <c r="F1785" s="16" t="s">
        <v>122</v>
      </c>
      <c r="G1785" s="16" t="s">
        <v>4271</v>
      </c>
      <c r="H1785" s="50" t="s">
        <v>403</v>
      </c>
      <c r="I1785" s="16" t="s">
        <v>389</v>
      </c>
    </row>
    <row r="1786" spans="1:10" hidden="1" x14ac:dyDescent="0.35">
      <c r="A1786" s="16">
        <v>522</v>
      </c>
      <c r="B1786" s="16" t="s">
        <v>4281</v>
      </c>
      <c r="C1786" s="16" t="s">
        <v>4282</v>
      </c>
      <c r="D1786" s="16" t="s">
        <v>198</v>
      </c>
      <c r="E1786" s="16" t="s">
        <v>1220</v>
      </c>
      <c r="F1786" s="16" t="s">
        <v>122</v>
      </c>
      <c r="G1786" s="16" t="s">
        <v>4271</v>
      </c>
      <c r="H1786" s="50" t="s">
        <v>403</v>
      </c>
      <c r="I1786" s="16" t="s">
        <v>389</v>
      </c>
    </row>
    <row r="1787" spans="1:10" hidden="1" x14ac:dyDescent="0.35">
      <c r="A1787" s="16">
        <v>522</v>
      </c>
      <c r="B1787" s="16" t="s">
        <v>4283</v>
      </c>
      <c r="C1787" s="16" t="s">
        <v>633</v>
      </c>
      <c r="D1787" s="16" t="s">
        <v>198</v>
      </c>
      <c r="E1787" s="16" t="s">
        <v>1220</v>
      </c>
      <c r="F1787" s="16" t="s">
        <v>122</v>
      </c>
      <c r="G1787" s="16" t="s">
        <v>4271</v>
      </c>
      <c r="H1787" s="50" t="s">
        <v>403</v>
      </c>
      <c r="I1787" s="16" t="s">
        <v>389</v>
      </c>
    </row>
    <row r="1788" spans="1:10" hidden="1" x14ac:dyDescent="0.35">
      <c r="A1788" s="16">
        <v>522</v>
      </c>
      <c r="B1788" s="16" t="s">
        <v>4284</v>
      </c>
      <c r="C1788" s="16" t="s">
        <v>633</v>
      </c>
      <c r="D1788" s="16" t="s">
        <v>198</v>
      </c>
      <c r="E1788" s="16" t="s">
        <v>1220</v>
      </c>
      <c r="F1788" s="16" t="s">
        <v>122</v>
      </c>
      <c r="G1788" s="16" t="s">
        <v>4271</v>
      </c>
      <c r="H1788" s="50" t="s">
        <v>403</v>
      </c>
      <c r="I1788" s="16" t="s">
        <v>389</v>
      </c>
    </row>
    <row r="1789" spans="1:10" hidden="1" x14ac:dyDescent="0.35">
      <c r="A1789" s="16">
        <v>522</v>
      </c>
      <c r="B1789" s="16" t="s">
        <v>4285</v>
      </c>
      <c r="C1789" s="16" t="s">
        <v>633</v>
      </c>
      <c r="D1789" s="16" t="s">
        <v>198</v>
      </c>
      <c r="E1789" s="16" t="s">
        <v>1220</v>
      </c>
      <c r="F1789" s="16" t="s">
        <v>122</v>
      </c>
      <c r="G1789" s="16" t="s">
        <v>4271</v>
      </c>
      <c r="H1789" s="50" t="s">
        <v>403</v>
      </c>
      <c r="I1789" s="16" t="s">
        <v>389</v>
      </c>
    </row>
    <row r="1790" spans="1:10" hidden="1" x14ac:dyDescent="0.35">
      <c r="A1790" s="16">
        <v>522</v>
      </c>
      <c r="B1790" s="16" t="s">
        <v>4286</v>
      </c>
      <c r="C1790" s="16" t="s">
        <v>644</v>
      </c>
      <c r="D1790" s="16" t="s">
        <v>198</v>
      </c>
      <c r="E1790" s="16" t="s">
        <v>1220</v>
      </c>
      <c r="F1790" s="16" t="s">
        <v>122</v>
      </c>
      <c r="G1790" s="16" t="s">
        <v>4271</v>
      </c>
      <c r="H1790" s="50" t="s">
        <v>403</v>
      </c>
      <c r="I1790" s="16" t="s">
        <v>389</v>
      </c>
    </row>
    <row r="1791" spans="1:10" hidden="1" x14ac:dyDescent="0.35">
      <c r="A1791" s="16">
        <v>522</v>
      </c>
      <c r="B1791" s="16" t="s">
        <v>4287</v>
      </c>
      <c r="C1791" s="16" t="s">
        <v>644</v>
      </c>
      <c r="D1791" s="16" t="s">
        <v>198</v>
      </c>
      <c r="E1791" s="16" t="s">
        <v>1220</v>
      </c>
      <c r="F1791" s="16" t="s">
        <v>122</v>
      </c>
      <c r="G1791" s="16" t="s">
        <v>4271</v>
      </c>
      <c r="H1791" s="50" t="s">
        <v>403</v>
      </c>
      <c r="I1791" s="16" t="s">
        <v>389</v>
      </c>
    </row>
    <row r="1792" spans="1:10" hidden="1" x14ac:dyDescent="0.35">
      <c r="A1792" s="16">
        <v>538</v>
      </c>
      <c r="B1792" s="16" t="s">
        <v>4327</v>
      </c>
      <c r="C1792" s="16" t="s">
        <v>983</v>
      </c>
      <c r="D1792" s="16" t="s">
        <v>130</v>
      </c>
      <c r="E1792" s="16" t="s">
        <v>538</v>
      </c>
      <c r="F1792" s="16" t="s">
        <v>4328</v>
      </c>
      <c r="G1792" s="16" t="s">
        <v>4329</v>
      </c>
      <c r="H1792" s="50" t="s">
        <v>4330</v>
      </c>
      <c r="I1792" s="16" t="s">
        <v>4331</v>
      </c>
      <c r="J1792" s="16" t="s">
        <v>4332</v>
      </c>
    </row>
    <row r="1793" spans="1:10" hidden="1" x14ac:dyDescent="0.35">
      <c r="A1793" s="16">
        <v>538</v>
      </c>
      <c r="B1793" s="16" t="s">
        <v>229</v>
      </c>
      <c r="C1793" s="16" t="s">
        <v>633</v>
      </c>
      <c r="D1793" s="16" t="s">
        <v>130</v>
      </c>
      <c r="E1793" s="16" t="s">
        <v>813</v>
      </c>
      <c r="F1793" s="16" t="s">
        <v>4328</v>
      </c>
      <c r="G1793" s="16" t="s">
        <v>4333</v>
      </c>
      <c r="H1793" s="50" t="s">
        <v>406</v>
      </c>
      <c r="I1793" s="16" t="s">
        <v>4334</v>
      </c>
    </row>
    <row r="1794" spans="1:10" hidden="1" x14ac:dyDescent="0.35">
      <c r="A1794" s="16">
        <v>551</v>
      </c>
      <c r="B1794" s="16" t="s">
        <v>4335</v>
      </c>
      <c r="C1794" s="16" t="s">
        <v>4336</v>
      </c>
      <c r="D1794" s="16" t="s">
        <v>124</v>
      </c>
      <c r="E1794" s="16" t="s">
        <v>1329</v>
      </c>
      <c r="F1794" s="16" t="s">
        <v>4337</v>
      </c>
      <c r="G1794" s="16" t="s">
        <v>4338</v>
      </c>
      <c r="H1794" s="50" t="s">
        <v>404</v>
      </c>
      <c r="I1794" s="16" t="s">
        <v>4339</v>
      </c>
    </row>
    <row r="1795" spans="1:10" hidden="1" x14ac:dyDescent="0.35">
      <c r="A1795" s="16">
        <v>551</v>
      </c>
      <c r="B1795" s="16" t="s">
        <v>4340</v>
      </c>
      <c r="C1795" s="16" t="s">
        <v>633</v>
      </c>
      <c r="D1795" s="16" t="s">
        <v>124</v>
      </c>
      <c r="E1795" s="16" t="s">
        <v>1329</v>
      </c>
      <c r="F1795" s="16" t="s">
        <v>4337</v>
      </c>
      <c r="G1795" s="16" t="s">
        <v>4338</v>
      </c>
      <c r="H1795" s="50" t="s">
        <v>404</v>
      </c>
      <c r="I1795" s="16" t="s">
        <v>4339</v>
      </c>
    </row>
    <row r="1796" spans="1:10" x14ac:dyDescent="0.35">
      <c r="A1796" s="16">
        <v>551</v>
      </c>
      <c r="B1796" s="16" t="s">
        <v>4341</v>
      </c>
      <c r="C1796" s="16" t="s">
        <v>4336</v>
      </c>
      <c r="D1796" s="16" t="s">
        <v>124</v>
      </c>
      <c r="E1796" s="16" t="s">
        <v>1329</v>
      </c>
      <c r="F1796" s="16" t="s">
        <v>4337</v>
      </c>
      <c r="G1796" s="16" t="s">
        <v>4338</v>
      </c>
      <c r="H1796" s="50" t="s">
        <v>404</v>
      </c>
      <c r="I1796" s="16" t="s">
        <v>4342</v>
      </c>
    </row>
    <row r="1797" spans="1:10" hidden="1" x14ac:dyDescent="0.35">
      <c r="A1797" s="16">
        <v>542</v>
      </c>
      <c r="B1797" s="16" t="s">
        <v>4343</v>
      </c>
      <c r="C1797" s="16" t="s">
        <v>4344</v>
      </c>
      <c r="D1797" s="16" t="s">
        <v>198</v>
      </c>
      <c r="E1797" s="16" t="s">
        <v>559</v>
      </c>
    </row>
    <row r="1798" spans="1:10" hidden="1" x14ac:dyDescent="0.35">
      <c r="A1798" s="16">
        <v>554</v>
      </c>
      <c r="B1798" s="16" t="s">
        <v>4345</v>
      </c>
      <c r="C1798" s="16" t="s">
        <v>4344</v>
      </c>
      <c r="D1798" s="16" t="s">
        <v>198</v>
      </c>
      <c r="E1798" s="16" t="s">
        <v>559</v>
      </c>
      <c r="F1798" s="16" t="s">
        <v>4346</v>
      </c>
      <c r="G1798" s="16" t="s">
        <v>1477</v>
      </c>
      <c r="I1798" s="16" t="s">
        <v>389</v>
      </c>
      <c r="J1798" s="16" t="s">
        <v>4347</v>
      </c>
    </row>
    <row r="1799" spans="1:10" hidden="1" x14ac:dyDescent="0.35">
      <c r="A1799" s="16">
        <v>554</v>
      </c>
      <c r="B1799" s="16" t="s">
        <v>584</v>
      </c>
      <c r="D1799" s="16" t="s">
        <v>198</v>
      </c>
      <c r="E1799" s="16" t="s">
        <v>539</v>
      </c>
      <c r="F1799" s="16" t="s">
        <v>4346</v>
      </c>
      <c r="G1799" s="16" t="s">
        <v>1477</v>
      </c>
      <c r="I1799" s="16" t="s">
        <v>389</v>
      </c>
      <c r="J1799" s="16" t="s">
        <v>4347</v>
      </c>
    </row>
    <row r="1800" spans="1:10" hidden="1" x14ac:dyDescent="0.35">
      <c r="A1800" s="16">
        <v>554</v>
      </c>
      <c r="B1800" s="16" t="s">
        <v>4061</v>
      </c>
      <c r="C1800" s="16" t="s">
        <v>4344</v>
      </c>
      <c r="D1800" s="16" t="s">
        <v>198</v>
      </c>
      <c r="E1800" s="16" t="s">
        <v>539</v>
      </c>
      <c r="F1800" s="16" t="s">
        <v>4346</v>
      </c>
      <c r="G1800" s="16" t="s">
        <v>1477</v>
      </c>
      <c r="I1800" s="16" t="s">
        <v>389</v>
      </c>
      <c r="J1800" s="16" t="s">
        <v>4347</v>
      </c>
    </row>
    <row r="1801" spans="1:10" hidden="1" x14ac:dyDescent="0.35">
      <c r="A1801" s="16">
        <v>554</v>
      </c>
      <c r="B1801" s="16" t="s">
        <v>4348</v>
      </c>
      <c r="C1801" s="16" t="s">
        <v>4344</v>
      </c>
      <c r="D1801" s="16" t="s">
        <v>198</v>
      </c>
      <c r="E1801" s="16" t="s">
        <v>559</v>
      </c>
      <c r="F1801" s="16" t="s">
        <v>4346</v>
      </c>
      <c r="G1801" s="16" t="s">
        <v>1477</v>
      </c>
      <c r="I1801" s="16" t="s">
        <v>389</v>
      </c>
      <c r="J1801" s="16" t="s">
        <v>4347</v>
      </c>
    </row>
    <row r="1802" spans="1:10" hidden="1" x14ac:dyDescent="0.35">
      <c r="A1802" s="16">
        <v>558</v>
      </c>
      <c r="B1802" s="16" t="s">
        <v>4349</v>
      </c>
      <c r="D1802" s="16" t="s">
        <v>198</v>
      </c>
      <c r="E1802" s="16" t="s">
        <v>559</v>
      </c>
      <c r="F1802" s="16" t="s">
        <v>4350</v>
      </c>
      <c r="G1802" s="16" t="s">
        <v>1446</v>
      </c>
      <c r="I1802" s="16" t="s">
        <v>1002</v>
      </c>
      <c r="J1802" s="16" t="s">
        <v>4351</v>
      </c>
    </row>
    <row r="1803" spans="1:10" hidden="1" x14ac:dyDescent="0.35">
      <c r="A1803" s="16">
        <v>558</v>
      </c>
      <c r="B1803" s="16" t="s">
        <v>4352</v>
      </c>
      <c r="C1803" s="16" t="s">
        <v>4344</v>
      </c>
      <c r="D1803" s="16" t="s">
        <v>198</v>
      </c>
      <c r="E1803" s="16" t="s">
        <v>539</v>
      </c>
      <c r="F1803" s="16" t="s">
        <v>4350</v>
      </c>
      <c r="G1803" s="16" t="s">
        <v>1446</v>
      </c>
      <c r="I1803" s="16" t="s">
        <v>1002</v>
      </c>
    </row>
    <row r="1804" spans="1:10" hidden="1" x14ac:dyDescent="0.35">
      <c r="A1804" s="16">
        <v>558</v>
      </c>
      <c r="B1804" s="16" t="s">
        <v>4353</v>
      </c>
      <c r="D1804" s="16" t="s">
        <v>198</v>
      </c>
      <c r="E1804" s="16" t="s">
        <v>539</v>
      </c>
      <c r="F1804" s="16" t="s">
        <v>4350</v>
      </c>
      <c r="G1804" s="16" t="s">
        <v>1446</v>
      </c>
      <c r="I1804" s="16" t="s">
        <v>1002</v>
      </c>
    </row>
    <row r="1805" spans="1:10" hidden="1" x14ac:dyDescent="0.35">
      <c r="A1805" s="16">
        <v>558</v>
      </c>
      <c r="B1805" s="16" t="s">
        <v>4354</v>
      </c>
      <c r="D1805" s="16" t="s">
        <v>198</v>
      </c>
      <c r="E1805" s="16" t="s">
        <v>539</v>
      </c>
      <c r="F1805" s="16" t="s">
        <v>4350</v>
      </c>
      <c r="G1805" s="16" t="s">
        <v>1446</v>
      </c>
      <c r="I1805" s="16" t="s">
        <v>1002</v>
      </c>
    </row>
    <row r="1806" spans="1:10" x14ac:dyDescent="0.35">
      <c r="A1806" s="16">
        <v>641</v>
      </c>
      <c r="B1806" s="16" t="s">
        <v>4355</v>
      </c>
      <c r="C1806" s="16" t="s">
        <v>4356</v>
      </c>
      <c r="D1806" s="16" t="s">
        <v>130</v>
      </c>
      <c r="E1806" s="16" t="s">
        <v>539</v>
      </c>
      <c r="F1806" s="16" t="s">
        <v>122</v>
      </c>
      <c r="G1806" s="16" t="s">
        <v>4357</v>
      </c>
      <c r="I1806" s="16" t="s">
        <v>4358</v>
      </c>
    </row>
    <row r="1807" spans="1:10" x14ac:dyDescent="0.35">
      <c r="A1807" s="16">
        <v>641</v>
      </c>
      <c r="B1807" s="16" t="s">
        <v>4359</v>
      </c>
      <c r="C1807" s="16" t="s">
        <v>4360</v>
      </c>
      <c r="D1807" s="16" t="s">
        <v>130</v>
      </c>
      <c r="E1807" s="16" t="s">
        <v>1126</v>
      </c>
      <c r="F1807" s="16" t="s">
        <v>122</v>
      </c>
      <c r="G1807" s="16" t="s">
        <v>4357</v>
      </c>
      <c r="I1807" s="16" t="s">
        <v>4358</v>
      </c>
    </row>
    <row r="1808" spans="1:10" hidden="1" x14ac:dyDescent="0.35">
      <c r="A1808" s="16">
        <v>727</v>
      </c>
      <c r="B1808" s="16" t="s">
        <v>286</v>
      </c>
      <c r="C1808" s="16" t="s">
        <v>1330</v>
      </c>
      <c r="D1808" s="16" t="s">
        <v>130</v>
      </c>
      <c r="E1808" s="16" t="s">
        <v>813</v>
      </c>
      <c r="F1808" s="16" t="s">
        <v>135</v>
      </c>
      <c r="G1808" s="16" t="s">
        <v>4361</v>
      </c>
      <c r="I1808" s="16" t="s">
        <v>4362</v>
      </c>
    </row>
    <row r="1809" spans="1:10" hidden="1" x14ac:dyDescent="0.35">
      <c r="A1809" s="16">
        <v>727</v>
      </c>
      <c r="B1809" s="16" t="s">
        <v>1998</v>
      </c>
      <c r="C1809" s="16" t="s">
        <v>4042</v>
      </c>
      <c r="D1809" s="16" t="s">
        <v>130</v>
      </c>
      <c r="E1809" s="16" t="s">
        <v>813</v>
      </c>
      <c r="F1809" s="16" t="s">
        <v>135</v>
      </c>
      <c r="G1809" s="16" t="s">
        <v>4361</v>
      </c>
      <c r="I1809" s="16" t="s">
        <v>4362</v>
      </c>
    </row>
    <row r="1810" spans="1:10" hidden="1" x14ac:dyDescent="0.35">
      <c r="A1810" s="16">
        <v>727</v>
      </c>
      <c r="B1810" s="16" t="s">
        <v>1964</v>
      </c>
      <c r="C1810" s="16" t="s">
        <v>3202</v>
      </c>
      <c r="D1810" s="16" t="s">
        <v>130</v>
      </c>
      <c r="E1810" s="16" t="s">
        <v>813</v>
      </c>
      <c r="F1810" s="16" t="s">
        <v>135</v>
      </c>
      <c r="G1810" s="16" t="s">
        <v>4361</v>
      </c>
      <c r="I1810" s="16" t="s">
        <v>4362</v>
      </c>
    </row>
    <row r="1811" spans="1:10" hidden="1" x14ac:dyDescent="0.35">
      <c r="A1811" s="16">
        <v>727</v>
      </c>
      <c r="B1811" s="16" t="s">
        <v>4363</v>
      </c>
      <c r="C1811" s="16" t="s">
        <v>1936</v>
      </c>
      <c r="D1811" s="16" t="s">
        <v>130</v>
      </c>
      <c r="E1811" s="16" t="s">
        <v>813</v>
      </c>
      <c r="F1811" s="16" t="s">
        <v>135</v>
      </c>
      <c r="G1811" s="16" t="s">
        <v>4361</v>
      </c>
      <c r="I1811" s="16" t="s">
        <v>4362</v>
      </c>
    </row>
    <row r="1812" spans="1:10" hidden="1" x14ac:dyDescent="0.35">
      <c r="A1812" s="16">
        <v>727</v>
      </c>
      <c r="B1812" s="16" t="s">
        <v>4364</v>
      </c>
      <c r="C1812" s="16" t="s">
        <v>3202</v>
      </c>
      <c r="D1812" s="16" t="s">
        <v>130</v>
      </c>
      <c r="E1812" s="16" t="s">
        <v>813</v>
      </c>
      <c r="F1812" s="16" t="s">
        <v>135</v>
      </c>
      <c r="G1812" s="16" t="s">
        <v>4361</v>
      </c>
      <c r="I1812" s="16" t="s">
        <v>4362</v>
      </c>
    </row>
    <row r="1813" spans="1:10" hidden="1" x14ac:dyDescent="0.35">
      <c r="A1813" s="16">
        <v>727</v>
      </c>
      <c r="B1813" s="16" t="s">
        <v>2561</v>
      </c>
      <c r="C1813" s="16" t="s">
        <v>4365</v>
      </c>
      <c r="D1813" s="16" t="s">
        <v>130</v>
      </c>
      <c r="E1813" s="16" t="s">
        <v>813</v>
      </c>
      <c r="F1813" s="16" t="s">
        <v>135</v>
      </c>
      <c r="G1813" s="16" t="s">
        <v>4361</v>
      </c>
      <c r="I1813" s="16" t="s">
        <v>4362</v>
      </c>
    </row>
    <row r="1814" spans="1:10" hidden="1" x14ac:dyDescent="0.35">
      <c r="A1814" s="16">
        <v>751</v>
      </c>
      <c r="B1814" s="16" t="s">
        <v>4366</v>
      </c>
      <c r="C1814" s="16" t="s">
        <v>3690</v>
      </c>
      <c r="D1814" s="16" t="s">
        <v>198</v>
      </c>
      <c r="E1814" s="16" t="s">
        <v>539</v>
      </c>
      <c r="F1814" s="16" t="s">
        <v>4367</v>
      </c>
      <c r="G1814" s="16">
        <v>1996</v>
      </c>
      <c r="H1814" s="50" t="s">
        <v>403</v>
      </c>
      <c r="I1814" s="16" t="s">
        <v>4368</v>
      </c>
    </row>
    <row r="1815" spans="1:10" hidden="1" x14ac:dyDescent="0.35">
      <c r="A1815" s="16">
        <v>751</v>
      </c>
      <c r="B1815" s="16" t="s">
        <v>4369</v>
      </c>
      <c r="C1815" s="16" t="s">
        <v>4370</v>
      </c>
      <c r="D1815" s="16" t="s">
        <v>198</v>
      </c>
      <c r="E1815" s="16" t="s">
        <v>1022</v>
      </c>
      <c r="F1815" s="16" t="s">
        <v>4367</v>
      </c>
      <c r="G1815" s="16">
        <v>1996</v>
      </c>
      <c r="H1815" s="50" t="s">
        <v>403</v>
      </c>
      <c r="I1815" s="16" t="s">
        <v>4368</v>
      </c>
    </row>
    <row r="1816" spans="1:10" hidden="1" x14ac:dyDescent="0.35">
      <c r="A1816" s="16">
        <v>751</v>
      </c>
      <c r="B1816" s="16" t="s">
        <v>4371</v>
      </c>
      <c r="C1816" s="16" t="s">
        <v>1946</v>
      </c>
      <c r="D1816" s="16" t="s">
        <v>198</v>
      </c>
      <c r="E1816" s="16" t="s">
        <v>1022</v>
      </c>
      <c r="F1816" s="16" t="s">
        <v>4367</v>
      </c>
      <c r="G1816" s="16">
        <v>1996</v>
      </c>
      <c r="H1816" s="50" t="s">
        <v>403</v>
      </c>
      <c r="I1816" s="16" t="s">
        <v>4368</v>
      </c>
    </row>
    <row r="1817" spans="1:10" hidden="1" x14ac:dyDescent="0.35">
      <c r="A1817" s="16">
        <v>757</v>
      </c>
      <c r="B1817" s="16" t="s">
        <v>4372</v>
      </c>
      <c r="C1817" s="16" t="s">
        <v>4373</v>
      </c>
      <c r="D1817" s="16" t="s">
        <v>198</v>
      </c>
      <c r="E1817" s="16" t="s">
        <v>559</v>
      </c>
      <c r="F1817" s="16" t="s">
        <v>4374</v>
      </c>
      <c r="G1817" s="16">
        <v>1999</v>
      </c>
      <c r="I1817" s="16" t="s">
        <v>4375</v>
      </c>
      <c r="J1817" s="16" t="s">
        <v>4376</v>
      </c>
    </row>
    <row r="1818" spans="1:10" hidden="1" x14ac:dyDescent="0.35">
      <c r="A1818" s="16">
        <v>757</v>
      </c>
      <c r="B1818" s="16" t="s">
        <v>4377</v>
      </c>
      <c r="C1818" s="16" t="s">
        <v>4378</v>
      </c>
      <c r="D1818" s="16" t="s">
        <v>198</v>
      </c>
      <c r="E1818" s="16" t="s">
        <v>539</v>
      </c>
      <c r="F1818" s="16" t="s">
        <v>4374</v>
      </c>
      <c r="G1818" s="16">
        <v>1999</v>
      </c>
      <c r="I1818" s="16" t="s">
        <v>4375</v>
      </c>
    </row>
    <row r="1819" spans="1:10" hidden="1" x14ac:dyDescent="0.35">
      <c r="A1819" s="16">
        <v>773</v>
      </c>
      <c r="B1819" s="16" t="s">
        <v>2085</v>
      </c>
      <c r="C1819" s="16" t="s">
        <v>633</v>
      </c>
      <c r="D1819" s="16" t="s">
        <v>130</v>
      </c>
      <c r="E1819" s="16" t="s">
        <v>813</v>
      </c>
      <c r="F1819" s="16" t="s">
        <v>122</v>
      </c>
      <c r="G1819" s="16" t="s">
        <v>4379</v>
      </c>
      <c r="I1819" s="16" t="s">
        <v>4380</v>
      </c>
    </row>
    <row r="1820" spans="1:10" hidden="1" x14ac:dyDescent="0.35">
      <c r="A1820" s="16">
        <v>773</v>
      </c>
      <c r="B1820" s="16" t="s">
        <v>4381</v>
      </c>
      <c r="C1820" s="16" t="s">
        <v>4382</v>
      </c>
      <c r="D1820" s="16" t="s">
        <v>130</v>
      </c>
      <c r="E1820" s="16" t="s">
        <v>813</v>
      </c>
      <c r="F1820" s="16" t="s">
        <v>122</v>
      </c>
      <c r="G1820" s="16" t="s">
        <v>4379</v>
      </c>
      <c r="I1820" s="16" t="s">
        <v>4383</v>
      </c>
    </row>
    <row r="1821" spans="1:10" hidden="1" x14ac:dyDescent="0.35">
      <c r="A1821" s="16">
        <v>773</v>
      </c>
      <c r="B1821" s="16" t="s">
        <v>4384</v>
      </c>
      <c r="C1821" s="16" t="s">
        <v>4382</v>
      </c>
      <c r="D1821" s="16" t="s">
        <v>130</v>
      </c>
      <c r="E1821" s="16" t="s">
        <v>813</v>
      </c>
      <c r="F1821" s="16" t="s">
        <v>122</v>
      </c>
      <c r="G1821" s="16" t="s">
        <v>4379</v>
      </c>
      <c r="I1821" s="16" t="s">
        <v>4383</v>
      </c>
    </row>
    <row r="1822" spans="1:10" hidden="1" x14ac:dyDescent="0.35">
      <c r="A1822" s="16">
        <v>773</v>
      </c>
      <c r="B1822" s="16" t="s">
        <v>4385</v>
      </c>
      <c r="C1822" s="16" t="s">
        <v>4382</v>
      </c>
      <c r="D1822" s="16" t="s">
        <v>130</v>
      </c>
      <c r="E1822" s="16" t="s">
        <v>813</v>
      </c>
      <c r="F1822" s="16" t="s">
        <v>122</v>
      </c>
      <c r="G1822" s="16" t="s">
        <v>4379</v>
      </c>
      <c r="I1822" s="16" t="s">
        <v>4383</v>
      </c>
    </row>
    <row r="1823" spans="1:10" hidden="1" x14ac:dyDescent="0.35">
      <c r="A1823" s="16">
        <v>773</v>
      </c>
      <c r="B1823" s="16" t="s">
        <v>4386</v>
      </c>
      <c r="C1823" s="16" t="s">
        <v>4382</v>
      </c>
      <c r="D1823" s="16" t="s">
        <v>130</v>
      </c>
      <c r="E1823" s="16" t="s">
        <v>813</v>
      </c>
      <c r="F1823" s="16" t="s">
        <v>122</v>
      </c>
      <c r="G1823" s="16" t="s">
        <v>4379</v>
      </c>
      <c r="I1823" s="16" t="s">
        <v>4383</v>
      </c>
    </row>
    <row r="1824" spans="1:10" hidden="1" x14ac:dyDescent="0.35">
      <c r="A1824" s="16">
        <v>773</v>
      </c>
      <c r="B1824" s="16" t="s">
        <v>4387</v>
      </c>
      <c r="C1824" s="16" t="s">
        <v>4382</v>
      </c>
      <c r="D1824" s="16" t="s">
        <v>130</v>
      </c>
      <c r="E1824" s="16" t="s">
        <v>813</v>
      </c>
      <c r="F1824" s="16" t="s">
        <v>122</v>
      </c>
      <c r="G1824" s="16" t="s">
        <v>4379</v>
      </c>
      <c r="I1824" s="16" t="s">
        <v>4383</v>
      </c>
    </row>
    <row r="1825" spans="1:9" hidden="1" x14ac:dyDescent="0.35">
      <c r="A1825" s="16">
        <v>773</v>
      </c>
      <c r="B1825" s="16" t="s">
        <v>4388</v>
      </c>
      <c r="C1825" s="16" t="s">
        <v>4382</v>
      </c>
      <c r="D1825" s="16" t="s">
        <v>130</v>
      </c>
      <c r="E1825" s="16" t="s">
        <v>813</v>
      </c>
      <c r="F1825" s="16" t="s">
        <v>122</v>
      </c>
      <c r="G1825" s="16" t="s">
        <v>4379</v>
      </c>
      <c r="I1825" s="16" t="s">
        <v>4383</v>
      </c>
    </row>
    <row r="1826" spans="1:9" hidden="1" x14ac:dyDescent="0.35">
      <c r="A1826" s="16">
        <v>773</v>
      </c>
      <c r="B1826" s="16" t="s">
        <v>4389</v>
      </c>
      <c r="C1826" s="16" t="s">
        <v>4382</v>
      </c>
      <c r="D1826" s="16" t="s">
        <v>130</v>
      </c>
      <c r="E1826" s="16" t="s">
        <v>813</v>
      </c>
      <c r="F1826" s="16" t="s">
        <v>122</v>
      </c>
      <c r="G1826" s="16" t="s">
        <v>4379</v>
      </c>
      <c r="I1826" s="16" t="s">
        <v>4383</v>
      </c>
    </row>
    <row r="1827" spans="1:9" hidden="1" x14ac:dyDescent="0.35">
      <c r="A1827" s="16">
        <v>773</v>
      </c>
      <c r="B1827" s="16" t="s">
        <v>4390</v>
      </c>
      <c r="C1827" s="16" t="s">
        <v>4382</v>
      </c>
      <c r="D1827" s="16" t="s">
        <v>130</v>
      </c>
      <c r="E1827" s="16" t="s">
        <v>813</v>
      </c>
      <c r="F1827" s="16" t="s">
        <v>122</v>
      </c>
      <c r="G1827" s="16" t="s">
        <v>4379</v>
      </c>
      <c r="I1827" s="16" t="s">
        <v>4383</v>
      </c>
    </row>
    <row r="1828" spans="1:9" hidden="1" x14ac:dyDescent="0.35">
      <c r="A1828" s="16">
        <v>773</v>
      </c>
      <c r="B1828" s="16" t="s">
        <v>4391</v>
      </c>
      <c r="C1828" s="16" t="s">
        <v>4382</v>
      </c>
      <c r="D1828" s="16" t="s">
        <v>130</v>
      </c>
      <c r="E1828" s="16" t="s">
        <v>813</v>
      </c>
      <c r="F1828" s="16" t="s">
        <v>122</v>
      </c>
      <c r="G1828" s="16" t="s">
        <v>4379</v>
      </c>
      <c r="I1828" s="16" t="s">
        <v>4383</v>
      </c>
    </row>
    <row r="1829" spans="1:9" hidden="1" x14ac:dyDescent="0.35">
      <c r="A1829" s="16">
        <v>773</v>
      </c>
      <c r="B1829" s="16" t="s">
        <v>4392</v>
      </c>
      <c r="C1829" s="16" t="s">
        <v>4382</v>
      </c>
      <c r="D1829" s="16" t="s">
        <v>130</v>
      </c>
      <c r="E1829" s="16" t="s">
        <v>813</v>
      </c>
      <c r="F1829" s="16" t="s">
        <v>122</v>
      </c>
      <c r="G1829" s="16" t="s">
        <v>4379</v>
      </c>
      <c r="I1829" s="16" t="s">
        <v>4383</v>
      </c>
    </row>
    <row r="1830" spans="1:9" hidden="1" x14ac:dyDescent="0.35">
      <c r="A1830" s="16">
        <v>773</v>
      </c>
      <c r="B1830" s="16" t="s">
        <v>4393</v>
      </c>
      <c r="C1830" s="16" t="s">
        <v>4382</v>
      </c>
      <c r="D1830" s="16" t="s">
        <v>130</v>
      </c>
      <c r="E1830" s="16" t="s">
        <v>813</v>
      </c>
      <c r="F1830" s="16" t="s">
        <v>122</v>
      </c>
      <c r="G1830" s="16" t="s">
        <v>4379</v>
      </c>
      <c r="I1830" s="16" t="s">
        <v>4383</v>
      </c>
    </row>
    <row r="1831" spans="1:9" hidden="1" x14ac:dyDescent="0.35">
      <c r="A1831" s="16">
        <v>773</v>
      </c>
      <c r="B1831" s="16" t="s">
        <v>4394</v>
      </c>
      <c r="C1831" s="16" t="s">
        <v>4395</v>
      </c>
      <c r="D1831" s="16" t="s">
        <v>130</v>
      </c>
      <c r="E1831" s="16" t="s">
        <v>813</v>
      </c>
      <c r="F1831" s="16" t="s">
        <v>122</v>
      </c>
      <c r="G1831" s="16" t="s">
        <v>4379</v>
      </c>
      <c r="I1831" s="16" t="s">
        <v>4383</v>
      </c>
    </row>
    <row r="1832" spans="1:9" hidden="1" x14ac:dyDescent="0.35">
      <c r="A1832" s="16">
        <v>787</v>
      </c>
      <c r="B1832" s="16" t="s">
        <v>4396</v>
      </c>
      <c r="C1832" s="16" t="s">
        <v>1946</v>
      </c>
      <c r="D1832" s="16" t="s">
        <v>198</v>
      </c>
      <c r="E1832" s="16" t="s">
        <v>538</v>
      </c>
      <c r="F1832" s="16" t="s">
        <v>122</v>
      </c>
      <c r="G1832" s="16" t="s">
        <v>4397</v>
      </c>
      <c r="I1832" s="16" t="s">
        <v>4398</v>
      </c>
    </row>
    <row r="1833" spans="1:9" hidden="1" x14ac:dyDescent="0.35">
      <c r="A1833" s="16">
        <v>787</v>
      </c>
      <c r="B1833" s="16" t="s">
        <v>4399</v>
      </c>
      <c r="C1833" s="16" t="s">
        <v>4400</v>
      </c>
      <c r="D1833" s="16" t="s">
        <v>198</v>
      </c>
      <c r="E1833" s="16" t="s">
        <v>559</v>
      </c>
      <c r="F1833" s="16" t="s">
        <v>122</v>
      </c>
      <c r="G1833" s="16" t="s">
        <v>4397</v>
      </c>
      <c r="I1833" s="16" t="s">
        <v>4401</v>
      </c>
    </row>
    <row r="1834" spans="1:9" hidden="1" x14ac:dyDescent="0.35">
      <c r="A1834" s="16">
        <v>787</v>
      </c>
      <c r="B1834" s="16" t="s">
        <v>4402</v>
      </c>
      <c r="C1834" s="16" t="s">
        <v>4400</v>
      </c>
      <c r="D1834" s="16" t="s">
        <v>198</v>
      </c>
      <c r="E1834" s="16" t="s">
        <v>559</v>
      </c>
      <c r="F1834" s="16" t="s">
        <v>122</v>
      </c>
      <c r="G1834" s="16" t="s">
        <v>4397</v>
      </c>
      <c r="I1834" s="16" t="s">
        <v>4403</v>
      </c>
    </row>
    <row r="1835" spans="1:9" hidden="1" x14ac:dyDescent="0.35">
      <c r="A1835" s="16">
        <v>787</v>
      </c>
      <c r="B1835" s="16" t="s">
        <v>4404</v>
      </c>
      <c r="C1835" s="16" t="s">
        <v>3690</v>
      </c>
      <c r="D1835" s="16" t="s">
        <v>198</v>
      </c>
      <c r="E1835" s="16" t="s">
        <v>539</v>
      </c>
      <c r="F1835" s="16" t="s">
        <v>122</v>
      </c>
      <c r="G1835" s="16" t="s">
        <v>4397</v>
      </c>
      <c r="I1835" s="16" t="s">
        <v>4405</v>
      </c>
    </row>
    <row r="1836" spans="1:9" hidden="1" x14ac:dyDescent="0.35">
      <c r="A1836" s="16">
        <v>787</v>
      </c>
      <c r="B1836" s="16" t="s">
        <v>4406</v>
      </c>
      <c r="C1836" s="16" t="s">
        <v>4407</v>
      </c>
      <c r="D1836" s="16" t="s">
        <v>198</v>
      </c>
      <c r="E1836" s="16" t="s">
        <v>539</v>
      </c>
      <c r="F1836" s="16" t="s">
        <v>122</v>
      </c>
      <c r="G1836" s="16" t="s">
        <v>4397</v>
      </c>
      <c r="I1836" s="16" t="s">
        <v>4405</v>
      </c>
    </row>
    <row r="1837" spans="1:9" hidden="1" x14ac:dyDescent="0.35">
      <c r="A1837" s="16">
        <v>787</v>
      </c>
      <c r="B1837" s="16" t="s">
        <v>4408</v>
      </c>
      <c r="C1837" s="16" t="s">
        <v>4407</v>
      </c>
      <c r="D1837" s="16" t="s">
        <v>198</v>
      </c>
      <c r="E1837" s="16" t="s">
        <v>539</v>
      </c>
      <c r="F1837" s="16" t="s">
        <v>122</v>
      </c>
      <c r="G1837" s="16" t="s">
        <v>4397</v>
      </c>
      <c r="I1837" s="16" t="s">
        <v>4405</v>
      </c>
    </row>
    <row r="1838" spans="1:9" hidden="1" x14ac:dyDescent="0.35">
      <c r="A1838" s="16">
        <v>790</v>
      </c>
      <c r="B1838" s="16" t="s">
        <v>4409</v>
      </c>
      <c r="C1838" s="16" t="s">
        <v>4410</v>
      </c>
      <c r="D1838" s="16" t="s">
        <v>198</v>
      </c>
      <c r="E1838" s="16" t="s">
        <v>559</v>
      </c>
      <c r="F1838" s="16" t="s">
        <v>4411</v>
      </c>
      <c r="G1838" s="16">
        <v>2018</v>
      </c>
      <c r="H1838" s="50" t="s">
        <v>403</v>
      </c>
      <c r="I1838" s="16" t="s">
        <v>4412</v>
      </c>
    </row>
    <row r="1839" spans="1:9" hidden="1" x14ac:dyDescent="0.35">
      <c r="A1839" s="16">
        <v>790</v>
      </c>
      <c r="B1839" s="16" t="s">
        <v>4413</v>
      </c>
      <c r="C1839" s="16" t="s">
        <v>4414</v>
      </c>
      <c r="D1839" s="16" t="s">
        <v>198</v>
      </c>
      <c r="E1839" s="16" t="s">
        <v>559</v>
      </c>
      <c r="F1839" s="16" t="s">
        <v>4411</v>
      </c>
      <c r="G1839" s="16">
        <v>2018</v>
      </c>
      <c r="H1839" s="50" t="s">
        <v>403</v>
      </c>
      <c r="I1839" s="16" t="s">
        <v>4412</v>
      </c>
    </row>
    <row r="1840" spans="1:9" hidden="1" x14ac:dyDescent="0.35">
      <c r="A1840" s="16">
        <v>790</v>
      </c>
      <c r="B1840" s="16" t="s">
        <v>4415</v>
      </c>
      <c r="C1840" s="16" t="s">
        <v>4416</v>
      </c>
      <c r="D1840" s="16" t="s">
        <v>198</v>
      </c>
      <c r="E1840" s="16" t="s">
        <v>539</v>
      </c>
      <c r="F1840" s="16" t="s">
        <v>4417</v>
      </c>
      <c r="G1840" s="16">
        <v>2018</v>
      </c>
      <c r="H1840" s="50" t="s">
        <v>403</v>
      </c>
      <c r="I1840" s="16" t="s">
        <v>4418</v>
      </c>
    </row>
    <row r="1841" spans="1:10" hidden="1" x14ac:dyDescent="0.35">
      <c r="A1841" s="16">
        <v>790</v>
      </c>
      <c r="B1841" s="16" t="s">
        <v>4419</v>
      </c>
      <c r="C1841" s="16" t="s">
        <v>4416</v>
      </c>
      <c r="D1841" s="16" t="s">
        <v>198</v>
      </c>
      <c r="E1841" s="16" t="s">
        <v>539</v>
      </c>
      <c r="F1841" s="16" t="s">
        <v>4417</v>
      </c>
      <c r="G1841" s="16">
        <v>2018</v>
      </c>
      <c r="H1841" s="50" t="s">
        <v>403</v>
      </c>
      <c r="I1841" s="16" t="s">
        <v>4418</v>
      </c>
    </row>
    <row r="1842" spans="1:10" hidden="1" x14ac:dyDescent="0.35">
      <c r="A1842" s="16">
        <v>790</v>
      </c>
      <c r="B1842" s="16" t="s">
        <v>4420</v>
      </c>
      <c r="C1842" s="16" t="s">
        <v>4416</v>
      </c>
      <c r="D1842" s="16" t="s">
        <v>198</v>
      </c>
      <c r="E1842" s="16" t="s">
        <v>539</v>
      </c>
      <c r="F1842" s="16" t="s">
        <v>4417</v>
      </c>
      <c r="G1842" s="16">
        <v>2018</v>
      </c>
      <c r="H1842" s="50" t="s">
        <v>403</v>
      </c>
      <c r="I1842" s="16" t="s">
        <v>4418</v>
      </c>
    </row>
    <row r="1843" spans="1:10" hidden="1" x14ac:dyDescent="0.35">
      <c r="A1843" s="16">
        <v>790</v>
      </c>
      <c r="B1843" s="16" t="s">
        <v>4421</v>
      </c>
      <c r="C1843" s="16" t="s">
        <v>4422</v>
      </c>
      <c r="D1843" s="16" t="s">
        <v>198</v>
      </c>
      <c r="E1843" s="16" t="s">
        <v>538</v>
      </c>
      <c r="F1843" s="16" t="s">
        <v>4417</v>
      </c>
      <c r="G1843" s="16">
        <v>2018</v>
      </c>
      <c r="H1843" s="50" t="s">
        <v>403</v>
      </c>
      <c r="I1843" s="16" t="s">
        <v>4412</v>
      </c>
    </row>
    <row r="1844" spans="1:10" hidden="1" x14ac:dyDescent="0.35">
      <c r="A1844" s="16">
        <v>807</v>
      </c>
      <c r="B1844" s="16" t="s">
        <v>4423</v>
      </c>
      <c r="C1844" s="16" t="s">
        <v>4400</v>
      </c>
      <c r="D1844" s="16" t="s">
        <v>198</v>
      </c>
      <c r="E1844" s="16" t="s">
        <v>559</v>
      </c>
      <c r="F1844" s="16" t="s">
        <v>413</v>
      </c>
      <c r="G1844" s="16">
        <v>2016</v>
      </c>
      <c r="H1844" s="50" t="s">
        <v>403</v>
      </c>
      <c r="I1844" s="16" t="s">
        <v>4424</v>
      </c>
    </row>
    <row r="1845" spans="1:10" hidden="1" x14ac:dyDescent="0.35">
      <c r="A1845" s="16">
        <v>807</v>
      </c>
      <c r="B1845" s="16" t="s">
        <v>4425</v>
      </c>
      <c r="C1845" s="16" t="s">
        <v>4400</v>
      </c>
      <c r="D1845" s="16" t="s">
        <v>198</v>
      </c>
      <c r="E1845" s="16" t="s">
        <v>539</v>
      </c>
      <c r="F1845" s="16" t="s">
        <v>413</v>
      </c>
      <c r="G1845" s="16">
        <v>2016</v>
      </c>
      <c r="H1845" s="50" t="s">
        <v>403</v>
      </c>
      <c r="I1845" s="16" t="s">
        <v>4424</v>
      </c>
    </row>
    <row r="1846" spans="1:10" hidden="1" x14ac:dyDescent="0.35">
      <c r="A1846" s="16">
        <v>807</v>
      </c>
      <c r="B1846" s="16" t="s">
        <v>4426</v>
      </c>
      <c r="C1846" s="16" t="s">
        <v>4407</v>
      </c>
      <c r="D1846" s="16" t="s">
        <v>198</v>
      </c>
      <c r="E1846" s="16" t="s">
        <v>539</v>
      </c>
      <c r="F1846" s="16" t="s">
        <v>413</v>
      </c>
      <c r="G1846" s="16">
        <v>2016</v>
      </c>
      <c r="H1846" s="50" t="s">
        <v>403</v>
      </c>
      <c r="I1846" s="16" t="s">
        <v>4424</v>
      </c>
    </row>
    <row r="1847" spans="1:10" hidden="1" x14ac:dyDescent="0.35">
      <c r="A1847" s="16">
        <v>815</v>
      </c>
      <c r="B1847" s="16" t="s">
        <v>4427</v>
      </c>
      <c r="C1847" s="16" t="s">
        <v>633</v>
      </c>
      <c r="D1847" s="16" t="s">
        <v>130</v>
      </c>
      <c r="E1847" s="16" t="s">
        <v>809</v>
      </c>
      <c r="F1847" s="16" t="s">
        <v>122</v>
      </c>
      <c r="G1847" s="16">
        <v>2012</v>
      </c>
      <c r="H1847" s="50" t="s">
        <v>404</v>
      </c>
      <c r="I1847" s="16" t="s">
        <v>4428</v>
      </c>
      <c r="J1847" s="16" t="s">
        <v>4429</v>
      </c>
    </row>
    <row r="1848" spans="1:10" hidden="1" x14ac:dyDescent="0.35">
      <c r="A1848" s="16">
        <v>815</v>
      </c>
      <c r="B1848" s="16" t="s">
        <v>286</v>
      </c>
      <c r="C1848" s="16" t="s">
        <v>1330</v>
      </c>
      <c r="D1848" s="16" t="s">
        <v>130</v>
      </c>
      <c r="E1848" s="16" t="s">
        <v>813</v>
      </c>
      <c r="F1848" s="16" t="s">
        <v>122</v>
      </c>
      <c r="G1848" s="16">
        <v>2012</v>
      </c>
      <c r="H1848" s="50" t="s">
        <v>404</v>
      </c>
      <c r="I1848" s="16" t="s">
        <v>4428</v>
      </c>
      <c r="J1848" s="16" t="s">
        <v>4429</v>
      </c>
    </row>
    <row r="1849" spans="1:10" hidden="1" x14ac:dyDescent="0.35">
      <c r="A1849" s="16">
        <v>815</v>
      </c>
      <c r="B1849" s="16" t="s">
        <v>3630</v>
      </c>
      <c r="C1849" s="16" t="s">
        <v>4430</v>
      </c>
      <c r="D1849" s="16" t="s">
        <v>130</v>
      </c>
      <c r="E1849" s="16" t="s">
        <v>813</v>
      </c>
      <c r="F1849" s="16" t="s">
        <v>122</v>
      </c>
      <c r="G1849" s="16">
        <v>2012</v>
      </c>
      <c r="H1849" s="50" t="s">
        <v>404</v>
      </c>
      <c r="I1849" s="16" t="s">
        <v>4428</v>
      </c>
      <c r="J1849" s="16" t="s">
        <v>4429</v>
      </c>
    </row>
    <row r="1850" spans="1:10" hidden="1" x14ac:dyDescent="0.35">
      <c r="A1850" s="16">
        <v>815</v>
      </c>
      <c r="B1850" s="16" t="s">
        <v>4431</v>
      </c>
      <c r="C1850" s="16" t="s">
        <v>633</v>
      </c>
      <c r="D1850" s="16" t="s">
        <v>130</v>
      </c>
      <c r="E1850" s="16" t="s">
        <v>813</v>
      </c>
      <c r="F1850" s="16" t="s">
        <v>122</v>
      </c>
      <c r="G1850" s="16">
        <v>2012</v>
      </c>
      <c r="H1850" s="50" t="s">
        <v>404</v>
      </c>
      <c r="I1850" s="16" t="s">
        <v>4428</v>
      </c>
      <c r="J1850" s="16" t="s">
        <v>4429</v>
      </c>
    </row>
    <row r="1851" spans="1:10" hidden="1" x14ac:dyDescent="0.35">
      <c r="A1851" s="16">
        <v>815</v>
      </c>
      <c r="B1851" s="16" t="s">
        <v>1964</v>
      </c>
      <c r="C1851" s="16" t="s">
        <v>633</v>
      </c>
      <c r="D1851" s="16" t="s">
        <v>130</v>
      </c>
      <c r="E1851" s="16" t="s">
        <v>813</v>
      </c>
      <c r="F1851" s="16" t="s">
        <v>122</v>
      </c>
      <c r="G1851" s="16">
        <v>2012</v>
      </c>
      <c r="H1851" s="50" t="s">
        <v>404</v>
      </c>
      <c r="I1851" s="16" t="s">
        <v>4428</v>
      </c>
      <c r="J1851" s="16" t="s">
        <v>4429</v>
      </c>
    </row>
    <row r="1852" spans="1:10" hidden="1" x14ac:dyDescent="0.35">
      <c r="A1852" s="16">
        <v>815</v>
      </c>
      <c r="B1852" s="16" t="s">
        <v>4432</v>
      </c>
      <c r="C1852" s="16" t="s">
        <v>676</v>
      </c>
      <c r="D1852" s="16" t="s">
        <v>130</v>
      </c>
      <c r="E1852" s="16" t="s">
        <v>813</v>
      </c>
      <c r="F1852" s="16" t="s">
        <v>122</v>
      </c>
      <c r="G1852" s="16">
        <v>2012</v>
      </c>
      <c r="H1852" s="50" t="s">
        <v>404</v>
      </c>
      <c r="I1852" s="16" t="s">
        <v>4428</v>
      </c>
      <c r="J1852" s="16" t="s">
        <v>4429</v>
      </c>
    </row>
    <row r="1853" spans="1:10" hidden="1" x14ac:dyDescent="0.35">
      <c r="A1853" s="16">
        <v>815</v>
      </c>
      <c r="B1853" s="16" t="s">
        <v>4433</v>
      </c>
      <c r="C1853" s="16" t="s">
        <v>4434</v>
      </c>
      <c r="D1853" s="16" t="s">
        <v>130</v>
      </c>
      <c r="E1853" s="16" t="s">
        <v>813</v>
      </c>
      <c r="F1853" s="16" t="s">
        <v>122</v>
      </c>
      <c r="G1853" s="16">
        <v>2012</v>
      </c>
      <c r="H1853" s="50" t="s">
        <v>404</v>
      </c>
      <c r="I1853" s="16" t="s">
        <v>4428</v>
      </c>
      <c r="J1853" s="16" t="s">
        <v>4429</v>
      </c>
    </row>
    <row r="1854" spans="1:10" hidden="1" x14ac:dyDescent="0.35">
      <c r="A1854" s="16">
        <v>815</v>
      </c>
      <c r="B1854" s="16" t="s">
        <v>4435</v>
      </c>
      <c r="C1854" s="16" t="s">
        <v>4436</v>
      </c>
      <c r="D1854" s="16" t="s">
        <v>130</v>
      </c>
      <c r="E1854" s="16" t="s">
        <v>1118</v>
      </c>
      <c r="F1854" s="16" t="s">
        <v>122</v>
      </c>
      <c r="G1854" s="16">
        <v>2012</v>
      </c>
      <c r="H1854" s="50" t="s">
        <v>404</v>
      </c>
      <c r="I1854" s="16" t="s">
        <v>4428</v>
      </c>
      <c r="J1854" s="16" t="s">
        <v>4429</v>
      </c>
    </row>
    <row r="1855" spans="1:10" hidden="1" x14ac:dyDescent="0.35">
      <c r="A1855" s="16">
        <v>815</v>
      </c>
      <c r="B1855" s="16" t="s">
        <v>2070</v>
      </c>
      <c r="C1855" s="16" t="s">
        <v>4437</v>
      </c>
      <c r="D1855" s="16" t="s">
        <v>130</v>
      </c>
      <c r="E1855" s="16" t="s">
        <v>1118</v>
      </c>
      <c r="F1855" s="16" t="s">
        <v>122</v>
      </c>
      <c r="G1855" s="16">
        <v>2012</v>
      </c>
      <c r="H1855" s="50" t="s">
        <v>404</v>
      </c>
      <c r="I1855" s="16" t="s">
        <v>4428</v>
      </c>
      <c r="J1855" s="16" t="s">
        <v>4429</v>
      </c>
    </row>
    <row r="1856" spans="1:10" hidden="1" x14ac:dyDescent="0.35">
      <c r="A1856" s="16">
        <v>815</v>
      </c>
      <c r="B1856" s="16" t="s">
        <v>4438</v>
      </c>
      <c r="C1856" s="16" t="s">
        <v>4439</v>
      </c>
      <c r="D1856" s="16" t="s">
        <v>130</v>
      </c>
      <c r="E1856" s="16" t="s">
        <v>1118</v>
      </c>
      <c r="F1856" s="16" t="s">
        <v>122</v>
      </c>
      <c r="G1856" s="16">
        <v>2012</v>
      </c>
      <c r="H1856" s="50" t="s">
        <v>404</v>
      </c>
      <c r="I1856" s="16" t="s">
        <v>4428</v>
      </c>
      <c r="J1856" s="16" t="s">
        <v>4429</v>
      </c>
    </row>
    <row r="1857" spans="1:10" hidden="1" x14ac:dyDescent="0.35">
      <c r="A1857" s="16">
        <v>815</v>
      </c>
      <c r="B1857" s="16" t="s">
        <v>4440</v>
      </c>
      <c r="C1857" s="16" t="s">
        <v>4441</v>
      </c>
      <c r="D1857" s="16" t="s">
        <v>130</v>
      </c>
      <c r="E1857" s="16" t="s">
        <v>1118</v>
      </c>
      <c r="F1857" s="16" t="s">
        <v>122</v>
      </c>
      <c r="G1857" s="16">
        <v>2012</v>
      </c>
      <c r="H1857" s="50" t="s">
        <v>404</v>
      </c>
      <c r="I1857" s="16" t="s">
        <v>4428</v>
      </c>
      <c r="J1857" s="16" t="s">
        <v>4429</v>
      </c>
    </row>
    <row r="1858" spans="1:10" hidden="1" x14ac:dyDescent="0.35">
      <c r="A1858" s="16">
        <v>815</v>
      </c>
      <c r="B1858" s="16" t="s">
        <v>4442</v>
      </c>
      <c r="C1858" s="16" t="s">
        <v>4443</v>
      </c>
      <c r="D1858" s="16" t="s">
        <v>130</v>
      </c>
      <c r="E1858" s="16" t="s">
        <v>1118</v>
      </c>
      <c r="F1858" s="16" t="s">
        <v>122</v>
      </c>
      <c r="G1858" s="16">
        <v>2012</v>
      </c>
      <c r="H1858" s="50" t="s">
        <v>404</v>
      </c>
      <c r="I1858" s="16" t="s">
        <v>4428</v>
      </c>
      <c r="J1858" s="16" t="s">
        <v>4429</v>
      </c>
    </row>
    <row r="1859" spans="1:10" hidden="1" x14ac:dyDescent="0.35">
      <c r="A1859" s="16">
        <v>815</v>
      </c>
      <c r="B1859" s="16" t="s">
        <v>4444</v>
      </c>
      <c r="C1859" s="16" t="s">
        <v>4443</v>
      </c>
      <c r="D1859" s="16" t="s">
        <v>130</v>
      </c>
      <c r="E1859" s="16" t="s">
        <v>1118</v>
      </c>
      <c r="F1859" s="16" t="s">
        <v>122</v>
      </c>
      <c r="G1859" s="16">
        <v>2012</v>
      </c>
      <c r="H1859" s="50" t="s">
        <v>404</v>
      </c>
      <c r="I1859" s="16" t="s">
        <v>4428</v>
      </c>
      <c r="J1859" s="16" t="s">
        <v>4429</v>
      </c>
    </row>
    <row r="1860" spans="1:10" hidden="1" x14ac:dyDescent="0.35">
      <c r="A1860" s="16">
        <v>815</v>
      </c>
      <c r="B1860" s="16" t="s">
        <v>4445</v>
      </c>
      <c r="C1860" s="16" t="s">
        <v>1330</v>
      </c>
      <c r="D1860" s="16" t="s">
        <v>130</v>
      </c>
      <c r="E1860" s="16" t="s">
        <v>813</v>
      </c>
      <c r="F1860" s="16" t="s">
        <v>122</v>
      </c>
      <c r="G1860" s="16">
        <v>2012</v>
      </c>
      <c r="H1860" s="50" t="s">
        <v>404</v>
      </c>
      <c r="I1860" s="16" t="s">
        <v>4428</v>
      </c>
      <c r="J1860" s="16" t="s">
        <v>4429</v>
      </c>
    </row>
    <row r="1861" spans="1:10" hidden="1" x14ac:dyDescent="0.35">
      <c r="A1861" s="16">
        <v>815</v>
      </c>
      <c r="B1861" s="16" t="s">
        <v>4446</v>
      </c>
      <c r="C1861" s="16" t="s">
        <v>4447</v>
      </c>
      <c r="D1861" s="16" t="s">
        <v>130</v>
      </c>
      <c r="E1861" s="16" t="s">
        <v>1118</v>
      </c>
      <c r="F1861" s="16" t="s">
        <v>122</v>
      </c>
      <c r="G1861" s="16">
        <v>2012</v>
      </c>
      <c r="H1861" s="50" t="s">
        <v>404</v>
      </c>
      <c r="I1861" s="16" t="s">
        <v>4428</v>
      </c>
      <c r="J1861" s="16" t="s">
        <v>4429</v>
      </c>
    </row>
    <row r="1862" spans="1:10" hidden="1" x14ac:dyDescent="0.35">
      <c r="A1862" s="16">
        <v>815</v>
      </c>
      <c r="B1862" s="16" t="s">
        <v>4448</v>
      </c>
      <c r="C1862" s="16" t="s">
        <v>4449</v>
      </c>
      <c r="D1862" s="16" t="s">
        <v>130</v>
      </c>
      <c r="E1862" s="16" t="s">
        <v>1118</v>
      </c>
      <c r="F1862" s="16" t="s">
        <v>122</v>
      </c>
      <c r="G1862" s="16">
        <v>2012</v>
      </c>
      <c r="H1862" s="50" t="s">
        <v>404</v>
      </c>
      <c r="I1862" s="16" t="s">
        <v>4428</v>
      </c>
      <c r="J1862" s="16" t="s">
        <v>4429</v>
      </c>
    </row>
    <row r="1863" spans="1:10" hidden="1" x14ac:dyDescent="0.35">
      <c r="A1863" s="16">
        <v>815</v>
      </c>
      <c r="B1863" s="16" t="s">
        <v>4450</v>
      </c>
      <c r="C1863" s="16" t="s">
        <v>1330</v>
      </c>
      <c r="D1863" s="16" t="s">
        <v>130</v>
      </c>
      <c r="E1863" s="16" t="s">
        <v>428</v>
      </c>
      <c r="F1863" s="16" t="s">
        <v>122</v>
      </c>
      <c r="G1863" s="16">
        <v>2012</v>
      </c>
      <c r="H1863" s="50" t="s">
        <v>404</v>
      </c>
      <c r="I1863" s="16" t="s">
        <v>4428</v>
      </c>
      <c r="J1863" s="16" t="s">
        <v>4429</v>
      </c>
    </row>
    <row r="1864" spans="1:10" x14ac:dyDescent="0.35">
      <c r="A1864" s="16">
        <v>834</v>
      </c>
      <c r="B1864" s="16" t="s">
        <v>4451</v>
      </c>
      <c r="C1864" s="16" t="s">
        <v>4452</v>
      </c>
      <c r="D1864" s="16" t="s">
        <v>198</v>
      </c>
      <c r="E1864" s="16" t="s">
        <v>559</v>
      </c>
      <c r="F1864" s="16" t="s">
        <v>4453</v>
      </c>
      <c r="G1864" s="16" t="s">
        <v>4454</v>
      </c>
      <c r="I1864" s="16" t="s">
        <v>4455</v>
      </c>
    </row>
    <row r="1865" spans="1:10" hidden="1" x14ac:dyDescent="0.35">
      <c r="A1865" s="16">
        <v>834</v>
      </c>
      <c r="B1865" s="16" t="s">
        <v>4456</v>
      </c>
      <c r="C1865" s="16" t="s">
        <v>4457</v>
      </c>
      <c r="D1865" s="16" t="s">
        <v>198</v>
      </c>
      <c r="E1865" s="16" t="s">
        <v>559</v>
      </c>
      <c r="F1865" s="16" t="s">
        <v>4453</v>
      </c>
      <c r="G1865" s="16" t="s">
        <v>4454</v>
      </c>
      <c r="I1865" s="16" t="s">
        <v>4458</v>
      </c>
    </row>
    <row r="1866" spans="1:10" hidden="1" x14ac:dyDescent="0.35">
      <c r="A1866" s="16">
        <v>834</v>
      </c>
      <c r="B1866" s="16" t="s">
        <v>4459</v>
      </c>
      <c r="C1866" s="16" t="s">
        <v>985</v>
      </c>
      <c r="D1866" s="16" t="s">
        <v>198</v>
      </c>
      <c r="E1866" s="16" t="s">
        <v>559</v>
      </c>
      <c r="F1866" s="16" t="s">
        <v>4453</v>
      </c>
      <c r="G1866" s="16" t="s">
        <v>4454</v>
      </c>
      <c r="I1866" s="16" t="s">
        <v>2405</v>
      </c>
    </row>
    <row r="1867" spans="1:10" hidden="1" x14ac:dyDescent="0.35">
      <c r="A1867" s="16">
        <v>834</v>
      </c>
      <c r="B1867" s="16" t="s">
        <v>4460</v>
      </c>
      <c r="C1867" s="16" t="s">
        <v>4461</v>
      </c>
      <c r="D1867" s="16" t="s">
        <v>198</v>
      </c>
      <c r="E1867" s="16" t="s">
        <v>559</v>
      </c>
      <c r="F1867" s="16" t="s">
        <v>4453</v>
      </c>
      <c r="G1867" s="16" t="s">
        <v>4454</v>
      </c>
      <c r="I1867" s="16" t="s">
        <v>2405</v>
      </c>
    </row>
    <row r="1868" spans="1:10" hidden="1" x14ac:dyDescent="0.35">
      <c r="A1868" s="16">
        <v>851</v>
      </c>
      <c r="B1868" s="16" t="s">
        <v>4462</v>
      </c>
      <c r="C1868" s="16" t="s">
        <v>4463</v>
      </c>
      <c r="D1868" s="16" t="s">
        <v>130</v>
      </c>
      <c r="E1868" s="16" t="s">
        <v>809</v>
      </c>
      <c r="F1868" s="16" t="s">
        <v>122</v>
      </c>
      <c r="G1868" s="16">
        <v>2022</v>
      </c>
      <c r="H1868" s="50" t="s">
        <v>404</v>
      </c>
      <c r="I1868" s="16" t="s">
        <v>4464</v>
      </c>
    </row>
    <row r="1869" spans="1:10" hidden="1" x14ac:dyDescent="0.35">
      <c r="A1869" s="16">
        <v>851</v>
      </c>
      <c r="B1869" s="16" t="s">
        <v>4465</v>
      </c>
      <c r="C1869" s="16" t="s">
        <v>4466</v>
      </c>
      <c r="D1869" s="16" t="s">
        <v>124</v>
      </c>
      <c r="E1869" s="16" t="s">
        <v>559</v>
      </c>
      <c r="F1869" s="16" t="s">
        <v>122</v>
      </c>
      <c r="G1869" s="16">
        <v>2022</v>
      </c>
      <c r="H1869" s="50" t="s">
        <v>404</v>
      </c>
      <c r="I1869" s="16" t="s">
        <v>4467</v>
      </c>
    </row>
    <row r="1870" spans="1:10" hidden="1" x14ac:dyDescent="0.35">
      <c r="A1870" s="16">
        <v>851</v>
      </c>
      <c r="B1870" s="16" t="s">
        <v>4468</v>
      </c>
      <c r="C1870" s="16" t="s">
        <v>633</v>
      </c>
      <c r="D1870" s="16" t="s">
        <v>130</v>
      </c>
      <c r="E1870" s="16" t="s">
        <v>809</v>
      </c>
      <c r="F1870" s="16" t="s">
        <v>122</v>
      </c>
      <c r="G1870" s="16">
        <v>2022</v>
      </c>
      <c r="H1870" s="50" t="s">
        <v>404</v>
      </c>
      <c r="I1870" s="16" t="s">
        <v>4467</v>
      </c>
    </row>
    <row r="1871" spans="1:10" hidden="1" x14ac:dyDescent="0.35">
      <c r="A1871" s="16">
        <v>851</v>
      </c>
      <c r="B1871" s="16" t="s">
        <v>2116</v>
      </c>
      <c r="C1871" s="16" t="s">
        <v>4469</v>
      </c>
      <c r="D1871" s="16" t="s">
        <v>130</v>
      </c>
      <c r="E1871" s="16" t="s">
        <v>809</v>
      </c>
      <c r="F1871" s="16" t="s">
        <v>122</v>
      </c>
      <c r="G1871" s="16">
        <v>2022</v>
      </c>
      <c r="H1871" s="50" t="s">
        <v>404</v>
      </c>
      <c r="I1871" s="16" t="s">
        <v>4470</v>
      </c>
    </row>
    <row r="1872" spans="1:10" hidden="1" x14ac:dyDescent="0.35">
      <c r="A1872" s="16">
        <v>851</v>
      </c>
      <c r="B1872" s="16" t="s">
        <v>4471</v>
      </c>
      <c r="C1872" s="16" t="s">
        <v>626</v>
      </c>
      <c r="D1872" s="16" t="s">
        <v>130</v>
      </c>
      <c r="E1872" s="16" t="s">
        <v>809</v>
      </c>
      <c r="F1872" s="16" t="s">
        <v>122</v>
      </c>
      <c r="G1872" s="16">
        <v>2022</v>
      </c>
      <c r="H1872" s="50" t="s">
        <v>404</v>
      </c>
      <c r="I1872" s="16" t="s">
        <v>4467</v>
      </c>
    </row>
    <row r="1873" spans="1:9" hidden="1" x14ac:dyDescent="0.35">
      <c r="A1873" s="16">
        <v>936</v>
      </c>
      <c r="B1873" s="16" t="s">
        <v>4472</v>
      </c>
      <c r="C1873" s="16" t="s">
        <v>4473</v>
      </c>
      <c r="D1873" s="16" t="s">
        <v>124</v>
      </c>
      <c r="E1873" s="16" t="s">
        <v>1126</v>
      </c>
      <c r="F1873" s="16" t="s">
        <v>4474</v>
      </c>
      <c r="G1873" s="16" t="s">
        <v>3021</v>
      </c>
      <c r="I1873" s="16" t="s">
        <v>4475</v>
      </c>
    </row>
    <row r="1874" spans="1:9" hidden="1" x14ac:dyDescent="0.35">
      <c r="A1874" s="16">
        <v>936</v>
      </c>
      <c r="B1874" s="16" t="s">
        <v>4476</v>
      </c>
      <c r="C1874" s="16" t="s">
        <v>4473</v>
      </c>
      <c r="D1874" s="16" t="s">
        <v>124</v>
      </c>
      <c r="E1874" s="16" t="s">
        <v>1126</v>
      </c>
      <c r="F1874" s="16" t="s">
        <v>4474</v>
      </c>
      <c r="G1874" s="16" t="s">
        <v>3021</v>
      </c>
      <c r="I1874" s="16" t="s">
        <v>4477</v>
      </c>
    </row>
    <row r="1875" spans="1:9" hidden="1" x14ac:dyDescent="0.35">
      <c r="A1875" s="16">
        <v>936</v>
      </c>
      <c r="B1875" s="16" t="s">
        <v>4478</v>
      </c>
      <c r="C1875" s="16" t="s">
        <v>4473</v>
      </c>
      <c r="D1875" s="16" t="s">
        <v>124</v>
      </c>
      <c r="E1875" s="16" t="s">
        <v>1126</v>
      </c>
      <c r="F1875" s="16" t="s">
        <v>4474</v>
      </c>
      <c r="G1875" s="16" t="s">
        <v>3021</v>
      </c>
      <c r="I1875" s="16" t="s">
        <v>4479</v>
      </c>
    </row>
    <row r="1876" spans="1:9" hidden="1" x14ac:dyDescent="0.35">
      <c r="A1876" s="16">
        <v>936</v>
      </c>
      <c r="B1876" s="16" t="s">
        <v>4480</v>
      </c>
      <c r="C1876" s="16" t="s">
        <v>4481</v>
      </c>
      <c r="D1876" s="16" t="s">
        <v>428</v>
      </c>
      <c r="E1876" s="16" t="s">
        <v>1126</v>
      </c>
      <c r="F1876" s="16" t="s">
        <v>4474</v>
      </c>
      <c r="G1876" s="16" t="s">
        <v>3021</v>
      </c>
      <c r="I1876" s="16" t="s">
        <v>4482</v>
      </c>
    </row>
    <row r="1877" spans="1:9" hidden="1" x14ac:dyDescent="0.35">
      <c r="A1877" s="16">
        <v>980</v>
      </c>
      <c r="B1877" s="16" t="s">
        <v>1966</v>
      </c>
      <c r="C1877" s="16" t="s">
        <v>2108</v>
      </c>
      <c r="D1877" s="16" t="s">
        <v>130</v>
      </c>
      <c r="E1877" s="16" t="s">
        <v>813</v>
      </c>
      <c r="F1877" s="16" t="s">
        <v>122</v>
      </c>
      <c r="G1877" s="16">
        <v>2004</v>
      </c>
      <c r="H1877" s="50" t="s">
        <v>404</v>
      </c>
      <c r="I1877" s="16" t="s">
        <v>4483</v>
      </c>
    </row>
    <row r="1878" spans="1:9" hidden="1" x14ac:dyDescent="0.35">
      <c r="A1878" s="16">
        <v>980</v>
      </c>
      <c r="B1878" s="16" t="s">
        <v>2195</v>
      </c>
      <c r="C1878" s="16" t="s">
        <v>3617</v>
      </c>
      <c r="D1878" s="16" t="s">
        <v>130</v>
      </c>
      <c r="E1878" s="16" t="s">
        <v>809</v>
      </c>
      <c r="F1878" s="16" t="s">
        <v>122</v>
      </c>
      <c r="G1878" s="16">
        <v>2004</v>
      </c>
      <c r="H1878" s="50" t="s">
        <v>404</v>
      </c>
      <c r="I1878" s="16" t="s">
        <v>4483</v>
      </c>
    </row>
    <row r="1879" spans="1:9" hidden="1" x14ac:dyDescent="0.35">
      <c r="A1879" s="16">
        <v>980</v>
      </c>
      <c r="B1879" s="16" t="s">
        <v>2561</v>
      </c>
      <c r="C1879" s="16" t="s">
        <v>4484</v>
      </c>
      <c r="D1879" s="16" t="s">
        <v>130</v>
      </c>
      <c r="E1879" s="16" t="s">
        <v>813</v>
      </c>
      <c r="F1879" s="16" t="s">
        <v>122</v>
      </c>
      <c r="G1879" s="16">
        <v>2004</v>
      </c>
      <c r="H1879" s="50" t="s">
        <v>404</v>
      </c>
      <c r="I1879" s="16" t="s">
        <v>4483</v>
      </c>
    </row>
    <row r="1880" spans="1:9" hidden="1" x14ac:dyDescent="0.35">
      <c r="A1880" s="16">
        <v>980</v>
      </c>
      <c r="B1880" s="16" t="s">
        <v>4485</v>
      </c>
      <c r="C1880" s="16" t="s">
        <v>633</v>
      </c>
      <c r="D1880" s="16" t="s">
        <v>130</v>
      </c>
      <c r="E1880" s="16" t="s">
        <v>813</v>
      </c>
      <c r="F1880" s="16" t="s">
        <v>122</v>
      </c>
      <c r="G1880" s="16">
        <v>2004</v>
      </c>
      <c r="H1880" s="50" t="s">
        <v>404</v>
      </c>
      <c r="I1880" s="16" t="s">
        <v>4483</v>
      </c>
    </row>
    <row r="1881" spans="1:9" hidden="1" x14ac:dyDescent="0.35">
      <c r="A1881" s="16">
        <v>980</v>
      </c>
      <c r="B1881" s="16" t="s">
        <v>4486</v>
      </c>
      <c r="C1881" s="16" t="s">
        <v>633</v>
      </c>
      <c r="D1881" s="16" t="s">
        <v>130</v>
      </c>
      <c r="E1881" s="16" t="s">
        <v>813</v>
      </c>
      <c r="F1881" s="16" t="s">
        <v>122</v>
      </c>
      <c r="G1881" s="16">
        <v>2004</v>
      </c>
      <c r="H1881" s="50" t="s">
        <v>404</v>
      </c>
      <c r="I1881" s="16" t="s">
        <v>4483</v>
      </c>
    </row>
    <row r="1882" spans="1:9" hidden="1" x14ac:dyDescent="0.35">
      <c r="A1882" s="16">
        <v>980</v>
      </c>
      <c r="B1882" s="16" t="s">
        <v>4487</v>
      </c>
      <c r="C1882" s="16" t="s">
        <v>2067</v>
      </c>
      <c r="D1882" s="16" t="s">
        <v>130</v>
      </c>
      <c r="E1882" s="16" t="s">
        <v>813</v>
      </c>
      <c r="F1882" s="16" t="s">
        <v>122</v>
      </c>
      <c r="G1882" s="16">
        <v>2004</v>
      </c>
      <c r="H1882" s="50" t="s">
        <v>404</v>
      </c>
      <c r="I1882" s="16" t="s">
        <v>4483</v>
      </c>
    </row>
    <row r="1883" spans="1:9" hidden="1" x14ac:dyDescent="0.35">
      <c r="A1883" s="16">
        <v>980</v>
      </c>
      <c r="B1883" s="16" t="s">
        <v>4488</v>
      </c>
      <c r="C1883" s="16" t="s">
        <v>2067</v>
      </c>
      <c r="D1883" s="16" t="s">
        <v>130</v>
      </c>
      <c r="E1883" s="16" t="s">
        <v>813</v>
      </c>
      <c r="F1883" s="16" t="s">
        <v>122</v>
      </c>
      <c r="G1883" s="16">
        <v>2004</v>
      </c>
      <c r="H1883" s="50" t="s">
        <v>404</v>
      </c>
      <c r="I1883" s="16" t="s">
        <v>4483</v>
      </c>
    </row>
    <row r="1884" spans="1:9" hidden="1" x14ac:dyDescent="0.35">
      <c r="A1884" s="16">
        <v>980</v>
      </c>
      <c r="B1884" s="16" t="s">
        <v>4489</v>
      </c>
      <c r="C1884" s="16" t="s">
        <v>2067</v>
      </c>
      <c r="D1884" s="16" t="s">
        <v>130</v>
      </c>
      <c r="E1884" s="16" t="s">
        <v>813</v>
      </c>
      <c r="F1884" s="16" t="s">
        <v>122</v>
      </c>
      <c r="G1884" s="16">
        <v>2004</v>
      </c>
      <c r="H1884" s="50" t="s">
        <v>404</v>
      </c>
      <c r="I1884" s="16" t="s">
        <v>4483</v>
      </c>
    </row>
    <row r="1885" spans="1:9" hidden="1" x14ac:dyDescent="0.35">
      <c r="A1885" s="16">
        <v>980</v>
      </c>
      <c r="B1885" s="16" t="s">
        <v>4490</v>
      </c>
      <c r="C1885" s="16" t="s">
        <v>2067</v>
      </c>
      <c r="D1885" s="16" t="s">
        <v>130</v>
      </c>
      <c r="E1885" s="16" t="s">
        <v>813</v>
      </c>
      <c r="F1885" s="16" t="s">
        <v>122</v>
      </c>
      <c r="G1885" s="16">
        <v>2004</v>
      </c>
      <c r="H1885" s="50" t="s">
        <v>404</v>
      </c>
      <c r="I1885" s="16" t="s">
        <v>4483</v>
      </c>
    </row>
    <row r="1886" spans="1:9" hidden="1" x14ac:dyDescent="0.35">
      <c r="A1886" s="16">
        <v>980</v>
      </c>
      <c r="B1886" s="16" t="s">
        <v>4491</v>
      </c>
      <c r="C1886" s="16" t="s">
        <v>2067</v>
      </c>
      <c r="D1886" s="16" t="s">
        <v>130</v>
      </c>
      <c r="E1886" s="16" t="s">
        <v>813</v>
      </c>
      <c r="F1886" s="16" t="s">
        <v>122</v>
      </c>
      <c r="G1886" s="16">
        <v>2004</v>
      </c>
      <c r="H1886" s="50" t="s">
        <v>404</v>
      </c>
      <c r="I1886" s="16" t="s">
        <v>4483</v>
      </c>
    </row>
    <row r="1887" spans="1:9" hidden="1" x14ac:dyDescent="0.35">
      <c r="A1887" s="16">
        <v>384</v>
      </c>
      <c r="B1887" s="16" t="s">
        <v>2192</v>
      </c>
      <c r="C1887" s="16" t="s">
        <v>633</v>
      </c>
      <c r="D1887" s="16" t="s">
        <v>130</v>
      </c>
      <c r="E1887" s="16" t="s">
        <v>809</v>
      </c>
      <c r="F1887" s="16" t="s">
        <v>4522</v>
      </c>
      <c r="G1887" s="16" t="s">
        <v>1377</v>
      </c>
      <c r="I1887" s="16" t="s">
        <v>4523</v>
      </c>
    </row>
    <row r="1888" spans="1:9" hidden="1" x14ac:dyDescent="0.35">
      <c r="A1888" s="16">
        <v>384</v>
      </c>
      <c r="B1888" s="16" t="s">
        <v>2191</v>
      </c>
      <c r="C1888" s="16" t="s">
        <v>633</v>
      </c>
      <c r="D1888" s="16" t="s">
        <v>130</v>
      </c>
      <c r="E1888" s="16" t="s">
        <v>809</v>
      </c>
      <c r="F1888" s="16" t="s">
        <v>4522</v>
      </c>
      <c r="G1888" s="16" t="s">
        <v>1377</v>
      </c>
      <c r="I1888" s="16" t="s">
        <v>4524</v>
      </c>
    </row>
    <row r="1889" spans="1:9" hidden="1" x14ac:dyDescent="0.35">
      <c r="A1889" s="16">
        <v>384</v>
      </c>
      <c r="B1889" s="16" t="s">
        <v>2188</v>
      </c>
      <c r="C1889" s="16" t="s">
        <v>633</v>
      </c>
      <c r="D1889" s="16" t="s">
        <v>130</v>
      </c>
      <c r="E1889" s="16" t="s">
        <v>809</v>
      </c>
      <c r="F1889" s="16" t="s">
        <v>4522</v>
      </c>
      <c r="G1889" s="16" t="s">
        <v>1377</v>
      </c>
      <c r="I1889" s="16" t="s">
        <v>4525</v>
      </c>
    </row>
    <row r="1890" spans="1:9" hidden="1" x14ac:dyDescent="0.35">
      <c r="A1890" s="16">
        <v>384</v>
      </c>
      <c r="B1890" s="16" t="s">
        <v>286</v>
      </c>
      <c r="C1890" s="16" t="s">
        <v>1967</v>
      </c>
      <c r="D1890" s="16" t="s">
        <v>130</v>
      </c>
      <c r="E1890" s="16" t="s">
        <v>813</v>
      </c>
      <c r="F1890" s="16" t="s">
        <v>4522</v>
      </c>
      <c r="G1890" s="16" t="s">
        <v>1377</v>
      </c>
      <c r="I1890" s="16" t="s">
        <v>4526</v>
      </c>
    </row>
    <row r="1891" spans="1:9" hidden="1" x14ac:dyDescent="0.35">
      <c r="A1891" s="16">
        <v>384</v>
      </c>
      <c r="B1891" s="16" t="s">
        <v>1998</v>
      </c>
      <c r="C1891" s="16" t="s">
        <v>4527</v>
      </c>
      <c r="D1891" s="16" t="s">
        <v>130</v>
      </c>
      <c r="E1891" s="16" t="s">
        <v>813</v>
      </c>
      <c r="F1891" s="16" t="s">
        <v>4522</v>
      </c>
      <c r="G1891" s="16" t="s">
        <v>1377</v>
      </c>
      <c r="I1891" s="16" t="s">
        <v>4528</v>
      </c>
    </row>
    <row r="1892" spans="1:9" hidden="1" x14ac:dyDescent="0.35">
      <c r="A1892" s="16">
        <v>384</v>
      </c>
      <c r="B1892" s="16" t="s">
        <v>4431</v>
      </c>
      <c r="C1892" s="16" t="s">
        <v>677</v>
      </c>
      <c r="D1892" s="16" t="s">
        <v>130</v>
      </c>
      <c r="E1892" s="16" t="s">
        <v>813</v>
      </c>
      <c r="F1892" s="16" t="s">
        <v>4522</v>
      </c>
      <c r="G1892" s="16" t="s">
        <v>1377</v>
      </c>
      <c r="I1892" s="16" t="s">
        <v>4529</v>
      </c>
    </row>
    <row r="1893" spans="1:9" hidden="1" x14ac:dyDescent="0.35">
      <c r="A1893" s="16">
        <v>384</v>
      </c>
      <c r="B1893" s="16" t="s">
        <v>1970</v>
      </c>
      <c r="C1893" s="16" t="s">
        <v>633</v>
      </c>
      <c r="D1893" s="16" t="s">
        <v>130</v>
      </c>
      <c r="E1893" s="16" t="s">
        <v>813</v>
      </c>
      <c r="F1893" s="16" t="s">
        <v>4522</v>
      </c>
      <c r="G1893" s="16" t="s">
        <v>1377</v>
      </c>
      <c r="I1893" s="16" t="s">
        <v>4530</v>
      </c>
    </row>
    <row r="1894" spans="1:9" hidden="1" x14ac:dyDescent="0.35">
      <c r="A1894" s="16">
        <v>384</v>
      </c>
      <c r="B1894" s="16" t="s">
        <v>289</v>
      </c>
      <c r="C1894" s="16" t="s">
        <v>633</v>
      </c>
      <c r="D1894" s="16" t="s">
        <v>130</v>
      </c>
      <c r="E1894" s="16" t="s">
        <v>813</v>
      </c>
      <c r="F1894" s="16" t="s">
        <v>4522</v>
      </c>
      <c r="G1894" s="16" t="s">
        <v>1377</v>
      </c>
      <c r="I1894" s="16" t="s">
        <v>4531</v>
      </c>
    </row>
    <row r="1895" spans="1:9" hidden="1" x14ac:dyDescent="0.35">
      <c r="A1895" s="16">
        <v>384</v>
      </c>
      <c r="B1895" s="16" t="s">
        <v>4445</v>
      </c>
      <c r="C1895" s="16" t="s">
        <v>2108</v>
      </c>
      <c r="D1895" s="16" t="s">
        <v>130</v>
      </c>
      <c r="E1895" s="16" t="s">
        <v>813</v>
      </c>
      <c r="F1895" s="16" t="s">
        <v>4522</v>
      </c>
      <c r="G1895" s="16" t="s">
        <v>1377</v>
      </c>
      <c r="I1895" s="16" t="s">
        <v>4532</v>
      </c>
    </row>
    <row r="1896" spans="1:9" hidden="1" x14ac:dyDescent="0.35">
      <c r="A1896" s="16">
        <v>384</v>
      </c>
      <c r="B1896" s="16" t="s">
        <v>4533</v>
      </c>
      <c r="C1896" s="16" t="s">
        <v>633</v>
      </c>
      <c r="D1896" s="16" t="s">
        <v>130</v>
      </c>
      <c r="E1896" s="16" t="s">
        <v>813</v>
      </c>
      <c r="F1896" s="16" t="s">
        <v>4522</v>
      </c>
      <c r="G1896" s="16" t="s">
        <v>1377</v>
      </c>
      <c r="I1896" s="16" t="s">
        <v>4534</v>
      </c>
    </row>
    <row r="1897" spans="1:9" hidden="1" x14ac:dyDescent="0.35">
      <c r="A1897" s="16">
        <v>384</v>
      </c>
      <c r="B1897" s="16" t="s">
        <v>290</v>
      </c>
      <c r="C1897" s="16" t="s">
        <v>1067</v>
      </c>
      <c r="D1897" s="16" t="s">
        <v>130</v>
      </c>
      <c r="E1897" s="16" t="s">
        <v>813</v>
      </c>
      <c r="F1897" s="16" t="s">
        <v>4522</v>
      </c>
      <c r="G1897" s="16" t="s">
        <v>1377</v>
      </c>
      <c r="I1897" s="16" t="s">
        <v>4535</v>
      </c>
    </row>
    <row r="1898" spans="1:9" hidden="1" x14ac:dyDescent="0.35">
      <c r="A1898" s="16">
        <v>384</v>
      </c>
      <c r="B1898" s="16" t="s">
        <v>3934</v>
      </c>
      <c r="C1898" s="16" t="s">
        <v>633</v>
      </c>
      <c r="D1898" s="16" t="s">
        <v>130</v>
      </c>
      <c r="E1898" s="16" t="s">
        <v>813</v>
      </c>
      <c r="F1898" s="16" t="s">
        <v>4522</v>
      </c>
      <c r="G1898" s="16" t="s">
        <v>1377</v>
      </c>
      <c r="I1898" s="16" t="s">
        <v>4536</v>
      </c>
    </row>
    <row r="1899" spans="1:9" hidden="1" x14ac:dyDescent="0.35">
      <c r="A1899" s="16">
        <v>384</v>
      </c>
      <c r="B1899" s="16" t="s">
        <v>4537</v>
      </c>
      <c r="C1899" s="16" t="s">
        <v>633</v>
      </c>
      <c r="D1899" s="16" t="s">
        <v>130</v>
      </c>
      <c r="E1899" s="16" t="s">
        <v>813</v>
      </c>
      <c r="F1899" s="16" t="s">
        <v>4522</v>
      </c>
      <c r="G1899" s="16" t="s">
        <v>1377</v>
      </c>
      <c r="I1899" s="16" t="s">
        <v>4538</v>
      </c>
    </row>
    <row r="1900" spans="1:9" hidden="1" x14ac:dyDescent="0.35">
      <c r="A1900" s="16">
        <v>384</v>
      </c>
      <c r="B1900" s="16" t="s">
        <v>291</v>
      </c>
      <c r="C1900" s="16" t="s">
        <v>633</v>
      </c>
      <c r="D1900" s="16" t="s">
        <v>130</v>
      </c>
      <c r="E1900" s="16" t="s">
        <v>813</v>
      </c>
      <c r="F1900" s="16" t="s">
        <v>4522</v>
      </c>
      <c r="G1900" s="16" t="s">
        <v>1377</v>
      </c>
      <c r="I1900" s="16" t="s">
        <v>4539</v>
      </c>
    </row>
    <row r="1901" spans="1:9" hidden="1" x14ac:dyDescent="0.35">
      <c r="A1901" s="16">
        <v>384</v>
      </c>
      <c r="B1901" s="16" t="s">
        <v>2070</v>
      </c>
      <c r="C1901" s="16" t="s">
        <v>4540</v>
      </c>
      <c r="D1901" s="16" t="s">
        <v>130</v>
      </c>
      <c r="E1901" s="16" t="s">
        <v>1118</v>
      </c>
      <c r="F1901" s="16" t="s">
        <v>4522</v>
      </c>
      <c r="G1901" s="16" t="s">
        <v>1377</v>
      </c>
      <c r="I1901" s="16" t="s">
        <v>4541</v>
      </c>
    </row>
    <row r="1902" spans="1:9" hidden="1" x14ac:dyDescent="0.35">
      <c r="A1902" s="16">
        <v>384</v>
      </c>
      <c r="B1902" s="16" t="s">
        <v>4435</v>
      </c>
      <c r="C1902" s="16" t="s">
        <v>4542</v>
      </c>
      <c r="D1902" s="16" t="s">
        <v>130</v>
      </c>
      <c r="E1902" s="16" t="s">
        <v>1118</v>
      </c>
      <c r="F1902" s="16" t="s">
        <v>4522</v>
      </c>
      <c r="G1902" s="16" t="s">
        <v>1377</v>
      </c>
      <c r="I1902" s="16" t="s">
        <v>4543</v>
      </c>
    </row>
    <row r="1903" spans="1:9" hidden="1" x14ac:dyDescent="0.35">
      <c r="A1903" s="16">
        <v>384</v>
      </c>
      <c r="B1903" s="16" t="s">
        <v>4544</v>
      </c>
      <c r="C1903" s="16" t="s">
        <v>4545</v>
      </c>
      <c r="D1903" s="16" t="s">
        <v>130</v>
      </c>
      <c r="E1903" s="16" t="s">
        <v>813</v>
      </c>
      <c r="F1903" s="16" t="s">
        <v>4522</v>
      </c>
      <c r="G1903" s="16" t="s">
        <v>1377</v>
      </c>
      <c r="I1903" s="16" t="s">
        <v>4546</v>
      </c>
    </row>
    <row r="1904" spans="1:9" hidden="1" x14ac:dyDescent="0.35">
      <c r="A1904" s="16">
        <v>384</v>
      </c>
      <c r="B1904" s="16" t="s">
        <v>2598</v>
      </c>
      <c r="C1904" s="16" t="s">
        <v>4547</v>
      </c>
      <c r="D1904" s="16" t="s">
        <v>130</v>
      </c>
      <c r="E1904" s="16" t="s">
        <v>813</v>
      </c>
      <c r="F1904" s="16" t="s">
        <v>4522</v>
      </c>
      <c r="G1904" s="16" t="s">
        <v>1377</v>
      </c>
      <c r="I1904" s="16" t="s">
        <v>4548</v>
      </c>
    </row>
    <row r="1905" spans="1:10" hidden="1" x14ac:dyDescent="0.35">
      <c r="A1905" s="16">
        <v>384</v>
      </c>
      <c r="B1905" s="16" t="s">
        <v>2563</v>
      </c>
      <c r="C1905" s="16" t="s">
        <v>4549</v>
      </c>
      <c r="D1905" s="16" t="s">
        <v>130</v>
      </c>
      <c r="E1905" s="16" t="s">
        <v>813</v>
      </c>
      <c r="F1905" s="16" t="s">
        <v>4522</v>
      </c>
      <c r="G1905" s="16" t="s">
        <v>1377</v>
      </c>
      <c r="I1905" s="16" t="s">
        <v>4550</v>
      </c>
    </row>
    <row r="1906" spans="1:10" hidden="1" x14ac:dyDescent="0.35">
      <c r="A1906" s="16">
        <v>384</v>
      </c>
      <c r="B1906" s="16" t="s">
        <v>4551</v>
      </c>
      <c r="C1906" s="16" t="s">
        <v>4547</v>
      </c>
      <c r="D1906" s="16" t="s">
        <v>130</v>
      </c>
      <c r="E1906" s="16" t="s">
        <v>813</v>
      </c>
      <c r="F1906" s="16" t="s">
        <v>4522</v>
      </c>
      <c r="G1906" s="16" t="s">
        <v>1377</v>
      </c>
      <c r="I1906" s="16" t="s">
        <v>4552</v>
      </c>
    </row>
    <row r="1907" spans="1:10" hidden="1" x14ac:dyDescent="0.35">
      <c r="A1907" s="16">
        <v>384</v>
      </c>
      <c r="B1907" s="16" t="s">
        <v>4553</v>
      </c>
      <c r="C1907" s="16" t="s">
        <v>4554</v>
      </c>
      <c r="D1907" s="16" t="s">
        <v>130</v>
      </c>
      <c r="E1907" s="16" t="s">
        <v>1118</v>
      </c>
      <c r="F1907" s="16" t="s">
        <v>4522</v>
      </c>
      <c r="G1907" s="16" t="s">
        <v>1377</v>
      </c>
      <c r="I1907" s="16" t="s">
        <v>4555</v>
      </c>
    </row>
    <row r="1908" spans="1:10" x14ac:dyDescent="0.35">
      <c r="A1908" s="16">
        <v>369</v>
      </c>
      <c r="B1908" s="16" t="s">
        <v>4556</v>
      </c>
      <c r="C1908" s="16" t="s">
        <v>633</v>
      </c>
      <c r="D1908" s="16" t="s">
        <v>124</v>
      </c>
      <c r="E1908" s="16" t="s">
        <v>538</v>
      </c>
      <c r="F1908" s="16" t="s">
        <v>413</v>
      </c>
      <c r="G1908" s="16" t="s">
        <v>4557</v>
      </c>
      <c r="I1908" s="16" t="s">
        <v>4558</v>
      </c>
      <c r="J1908" s="16" t="s">
        <v>4559</v>
      </c>
    </row>
    <row r="1909" spans="1:10" hidden="1" x14ac:dyDescent="0.35">
      <c r="A1909" s="16">
        <v>368</v>
      </c>
      <c r="B1909" s="16" t="s">
        <v>4560</v>
      </c>
      <c r="C1909" s="16" t="s">
        <v>633</v>
      </c>
      <c r="D1909" s="16" t="s">
        <v>130</v>
      </c>
      <c r="E1909" s="16" t="s">
        <v>538</v>
      </c>
      <c r="F1909" s="16" t="s">
        <v>3152</v>
      </c>
      <c r="G1909" s="16">
        <v>2008</v>
      </c>
      <c r="H1909" s="50" t="s">
        <v>405</v>
      </c>
      <c r="I1909" s="16" t="s">
        <v>4561</v>
      </c>
      <c r="J1909" s="16" t="s">
        <v>4559</v>
      </c>
    </row>
    <row r="1910" spans="1:10" hidden="1" x14ac:dyDescent="0.35">
      <c r="A1910" s="16">
        <v>368</v>
      </c>
      <c r="B1910" s="16" t="s">
        <v>4562</v>
      </c>
      <c r="C1910" s="16" t="s">
        <v>656</v>
      </c>
      <c r="D1910" s="16" t="s">
        <v>130</v>
      </c>
      <c r="E1910" s="16" t="s">
        <v>809</v>
      </c>
      <c r="F1910" s="16" t="s">
        <v>4563</v>
      </c>
      <c r="G1910" s="16">
        <v>2008</v>
      </c>
      <c r="H1910" s="50" t="s">
        <v>405</v>
      </c>
      <c r="I1910" s="16" t="s">
        <v>4564</v>
      </c>
    </row>
    <row r="1911" spans="1:10" hidden="1" x14ac:dyDescent="0.35">
      <c r="A1911" s="16">
        <v>368</v>
      </c>
      <c r="B1911" s="16" t="s">
        <v>4565</v>
      </c>
      <c r="C1911" s="16" t="s">
        <v>633</v>
      </c>
      <c r="D1911" s="16" t="s">
        <v>130</v>
      </c>
      <c r="E1911" s="16" t="s">
        <v>809</v>
      </c>
      <c r="F1911" s="16" t="s">
        <v>4563</v>
      </c>
      <c r="G1911" s="16">
        <v>2008</v>
      </c>
      <c r="H1911" s="50" t="s">
        <v>405</v>
      </c>
      <c r="I1911" s="16" t="s">
        <v>4564</v>
      </c>
    </row>
    <row r="1912" spans="1:10" hidden="1" x14ac:dyDescent="0.35">
      <c r="A1912" s="16">
        <v>368</v>
      </c>
      <c r="B1912" s="16" t="s">
        <v>4566</v>
      </c>
      <c r="C1912" s="16" t="s">
        <v>682</v>
      </c>
      <c r="D1912" s="16" t="s">
        <v>130</v>
      </c>
      <c r="E1912" s="16" t="s">
        <v>1021</v>
      </c>
      <c r="F1912" s="16" t="s">
        <v>4563</v>
      </c>
      <c r="G1912" s="16">
        <v>2008</v>
      </c>
      <c r="H1912" s="50" t="s">
        <v>405</v>
      </c>
      <c r="I1912" s="16" t="s">
        <v>4564</v>
      </c>
    </row>
    <row r="1913" spans="1:10" hidden="1" x14ac:dyDescent="0.35">
      <c r="A1913" s="16">
        <v>368</v>
      </c>
      <c r="B1913" s="16" t="s">
        <v>4567</v>
      </c>
      <c r="C1913" s="16" t="s">
        <v>4568</v>
      </c>
      <c r="D1913" s="16" t="s">
        <v>130</v>
      </c>
      <c r="E1913" s="16" t="s">
        <v>1021</v>
      </c>
      <c r="F1913" s="16" t="s">
        <v>4563</v>
      </c>
      <c r="G1913" s="16">
        <v>2008</v>
      </c>
      <c r="H1913" s="50" t="s">
        <v>405</v>
      </c>
      <c r="I1913" s="16" t="s">
        <v>4564</v>
      </c>
    </row>
    <row r="1914" spans="1:10" hidden="1" x14ac:dyDescent="0.35">
      <c r="A1914" s="16">
        <v>364</v>
      </c>
      <c r="B1914" s="16" t="s">
        <v>286</v>
      </c>
      <c r="C1914" s="16" t="s">
        <v>1967</v>
      </c>
      <c r="D1914" s="16" t="s">
        <v>130</v>
      </c>
      <c r="E1914" s="16" t="s">
        <v>813</v>
      </c>
      <c r="F1914" s="16" t="s">
        <v>4522</v>
      </c>
      <c r="G1914" s="16" t="s">
        <v>1519</v>
      </c>
      <c r="I1914" s="16" t="s">
        <v>4569</v>
      </c>
    </row>
    <row r="1915" spans="1:10" hidden="1" x14ac:dyDescent="0.35">
      <c r="A1915" s="16">
        <v>364</v>
      </c>
      <c r="B1915" s="16" t="s">
        <v>3630</v>
      </c>
      <c r="C1915" s="16" t="s">
        <v>4527</v>
      </c>
      <c r="D1915" s="16" t="s">
        <v>130</v>
      </c>
      <c r="E1915" s="16" t="s">
        <v>813</v>
      </c>
      <c r="F1915" s="16" t="s">
        <v>4522</v>
      </c>
      <c r="G1915" s="16" t="s">
        <v>1519</v>
      </c>
      <c r="I1915" s="16" t="s">
        <v>4570</v>
      </c>
    </row>
    <row r="1916" spans="1:10" hidden="1" x14ac:dyDescent="0.35">
      <c r="A1916" s="16">
        <v>364</v>
      </c>
      <c r="B1916" s="16" t="s">
        <v>1970</v>
      </c>
      <c r="C1916" s="16" t="s">
        <v>4571</v>
      </c>
      <c r="D1916" s="16" t="s">
        <v>130</v>
      </c>
      <c r="E1916" s="16" t="s">
        <v>813</v>
      </c>
      <c r="F1916" s="16" t="s">
        <v>4522</v>
      </c>
      <c r="G1916" s="16" t="s">
        <v>1519</v>
      </c>
      <c r="I1916" s="16" t="s">
        <v>4572</v>
      </c>
    </row>
    <row r="1917" spans="1:10" hidden="1" x14ac:dyDescent="0.35">
      <c r="A1917" s="16">
        <v>364</v>
      </c>
      <c r="B1917" s="16" t="s">
        <v>2070</v>
      </c>
      <c r="C1917" s="16" t="s">
        <v>4573</v>
      </c>
      <c r="D1917" s="16" t="s">
        <v>130</v>
      </c>
      <c r="E1917" s="16" t="s">
        <v>1118</v>
      </c>
      <c r="F1917" s="16" t="s">
        <v>4522</v>
      </c>
      <c r="G1917" s="16" t="s">
        <v>1519</v>
      </c>
      <c r="I1917" s="16" t="s">
        <v>4574</v>
      </c>
    </row>
    <row r="1918" spans="1:10" hidden="1" x14ac:dyDescent="0.35">
      <c r="A1918" s="16">
        <v>364</v>
      </c>
      <c r="B1918" s="16" t="s">
        <v>4435</v>
      </c>
      <c r="C1918" s="16" t="s">
        <v>4575</v>
      </c>
      <c r="D1918" s="16" t="s">
        <v>130</v>
      </c>
      <c r="E1918" s="16" t="s">
        <v>1118</v>
      </c>
      <c r="F1918" s="16" t="s">
        <v>4522</v>
      </c>
      <c r="G1918" s="16" t="s">
        <v>1519</v>
      </c>
      <c r="I1918" s="16" t="s">
        <v>4574</v>
      </c>
    </row>
    <row r="1919" spans="1:10" hidden="1" x14ac:dyDescent="0.35">
      <c r="A1919" s="16">
        <v>364</v>
      </c>
      <c r="B1919" s="16" t="s">
        <v>4544</v>
      </c>
      <c r="C1919" s="16" t="s">
        <v>4576</v>
      </c>
      <c r="D1919" s="16" t="s">
        <v>130</v>
      </c>
      <c r="E1919" s="16" t="s">
        <v>813</v>
      </c>
      <c r="F1919" s="16" t="s">
        <v>4522</v>
      </c>
      <c r="G1919" s="16" t="s">
        <v>1519</v>
      </c>
      <c r="I1919" s="16" t="s">
        <v>4577</v>
      </c>
      <c r="J1919" s="16" t="s">
        <v>4578</v>
      </c>
    </row>
    <row r="1920" spans="1:10" hidden="1" x14ac:dyDescent="0.35">
      <c r="A1920" s="16">
        <v>364</v>
      </c>
      <c r="B1920" s="16" t="s">
        <v>2563</v>
      </c>
      <c r="C1920" s="16" t="s">
        <v>4549</v>
      </c>
      <c r="D1920" s="16" t="s">
        <v>130</v>
      </c>
      <c r="E1920" s="16" t="s">
        <v>813</v>
      </c>
      <c r="F1920" s="16" t="s">
        <v>4522</v>
      </c>
      <c r="G1920" s="16" t="s">
        <v>1519</v>
      </c>
      <c r="I1920" s="16" t="s">
        <v>4579</v>
      </c>
      <c r="J1920" s="16" t="s">
        <v>4578</v>
      </c>
    </row>
    <row r="1921" spans="1:10" hidden="1" x14ac:dyDescent="0.35">
      <c r="A1921" s="16">
        <v>364</v>
      </c>
      <c r="B1921" s="16" t="s">
        <v>4551</v>
      </c>
      <c r="C1921" s="16" t="s">
        <v>4580</v>
      </c>
      <c r="D1921" s="16" t="s">
        <v>130</v>
      </c>
      <c r="E1921" s="16" t="s">
        <v>813</v>
      </c>
      <c r="F1921" s="16" t="s">
        <v>4522</v>
      </c>
      <c r="G1921" s="16" t="s">
        <v>1519</v>
      </c>
      <c r="I1921" s="16" t="s">
        <v>4581</v>
      </c>
      <c r="J1921" s="16" t="s">
        <v>4578</v>
      </c>
    </row>
    <row r="1922" spans="1:10" hidden="1" x14ac:dyDescent="0.35">
      <c r="A1922" s="16">
        <v>364</v>
      </c>
      <c r="B1922" s="16" t="s">
        <v>2598</v>
      </c>
      <c r="C1922" s="16" t="s">
        <v>4580</v>
      </c>
      <c r="D1922" s="16" t="s">
        <v>130</v>
      </c>
      <c r="E1922" s="16" t="s">
        <v>813</v>
      </c>
      <c r="F1922" s="16" t="s">
        <v>4522</v>
      </c>
      <c r="G1922" s="16" t="s">
        <v>1519</v>
      </c>
      <c r="I1922" s="16" t="s">
        <v>4582</v>
      </c>
      <c r="J1922" s="16" t="s">
        <v>4578</v>
      </c>
    </row>
    <row r="1923" spans="1:10" hidden="1" x14ac:dyDescent="0.35">
      <c r="A1923" s="16">
        <v>364</v>
      </c>
      <c r="B1923" s="16" t="s">
        <v>4583</v>
      </c>
      <c r="C1923" s="16" t="s">
        <v>4580</v>
      </c>
      <c r="D1923" s="16" t="s">
        <v>130</v>
      </c>
      <c r="E1923" s="16" t="s">
        <v>813</v>
      </c>
      <c r="F1923" s="16" t="s">
        <v>4522</v>
      </c>
      <c r="G1923" s="16" t="s">
        <v>1519</v>
      </c>
      <c r="I1923" s="16" t="s">
        <v>4584</v>
      </c>
      <c r="J1923" s="16" t="s">
        <v>4578</v>
      </c>
    </row>
    <row r="1924" spans="1:10" hidden="1" x14ac:dyDescent="0.35">
      <c r="A1924" s="16">
        <v>364</v>
      </c>
      <c r="B1924" s="16" t="s">
        <v>2072</v>
      </c>
      <c r="C1924" s="16" t="s">
        <v>2108</v>
      </c>
      <c r="D1924" s="16" t="s">
        <v>130</v>
      </c>
      <c r="E1924" s="16" t="s">
        <v>1126</v>
      </c>
      <c r="F1924" s="16" t="s">
        <v>4522</v>
      </c>
      <c r="G1924" s="16" t="s">
        <v>1519</v>
      </c>
      <c r="I1924" s="16" t="s">
        <v>2427</v>
      </c>
    </row>
    <row r="1925" spans="1:10" hidden="1" x14ac:dyDescent="0.35">
      <c r="A1925" s="16">
        <v>347</v>
      </c>
      <c r="B1925" s="16" t="s">
        <v>286</v>
      </c>
      <c r="C1925" s="16" t="s">
        <v>1967</v>
      </c>
      <c r="D1925" s="16" t="s">
        <v>130</v>
      </c>
      <c r="E1925" s="16" t="s">
        <v>813</v>
      </c>
      <c r="F1925" s="16" t="s">
        <v>4522</v>
      </c>
      <c r="G1925" s="16" t="s">
        <v>1504</v>
      </c>
      <c r="I1925" s="16" t="s">
        <v>4585</v>
      </c>
    </row>
    <row r="1926" spans="1:10" hidden="1" x14ac:dyDescent="0.35">
      <c r="A1926" s="16">
        <v>347</v>
      </c>
      <c r="B1926" s="16" t="s">
        <v>3630</v>
      </c>
      <c r="C1926" s="16" t="s">
        <v>4586</v>
      </c>
      <c r="D1926" s="16" t="s">
        <v>130</v>
      </c>
      <c r="E1926" s="16" t="s">
        <v>813</v>
      </c>
      <c r="F1926" s="16" t="s">
        <v>4522</v>
      </c>
      <c r="G1926" s="16" t="s">
        <v>1504</v>
      </c>
      <c r="I1926" s="16" t="s">
        <v>4585</v>
      </c>
    </row>
    <row r="1927" spans="1:10" hidden="1" x14ac:dyDescent="0.35">
      <c r="A1927" s="16">
        <v>347</v>
      </c>
      <c r="B1927" s="16" t="s">
        <v>4431</v>
      </c>
      <c r="C1927" s="16" t="s">
        <v>633</v>
      </c>
      <c r="D1927" s="16" t="s">
        <v>130</v>
      </c>
      <c r="E1927" s="16" t="s">
        <v>813</v>
      </c>
      <c r="F1927" s="16" t="s">
        <v>4522</v>
      </c>
      <c r="G1927" s="16" t="s">
        <v>1504</v>
      </c>
      <c r="I1927" s="16" t="s">
        <v>4587</v>
      </c>
    </row>
    <row r="1928" spans="1:10" hidden="1" x14ac:dyDescent="0.35">
      <c r="A1928" s="16">
        <v>347</v>
      </c>
      <c r="B1928" s="16" t="s">
        <v>4588</v>
      </c>
      <c r="C1928" s="16" t="s">
        <v>633</v>
      </c>
      <c r="D1928" s="16" t="s">
        <v>130</v>
      </c>
      <c r="E1928" s="16" t="s">
        <v>809</v>
      </c>
      <c r="F1928" s="16" t="s">
        <v>4522</v>
      </c>
      <c r="G1928" s="16" t="s">
        <v>1504</v>
      </c>
      <c r="I1928" s="16" t="s">
        <v>4589</v>
      </c>
    </row>
    <row r="1929" spans="1:10" hidden="1" x14ac:dyDescent="0.35">
      <c r="A1929" s="16">
        <v>347</v>
      </c>
      <c r="B1929" s="16" t="s">
        <v>229</v>
      </c>
      <c r="C1929" s="16" t="s">
        <v>633</v>
      </c>
      <c r="D1929" s="16" t="s">
        <v>130</v>
      </c>
      <c r="E1929" s="16" t="s">
        <v>809</v>
      </c>
      <c r="F1929" s="16" t="s">
        <v>4522</v>
      </c>
      <c r="G1929" s="16" t="s">
        <v>1504</v>
      </c>
      <c r="I1929" s="16" t="s">
        <v>4590</v>
      </c>
    </row>
    <row r="1930" spans="1:10" hidden="1" x14ac:dyDescent="0.35">
      <c r="A1930" s="16">
        <v>347</v>
      </c>
      <c r="B1930" s="16" t="s">
        <v>4435</v>
      </c>
      <c r="C1930" s="16" t="s">
        <v>4591</v>
      </c>
      <c r="D1930" s="16" t="s">
        <v>130</v>
      </c>
      <c r="E1930" s="16" t="s">
        <v>1118</v>
      </c>
      <c r="F1930" s="16" t="s">
        <v>4522</v>
      </c>
      <c r="G1930" s="16" t="s">
        <v>1504</v>
      </c>
      <c r="I1930" s="16" t="s">
        <v>4592</v>
      </c>
    </row>
    <row r="1931" spans="1:10" hidden="1" x14ac:dyDescent="0.35">
      <c r="A1931" s="16">
        <v>347</v>
      </c>
      <c r="B1931" s="16" t="s">
        <v>4742</v>
      </c>
      <c r="C1931" s="16" t="s">
        <v>4593</v>
      </c>
      <c r="D1931" s="16" t="s">
        <v>130</v>
      </c>
      <c r="E1931" s="16" t="s">
        <v>1118</v>
      </c>
      <c r="F1931" s="16" t="s">
        <v>4522</v>
      </c>
      <c r="G1931" s="16" t="s">
        <v>1504</v>
      </c>
      <c r="I1931" s="16" t="s">
        <v>4594</v>
      </c>
    </row>
    <row r="1932" spans="1:10" hidden="1" x14ac:dyDescent="0.35">
      <c r="A1932" s="16">
        <v>347</v>
      </c>
      <c r="B1932" s="16" t="s">
        <v>4438</v>
      </c>
      <c r="C1932" s="16" t="s">
        <v>4595</v>
      </c>
      <c r="D1932" s="16" t="s">
        <v>130</v>
      </c>
      <c r="E1932" s="16" t="s">
        <v>1118</v>
      </c>
      <c r="F1932" s="16" t="s">
        <v>4522</v>
      </c>
      <c r="G1932" s="16" t="s">
        <v>1504</v>
      </c>
      <c r="I1932" s="16" t="s">
        <v>4596</v>
      </c>
    </row>
    <row r="1933" spans="1:10" hidden="1" x14ac:dyDescent="0.35">
      <c r="A1933" s="16">
        <v>347</v>
      </c>
      <c r="B1933" s="16" t="s">
        <v>2563</v>
      </c>
      <c r="C1933" s="16" t="s">
        <v>4549</v>
      </c>
      <c r="D1933" s="16" t="s">
        <v>130</v>
      </c>
      <c r="E1933" s="16" t="s">
        <v>1118</v>
      </c>
      <c r="F1933" s="16" t="s">
        <v>4522</v>
      </c>
      <c r="G1933" s="16" t="s">
        <v>1504</v>
      </c>
      <c r="I1933" s="16" t="s">
        <v>4597</v>
      </c>
    </row>
    <row r="1934" spans="1:10" hidden="1" x14ac:dyDescent="0.35">
      <c r="A1934" s="16">
        <v>347</v>
      </c>
      <c r="B1934" s="16" t="s">
        <v>4598</v>
      </c>
      <c r="C1934" s="16" t="s">
        <v>4599</v>
      </c>
      <c r="D1934" s="16" t="s">
        <v>130</v>
      </c>
      <c r="E1934" s="16" t="s">
        <v>1118</v>
      </c>
      <c r="F1934" s="16" t="s">
        <v>4522</v>
      </c>
      <c r="G1934" s="16" t="s">
        <v>1504</v>
      </c>
      <c r="I1934" s="16" t="s">
        <v>4600</v>
      </c>
    </row>
    <row r="1935" spans="1:10" hidden="1" x14ac:dyDescent="0.35">
      <c r="A1935" s="16">
        <v>347</v>
      </c>
      <c r="B1935" s="16" t="s">
        <v>2598</v>
      </c>
      <c r="C1935" s="16" t="s">
        <v>4599</v>
      </c>
      <c r="D1935" s="16" t="s">
        <v>130</v>
      </c>
      <c r="E1935" s="16" t="s">
        <v>1118</v>
      </c>
      <c r="F1935" s="16" t="s">
        <v>4522</v>
      </c>
      <c r="G1935" s="16" t="s">
        <v>1504</v>
      </c>
      <c r="I1935" s="16" t="s">
        <v>4601</v>
      </c>
    </row>
    <row r="1936" spans="1:10" hidden="1" x14ac:dyDescent="0.35">
      <c r="A1936" s="16">
        <v>347</v>
      </c>
      <c r="B1936" s="16" t="s">
        <v>2450</v>
      </c>
      <c r="C1936" s="16" t="s">
        <v>633</v>
      </c>
      <c r="D1936" s="16" t="s">
        <v>124</v>
      </c>
      <c r="E1936" s="16" t="s">
        <v>559</v>
      </c>
      <c r="F1936" s="16" t="s">
        <v>4602</v>
      </c>
      <c r="G1936" s="16" t="s">
        <v>1504</v>
      </c>
      <c r="I1936" s="16" t="s">
        <v>4603</v>
      </c>
      <c r="J1936" s="16" t="s">
        <v>2932</v>
      </c>
    </row>
    <row r="1937" spans="1:10" hidden="1" x14ac:dyDescent="0.35">
      <c r="A1937" s="16">
        <v>347</v>
      </c>
      <c r="B1937" s="16" t="s">
        <v>174</v>
      </c>
      <c r="C1937" s="16" t="s">
        <v>4604</v>
      </c>
      <c r="D1937" s="16" t="s">
        <v>124</v>
      </c>
      <c r="E1937" s="16" t="s">
        <v>539</v>
      </c>
      <c r="F1937" s="16" t="s">
        <v>4602</v>
      </c>
      <c r="G1937" s="16" t="s">
        <v>1504</v>
      </c>
      <c r="I1937" s="16" t="s">
        <v>4605</v>
      </c>
    </row>
    <row r="1938" spans="1:10" hidden="1" x14ac:dyDescent="0.35">
      <c r="A1938" s="16">
        <v>347</v>
      </c>
      <c r="B1938" s="16" t="s">
        <v>4415</v>
      </c>
      <c r="C1938" s="16" t="s">
        <v>2108</v>
      </c>
      <c r="D1938" s="16" t="s">
        <v>124</v>
      </c>
      <c r="E1938" s="16" t="s">
        <v>539</v>
      </c>
      <c r="F1938" s="16" t="s">
        <v>4602</v>
      </c>
      <c r="G1938" s="16" t="s">
        <v>1504</v>
      </c>
      <c r="I1938" s="16" t="s">
        <v>4606</v>
      </c>
    </row>
    <row r="1939" spans="1:10" hidden="1" x14ac:dyDescent="0.35">
      <c r="A1939" s="16">
        <v>329</v>
      </c>
      <c r="B1939" s="16" t="s">
        <v>1966</v>
      </c>
      <c r="C1939" s="16" t="s">
        <v>1967</v>
      </c>
      <c r="D1939" s="16" t="s">
        <v>130</v>
      </c>
      <c r="E1939" s="16" t="s">
        <v>813</v>
      </c>
      <c r="F1939" s="16" t="s">
        <v>4607</v>
      </c>
      <c r="G1939" s="16" t="s">
        <v>4608</v>
      </c>
      <c r="I1939" s="16" t="s">
        <v>4609</v>
      </c>
      <c r="J1939" s="16" t="s">
        <v>4610</v>
      </c>
    </row>
    <row r="1940" spans="1:10" hidden="1" x14ac:dyDescent="0.35">
      <c r="A1940" s="16">
        <v>329</v>
      </c>
      <c r="B1940" s="16" t="s">
        <v>1964</v>
      </c>
      <c r="C1940" s="16" t="s">
        <v>633</v>
      </c>
      <c r="D1940" s="16" t="s">
        <v>130</v>
      </c>
      <c r="E1940" s="16" t="s">
        <v>813</v>
      </c>
      <c r="F1940" s="16" t="s">
        <v>4607</v>
      </c>
      <c r="G1940" s="16" t="s">
        <v>4608</v>
      </c>
      <c r="I1940" s="16" t="s">
        <v>4609</v>
      </c>
      <c r="J1940" s="16" t="s">
        <v>4610</v>
      </c>
    </row>
    <row r="1941" spans="1:10" hidden="1" x14ac:dyDescent="0.35">
      <c r="A1941" s="16">
        <v>329</v>
      </c>
      <c r="B1941" s="16" t="s">
        <v>2085</v>
      </c>
      <c r="C1941" s="16" t="s">
        <v>633</v>
      </c>
      <c r="D1941" s="16" t="s">
        <v>130</v>
      </c>
      <c r="E1941" s="16" t="s">
        <v>813</v>
      </c>
      <c r="F1941" s="16" t="s">
        <v>4607</v>
      </c>
      <c r="G1941" s="16" t="s">
        <v>4608</v>
      </c>
      <c r="I1941" s="16" t="s">
        <v>4609</v>
      </c>
      <c r="J1941" s="16" t="s">
        <v>4610</v>
      </c>
    </row>
    <row r="1942" spans="1:10" hidden="1" x14ac:dyDescent="0.35">
      <c r="A1942" s="16">
        <v>329</v>
      </c>
      <c r="B1942" s="16" t="s">
        <v>4468</v>
      </c>
      <c r="C1942" s="16" t="s">
        <v>4611</v>
      </c>
      <c r="D1942" s="16" t="s">
        <v>130</v>
      </c>
      <c r="E1942" s="16" t="s">
        <v>809</v>
      </c>
      <c r="F1942" s="16" t="s">
        <v>4607</v>
      </c>
      <c r="G1942" s="16" t="s">
        <v>4608</v>
      </c>
      <c r="I1942" s="16" t="s">
        <v>4609</v>
      </c>
      <c r="J1942" s="16" t="s">
        <v>4610</v>
      </c>
    </row>
    <row r="1943" spans="1:10" hidden="1" x14ac:dyDescent="0.35">
      <c r="A1943" s="16">
        <v>329</v>
      </c>
      <c r="B1943" s="16" t="s">
        <v>537</v>
      </c>
      <c r="C1943" s="16" t="s">
        <v>1673</v>
      </c>
      <c r="D1943" s="16" t="s">
        <v>124</v>
      </c>
      <c r="E1943" s="16" t="s">
        <v>536</v>
      </c>
      <c r="F1943" s="16" t="s">
        <v>4612</v>
      </c>
      <c r="G1943" s="16" t="s">
        <v>4608</v>
      </c>
      <c r="I1943" s="16" t="s">
        <v>4609</v>
      </c>
      <c r="J1943" s="16" t="s">
        <v>4610</v>
      </c>
    </row>
    <row r="1944" spans="1:10" hidden="1" x14ac:dyDescent="0.35">
      <c r="A1944" s="16">
        <v>329</v>
      </c>
      <c r="B1944" s="16" t="s">
        <v>821</v>
      </c>
      <c r="C1944" s="16" t="s">
        <v>656</v>
      </c>
      <c r="D1944" s="16" t="s">
        <v>124</v>
      </c>
      <c r="E1944" s="16" t="s">
        <v>536</v>
      </c>
      <c r="F1944" s="16" t="s">
        <v>4612</v>
      </c>
      <c r="G1944" s="16" t="s">
        <v>4608</v>
      </c>
      <c r="I1944" s="16" t="s">
        <v>4609</v>
      </c>
      <c r="J1944" s="16" t="s">
        <v>4610</v>
      </c>
    </row>
    <row r="1945" spans="1:10" hidden="1" x14ac:dyDescent="0.35">
      <c r="A1945" s="16">
        <v>329</v>
      </c>
      <c r="B1945" s="16" t="s">
        <v>386</v>
      </c>
      <c r="C1945" s="16" t="s">
        <v>656</v>
      </c>
      <c r="D1945" s="16" t="s">
        <v>124</v>
      </c>
      <c r="E1945" s="16" t="s">
        <v>536</v>
      </c>
      <c r="F1945" s="16" t="s">
        <v>4612</v>
      </c>
      <c r="G1945" s="16" t="s">
        <v>4608</v>
      </c>
      <c r="I1945" s="16" t="s">
        <v>4609</v>
      </c>
      <c r="J1945" s="16" t="s">
        <v>4610</v>
      </c>
    </row>
    <row r="1946" spans="1:10" hidden="1" x14ac:dyDescent="0.35">
      <c r="A1946" s="16">
        <v>329</v>
      </c>
      <c r="B1946" s="16" t="s">
        <v>4613</v>
      </c>
      <c r="C1946" s="16" t="s">
        <v>656</v>
      </c>
      <c r="D1946" s="16" t="s">
        <v>124</v>
      </c>
      <c r="E1946" s="16" t="s">
        <v>536</v>
      </c>
      <c r="F1946" s="16" t="s">
        <v>4612</v>
      </c>
      <c r="G1946" s="16" t="s">
        <v>4608</v>
      </c>
      <c r="I1946" s="16" t="s">
        <v>4609</v>
      </c>
      <c r="J1946" s="16" t="s">
        <v>4610</v>
      </c>
    </row>
    <row r="1947" spans="1:10" hidden="1" x14ac:dyDescent="0.35">
      <c r="A1947" s="16">
        <v>329</v>
      </c>
      <c r="B1947" s="16" t="s">
        <v>4614</v>
      </c>
      <c r="C1947" s="16" t="s">
        <v>656</v>
      </c>
      <c r="D1947" s="16" t="s">
        <v>124</v>
      </c>
      <c r="E1947" s="16" t="s">
        <v>536</v>
      </c>
      <c r="F1947" s="16" t="s">
        <v>4612</v>
      </c>
      <c r="G1947" s="16" t="s">
        <v>4608</v>
      </c>
      <c r="I1947" s="16" t="s">
        <v>4609</v>
      </c>
      <c r="J1947" s="16" t="s">
        <v>4610</v>
      </c>
    </row>
    <row r="1948" spans="1:10" hidden="1" x14ac:dyDescent="0.35">
      <c r="A1948" s="16">
        <v>329</v>
      </c>
      <c r="B1948" s="16" t="s">
        <v>4615</v>
      </c>
      <c r="C1948" s="16" t="s">
        <v>663</v>
      </c>
      <c r="D1948" s="16" t="s">
        <v>124</v>
      </c>
      <c r="E1948" s="16" t="s">
        <v>536</v>
      </c>
      <c r="F1948" s="16" t="s">
        <v>4612</v>
      </c>
      <c r="G1948" s="16" t="s">
        <v>4608</v>
      </c>
      <c r="I1948" s="16" t="s">
        <v>4609</v>
      </c>
      <c r="J1948" s="16" t="s">
        <v>4610</v>
      </c>
    </row>
    <row r="1949" spans="1:10" hidden="1" x14ac:dyDescent="0.35">
      <c r="A1949" s="16">
        <v>329</v>
      </c>
      <c r="B1949" s="16" t="s">
        <v>4616</v>
      </c>
      <c r="C1949" s="16" t="s">
        <v>663</v>
      </c>
      <c r="D1949" s="16" t="s">
        <v>124</v>
      </c>
      <c r="E1949" s="16" t="s">
        <v>536</v>
      </c>
      <c r="F1949" s="16" t="s">
        <v>4612</v>
      </c>
      <c r="G1949" s="16" t="s">
        <v>4608</v>
      </c>
      <c r="I1949" s="16" t="s">
        <v>4609</v>
      </c>
      <c r="J1949" s="16" t="s">
        <v>4610</v>
      </c>
    </row>
    <row r="1950" spans="1:10" hidden="1" x14ac:dyDescent="0.35">
      <c r="A1950" s="16">
        <v>329</v>
      </c>
      <c r="B1950" s="16" t="s">
        <v>4617</v>
      </c>
      <c r="C1950" s="16" t="s">
        <v>663</v>
      </c>
      <c r="D1950" s="16" t="s">
        <v>124</v>
      </c>
      <c r="E1950" s="16" t="s">
        <v>536</v>
      </c>
      <c r="F1950" s="16" t="s">
        <v>4612</v>
      </c>
      <c r="G1950" s="16" t="s">
        <v>4608</v>
      </c>
      <c r="I1950" s="16" t="s">
        <v>4609</v>
      </c>
      <c r="J1950" s="16" t="s">
        <v>4610</v>
      </c>
    </row>
    <row r="1951" spans="1:10" hidden="1" x14ac:dyDescent="0.35">
      <c r="A1951" s="16">
        <v>329</v>
      </c>
      <c r="B1951" s="16" t="s">
        <v>4618</v>
      </c>
      <c r="C1951" s="16" t="s">
        <v>2108</v>
      </c>
      <c r="D1951" s="16" t="s">
        <v>124</v>
      </c>
      <c r="E1951" s="16" t="s">
        <v>536</v>
      </c>
      <c r="F1951" s="16" t="s">
        <v>4612</v>
      </c>
      <c r="G1951" s="16" t="s">
        <v>4608</v>
      </c>
      <c r="I1951" s="16" t="s">
        <v>4609</v>
      </c>
      <c r="J1951" s="16" t="s">
        <v>4610</v>
      </c>
    </row>
    <row r="1952" spans="1:10" x14ac:dyDescent="0.35">
      <c r="A1952" s="16">
        <v>323</v>
      </c>
      <c r="B1952" s="16" t="s">
        <v>192</v>
      </c>
      <c r="C1952" s="16" t="s">
        <v>649</v>
      </c>
      <c r="D1952" s="16" t="s">
        <v>124</v>
      </c>
      <c r="E1952" s="16" t="s">
        <v>536</v>
      </c>
      <c r="F1952" s="16" t="s">
        <v>4619</v>
      </c>
      <c r="G1952" s="16" t="s">
        <v>1463</v>
      </c>
      <c r="I1952" s="16" t="s">
        <v>4620</v>
      </c>
      <c r="J1952" s="16" t="s">
        <v>4610</v>
      </c>
    </row>
    <row r="1953" spans="1:10" x14ac:dyDescent="0.35">
      <c r="A1953" s="16">
        <v>323</v>
      </c>
      <c r="B1953" s="16" t="s">
        <v>4621</v>
      </c>
      <c r="C1953" s="16" t="s">
        <v>633</v>
      </c>
      <c r="D1953" s="16" t="s">
        <v>124</v>
      </c>
      <c r="E1953" s="16" t="s">
        <v>536</v>
      </c>
      <c r="F1953" s="16" t="s">
        <v>4619</v>
      </c>
      <c r="G1953" s="16" t="s">
        <v>1463</v>
      </c>
      <c r="I1953" s="16" t="s">
        <v>4620</v>
      </c>
      <c r="J1953" s="16" t="s">
        <v>4610</v>
      </c>
    </row>
    <row r="1954" spans="1:10" x14ac:dyDescent="0.35">
      <c r="A1954" s="16">
        <v>323</v>
      </c>
      <c r="B1954" s="16" t="s">
        <v>4622</v>
      </c>
      <c r="C1954" s="16" t="s">
        <v>626</v>
      </c>
      <c r="D1954" s="16" t="s">
        <v>124</v>
      </c>
      <c r="E1954" s="16" t="s">
        <v>536</v>
      </c>
      <c r="F1954" s="16" t="s">
        <v>4619</v>
      </c>
      <c r="G1954" s="16" t="s">
        <v>1463</v>
      </c>
      <c r="I1954" s="16" t="s">
        <v>4620</v>
      </c>
      <c r="J1954" s="16" t="s">
        <v>4610</v>
      </c>
    </row>
    <row r="1955" spans="1:10" hidden="1" x14ac:dyDescent="0.35">
      <c r="A1955" s="16">
        <v>305</v>
      </c>
      <c r="B1955" s="16" t="s">
        <v>4623</v>
      </c>
      <c r="C1955" s="16" t="s">
        <v>4604</v>
      </c>
      <c r="D1955" s="16" t="s">
        <v>124</v>
      </c>
      <c r="E1955" s="16" t="s">
        <v>538</v>
      </c>
      <c r="F1955" s="16" t="s">
        <v>4624</v>
      </c>
      <c r="G1955" s="16">
        <v>2010</v>
      </c>
      <c r="H1955" s="50" t="s">
        <v>406</v>
      </c>
      <c r="I1955" s="16" t="s">
        <v>4625</v>
      </c>
      <c r="J1955" s="16" t="s">
        <v>4626</v>
      </c>
    </row>
    <row r="1956" spans="1:10" hidden="1" x14ac:dyDescent="0.35">
      <c r="A1956" s="16">
        <v>305</v>
      </c>
      <c r="B1956" s="16" t="s">
        <v>2493</v>
      </c>
      <c r="C1956" s="16" t="s">
        <v>633</v>
      </c>
      <c r="D1956" s="16" t="s">
        <v>124</v>
      </c>
      <c r="E1956" s="16" t="s">
        <v>559</v>
      </c>
      <c r="F1956" s="16" t="s">
        <v>4624</v>
      </c>
      <c r="G1956" s="16">
        <v>2010</v>
      </c>
      <c r="H1956" s="50" t="s">
        <v>406</v>
      </c>
      <c r="I1956" s="16" t="s">
        <v>4625</v>
      </c>
    </row>
    <row r="1957" spans="1:10" hidden="1" x14ac:dyDescent="0.35">
      <c r="A1957" s="16">
        <v>305</v>
      </c>
      <c r="B1957" s="16" t="s">
        <v>2493</v>
      </c>
      <c r="C1957" s="16" t="s">
        <v>633</v>
      </c>
      <c r="D1957" s="16" t="s">
        <v>124</v>
      </c>
      <c r="E1957" s="16" t="s">
        <v>538</v>
      </c>
      <c r="F1957" s="16" t="s">
        <v>4624</v>
      </c>
      <c r="G1957" s="16">
        <v>2010</v>
      </c>
      <c r="H1957" s="50" t="s">
        <v>406</v>
      </c>
      <c r="I1957" s="16" t="s">
        <v>4628</v>
      </c>
      <c r="J1957" s="16" t="s">
        <v>4627</v>
      </c>
    </row>
    <row r="1958" spans="1:10" hidden="1" x14ac:dyDescent="0.35">
      <c r="A1958" s="16">
        <v>305</v>
      </c>
      <c r="B1958" s="16" t="s">
        <v>4629</v>
      </c>
      <c r="C1958" s="16" t="s">
        <v>633</v>
      </c>
      <c r="D1958" s="16" t="s">
        <v>124</v>
      </c>
      <c r="E1958" s="16" t="s">
        <v>538</v>
      </c>
      <c r="F1958" s="16" t="s">
        <v>4624</v>
      </c>
      <c r="G1958" s="16">
        <v>2010</v>
      </c>
      <c r="H1958" s="50" t="s">
        <v>406</v>
      </c>
      <c r="I1958" s="16" t="s">
        <v>4630</v>
      </c>
    </row>
    <row r="1959" spans="1:10" hidden="1" x14ac:dyDescent="0.35">
      <c r="A1959" s="16">
        <v>304</v>
      </c>
      <c r="B1959" s="16" t="s">
        <v>4631</v>
      </c>
      <c r="C1959" s="16" t="s">
        <v>4604</v>
      </c>
      <c r="D1959" s="16" t="s">
        <v>130</v>
      </c>
      <c r="E1959" s="16" t="s">
        <v>538</v>
      </c>
      <c r="F1959" s="16" t="s">
        <v>4632</v>
      </c>
      <c r="G1959" s="16" t="s">
        <v>1474</v>
      </c>
      <c r="I1959" s="16" t="s">
        <v>389</v>
      </c>
    </row>
    <row r="1960" spans="1:10" hidden="1" x14ac:dyDescent="0.35">
      <c r="A1960" s="16">
        <v>304</v>
      </c>
      <c r="B1960" s="16" t="s">
        <v>4633</v>
      </c>
      <c r="C1960" s="16" t="s">
        <v>4604</v>
      </c>
      <c r="D1960" s="16" t="s">
        <v>130</v>
      </c>
      <c r="E1960" s="16" t="s">
        <v>538</v>
      </c>
      <c r="F1960" s="16" t="s">
        <v>4632</v>
      </c>
      <c r="G1960" s="16" t="s">
        <v>1474</v>
      </c>
      <c r="I1960" s="16" t="s">
        <v>4634</v>
      </c>
    </row>
    <row r="1961" spans="1:10" hidden="1" x14ac:dyDescent="0.35">
      <c r="A1961" s="16">
        <v>304</v>
      </c>
      <c r="B1961" s="16" t="s">
        <v>4635</v>
      </c>
      <c r="C1961" s="16" t="s">
        <v>4604</v>
      </c>
      <c r="D1961" s="16" t="s">
        <v>130</v>
      </c>
      <c r="E1961" s="16" t="s">
        <v>538</v>
      </c>
      <c r="F1961" s="16" t="s">
        <v>4632</v>
      </c>
      <c r="G1961" s="16" t="s">
        <v>1474</v>
      </c>
      <c r="I1961" s="16" t="s">
        <v>4636</v>
      </c>
    </row>
    <row r="1962" spans="1:10" hidden="1" x14ac:dyDescent="0.35">
      <c r="A1962" s="16">
        <v>304</v>
      </c>
      <c r="B1962" s="16" t="s">
        <v>4637</v>
      </c>
      <c r="C1962" s="16" t="s">
        <v>4638</v>
      </c>
      <c r="D1962" s="16" t="s">
        <v>130</v>
      </c>
      <c r="E1962" s="16" t="s">
        <v>538</v>
      </c>
      <c r="F1962" s="16" t="s">
        <v>4632</v>
      </c>
      <c r="G1962" s="16" t="s">
        <v>1474</v>
      </c>
      <c r="I1962" s="16" t="s">
        <v>389</v>
      </c>
    </row>
    <row r="1963" spans="1:10" hidden="1" x14ac:dyDescent="0.35">
      <c r="A1963" s="16">
        <v>304</v>
      </c>
      <c r="B1963" s="16" t="s">
        <v>4639</v>
      </c>
      <c r="C1963" s="16" t="s">
        <v>4638</v>
      </c>
      <c r="D1963" s="16" t="s">
        <v>130</v>
      </c>
      <c r="E1963" s="16" t="s">
        <v>538</v>
      </c>
      <c r="F1963" s="16" t="s">
        <v>4632</v>
      </c>
      <c r="G1963" s="16" t="s">
        <v>1474</v>
      </c>
      <c r="I1963" s="16" t="s">
        <v>4634</v>
      </c>
    </row>
    <row r="1964" spans="1:10" hidden="1" x14ac:dyDescent="0.35">
      <c r="A1964" s="16">
        <v>304</v>
      </c>
      <c r="B1964" s="16" t="s">
        <v>4640</v>
      </c>
      <c r="C1964" s="16" t="s">
        <v>4638</v>
      </c>
      <c r="D1964" s="16" t="s">
        <v>130</v>
      </c>
      <c r="E1964" s="16" t="s">
        <v>538</v>
      </c>
      <c r="F1964" s="16" t="s">
        <v>4632</v>
      </c>
      <c r="G1964" s="16" t="s">
        <v>1474</v>
      </c>
      <c r="I1964" s="16" t="s">
        <v>4636</v>
      </c>
    </row>
    <row r="1965" spans="1:10" hidden="1" x14ac:dyDescent="0.35">
      <c r="A1965" s="16">
        <v>304</v>
      </c>
      <c r="B1965" s="16" t="s">
        <v>142</v>
      </c>
      <c r="C1965" s="16" t="s">
        <v>4641</v>
      </c>
      <c r="D1965" s="16" t="s">
        <v>130</v>
      </c>
      <c r="E1965" s="16" t="s">
        <v>538</v>
      </c>
      <c r="F1965" s="16" t="s">
        <v>4632</v>
      </c>
      <c r="G1965" s="16" t="s">
        <v>1474</v>
      </c>
      <c r="I1965" s="16" t="s">
        <v>389</v>
      </c>
    </row>
    <row r="1966" spans="1:10" hidden="1" x14ac:dyDescent="0.35">
      <c r="A1966" s="16">
        <v>302</v>
      </c>
      <c r="B1966" s="16" t="s">
        <v>214</v>
      </c>
      <c r="C1966" s="16" t="s">
        <v>649</v>
      </c>
      <c r="D1966" s="16" t="s">
        <v>124</v>
      </c>
      <c r="E1966" s="16" t="s">
        <v>536</v>
      </c>
      <c r="F1966" s="16" t="s">
        <v>4642</v>
      </c>
      <c r="G1966" s="16" t="s">
        <v>1514</v>
      </c>
      <c r="I1966" s="16" t="s">
        <v>4650</v>
      </c>
      <c r="J1966" s="16" t="s">
        <v>4643</v>
      </c>
    </row>
    <row r="1967" spans="1:10" hidden="1" x14ac:dyDescent="0.35">
      <c r="A1967" s="16">
        <v>826</v>
      </c>
      <c r="B1967" s="16" t="s">
        <v>4682</v>
      </c>
      <c r="C1967" s="16" t="s">
        <v>1946</v>
      </c>
      <c r="D1967" s="16" t="s">
        <v>130</v>
      </c>
      <c r="E1967" s="16" t="s">
        <v>809</v>
      </c>
      <c r="F1967" s="16" t="s">
        <v>135</v>
      </c>
      <c r="G1967" s="16" t="s">
        <v>1372</v>
      </c>
      <c r="I1967" s="16" t="s">
        <v>4734</v>
      </c>
      <c r="J1967" s="16" t="s">
        <v>2932</v>
      </c>
    </row>
    <row r="1968" spans="1:10" hidden="1" x14ac:dyDescent="0.35">
      <c r="A1968" s="16">
        <v>826</v>
      </c>
      <c r="B1968" s="16" t="s">
        <v>4683</v>
      </c>
      <c r="C1968" s="16" t="s">
        <v>3948</v>
      </c>
      <c r="D1968" s="16" t="s">
        <v>130</v>
      </c>
      <c r="E1968" s="16" t="s">
        <v>809</v>
      </c>
      <c r="F1968" s="16" t="s">
        <v>135</v>
      </c>
      <c r="G1968" s="16" t="s">
        <v>1372</v>
      </c>
      <c r="I1968" s="16" t="s">
        <v>4734</v>
      </c>
    </row>
    <row r="1969" spans="1:10" hidden="1" x14ac:dyDescent="0.35">
      <c r="A1969" s="16">
        <v>826</v>
      </c>
      <c r="B1969" s="16" t="s">
        <v>1966</v>
      </c>
      <c r="C1969" s="16" t="s">
        <v>1967</v>
      </c>
      <c r="D1969" s="16" t="s">
        <v>130</v>
      </c>
      <c r="E1969" s="16" t="s">
        <v>809</v>
      </c>
      <c r="F1969" s="16" t="s">
        <v>135</v>
      </c>
      <c r="G1969" s="16" t="s">
        <v>1372</v>
      </c>
      <c r="I1969" s="16" t="s">
        <v>4734</v>
      </c>
    </row>
    <row r="1970" spans="1:10" hidden="1" x14ac:dyDescent="0.35">
      <c r="A1970" s="16">
        <v>826</v>
      </c>
      <c r="B1970" s="16" t="s">
        <v>4684</v>
      </c>
      <c r="C1970" s="16" t="s">
        <v>4685</v>
      </c>
      <c r="D1970" s="16" t="s">
        <v>130</v>
      </c>
      <c r="E1970" s="16" t="s">
        <v>813</v>
      </c>
      <c r="F1970" s="16" t="s">
        <v>135</v>
      </c>
      <c r="G1970" s="16" t="s">
        <v>1372</v>
      </c>
      <c r="I1970" s="16" t="s">
        <v>4734</v>
      </c>
      <c r="J1970" s="16" t="s">
        <v>2932</v>
      </c>
    </row>
    <row r="1971" spans="1:10" hidden="1" x14ac:dyDescent="0.35">
      <c r="A1971" s="16">
        <v>826</v>
      </c>
      <c r="B1971" s="16" t="s">
        <v>4686</v>
      </c>
      <c r="C1971" s="16" t="s">
        <v>4687</v>
      </c>
      <c r="D1971" s="16" t="s">
        <v>130</v>
      </c>
      <c r="E1971" s="16" t="s">
        <v>813</v>
      </c>
      <c r="F1971" s="16" t="s">
        <v>135</v>
      </c>
      <c r="G1971" s="16" t="s">
        <v>1372</v>
      </c>
      <c r="I1971" s="16" t="s">
        <v>4734</v>
      </c>
    </row>
    <row r="1972" spans="1:10" hidden="1" x14ac:dyDescent="0.35">
      <c r="A1972" s="16">
        <v>826</v>
      </c>
      <c r="B1972" s="16" t="s">
        <v>4688</v>
      </c>
      <c r="C1972" s="16" t="s">
        <v>4689</v>
      </c>
      <c r="D1972" s="16" t="s">
        <v>130</v>
      </c>
      <c r="E1972" s="16" t="s">
        <v>539</v>
      </c>
      <c r="F1972" s="16" t="s">
        <v>135</v>
      </c>
      <c r="G1972" s="16" t="s">
        <v>1372</v>
      </c>
      <c r="I1972" s="16" t="s">
        <v>4734</v>
      </c>
    </row>
    <row r="1973" spans="1:10" hidden="1" x14ac:dyDescent="0.35">
      <c r="A1973" s="16">
        <v>826</v>
      </c>
      <c r="B1973" s="16" t="s">
        <v>4690</v>
      </c>
      <c r="C1973" s="16" t="s">
        <v>4689</v>
      </c>
      <c r="D1973" s="16" t="s">
        <v>130</v>
      </c>
      <c r="E1973" s="16" t="s">
        <v>809</v>
      </c>
      <c r="F1973" s="16" t="s">
        <v>28</v>
      </c>
      <c r="G1973" s="16" t="s">
        <v>1330</v>
      </c>
      <c r="I1973" s="16" t="s">
        <v>4734</v>
      </c>
    </row>
    <row r="1974" spans="1:10" hidden="1" x14ac:dyDescent="0.35">
      <c r="A1974" s="16">
        <v>837</v>
      </c>
      <c r="B1974" s="16" t="s">
        <v>173</v>
      </c>
      <c r="C1974" s="16" t="s">
        <v>633</v>
      </c>
      <c r="D1974" s="16" t="s">
        <v>124</v>
      </c>
      <c r="E1974" s="16" t="s">
        <v>559</v>
      </c>
      <c r="F1974" s="16" t="s">
        <v>135</v>
      </c>
      <c r="G1974" s="16" t="s">
        <v>1441</v>
      </c>
      <c r="I1974" s="16" t="s">
        <v>4145</v>
      </c>
    </row>
    <row r="1975" spans="1:10" hidden="1" x14ac:dyDescent="0.35">
      <c r="A1975" s="16">
        <v>837</v>
      </c>
      <c r="B1975" s="16" t="s">
        <v>2493</v>
      </c>
      <c r="C1975" s="16" t="s">
        <v>633</v>
      </c>
      <c r="D1975" s="16" t="s">
        <v>124</v>
      </c>
      <c r="E1975" s="16" t="s">
        <v>559</v>
      </c>
      <c r="F1975" s="16" t="s">
        <v>135</v>
      </c>
      <c r="G1975" s="16" t="s">
        <v>1441</v>
      </c>
      <c r="I1975" s="16" t="s">
        <v>4145</v>
      </c>
    </row>
    <row r="1976" spans="1:10" hidden="1" x14ac:dyDescent="0.35">
      <c r="A1976" s="16">
        <v>837</v>
      </c>
      <c r="B1976" s="16" t="s">
        <v>4691</v>
      </c>
      <c r="C1976" s="16" t="s">
        <v>633</v>
      </c>
      <c r="D1976" s="16" t="s">
        <v>124</v>
      </c>
      <c r="E1976" s="16" t="s">
        <v>559</v>
      </c>
      <c r="F1976" s="16" t="s">
        <v>135</v>
      </c>
      <c r="G1976" s="16" t="s">
        <v>1441</v>
      </c>
      <c r="I1976" s="16" t="s">
        <v>4145</v>
      </c>
    </row>
    <row r="1977" spans="1:10" hidden="1" x14ac:dyDescent="0.35">
      <c r="A1977" s="16">
        <v>837</v>
      </c>
      <c r="B1977" s="16" t="s">
        <v>4692</v>
      </c>
      <c r="C1977" s="16" t="s">
        <v>633</v>
      </c>
      <c r="D1977" s="16" t="s">
        <v>124</v>
      </c>
      <c r="E1977" s="16" t="s">
        <v>559</v>
      </c>
      <c r="F1977" s="16" t="s">
        <v>135</v>
      </c>
      <c r="G1977" s="16" t="s">
        <v>1441</v>
      </c>
      <c r="I1977" s="16" t="s">
        <v>4145</v>
      </c>
    </row>
    <row r="1978" spans="1:10" hidden="1" x14ac:dyDescent="0.35">
      <c r="A1978" s="16">
        <v>837</v>
      </c>
      <c r="B1978" s="16" t="s">
        <v>4693</v>
      </c>
      <c r="C1978" s="16" t="s">
        <v>4694</v>
      </c>
      <c r="D1978" s="16" t="s">
        <v>198</v>
      </c>
      <c r="E1978" s="16" t="s">
        <v>539</v>
      </c>
      <c r="F1978" s="16" t="s">
        <v>135</v>
      </c>
      <c r="G1978" s="16" t="s">
        <v>1441</v>
      </c>
      <c r="I1978" s="16" t="s">
        <v>4695</v>
      </c>
    </row>
    <row r="1979" spans="1:10" hidden="1" x14ac:dyDescent="0.35">
      <c r="A1979" s="16">
        <v>837</v>
      </c>
      <c r="B1979" s="16" t="s">
        <v>1985</v>
      </c>
      <c r="C1979" s="16" t="s">
        <v>1919</v>
      </c>
      <c r="D1979" s="16" t="s">
        <v>198</v>
      </c>
      <c r="E1979" s="16" t="s">
        <v>539</v>
      </c>
      <c r="F1979" s="16" t="s">
        <v>135</v>
      </c>
      <c r="G1979" s="16" t="s">
        <v>1441</v>
      </c>
      <c r="I1979" s="16" t="s">
        <v>4695</v>
      </c>
    </row>
    <row r="1980" spans="1:10" hidden="1" x14ac:dyDescent="0.35">
      <c r="A1980" s="16">
        <v>842</v>
      </c>
      <c r="B1980" s="16" t="s">
        <v>4699</v>
      </c>
      <c r="C1980" s="16" t="s">
        <v>4696</v>
      </c>
      <c r="D1980" s="16" t="s">
        <v>124</v>
      </c>
      <c r="E1980" s="16" t="s">
        <v>1329</v>
      </c>
      <c r="F1980" s="16" t="s">
        <v>4697</v>
      </c>
      <c r="G1980" s="16" t="s">
        <v>4698</v>
      </c>
      <c r="I1980" s="16" t="s">
        <v>4700</v>
      </c>
      <c r="J1980" s="16" t="s">
        <v>4701</v>
      </c>
    </row>
    <row r="1981" spans="1:10" hidden="1" x14ac:dyDescent="0.35">
      <c r="A1981" s="16">
        <v>876</v>
      </c>
      <c r="B1981" s="16" t="s">
        <v>4702</v>
      </c>
      <c r="C1981" s="16" t="s">
        <v>4696</v>
      </c>
      <c r="D1981" s="16" t="s">
        <v>124</v>
      </c>
      <c r="E1981" s="16" t="s">
        <v>1329</v>
      </c>
      <c r="F1981" s="16" t="s">
        <v>4697</v>
      </c>
      <c r="G1981" s="16" t="s">
        <v>1785</v>
      </c>
      <c r="I1981" s="16" t="s">
        <v>4703</v>
      </c>
      <c r="J1981" s="16" t="s">
        <v>4704</v>
      </c>
    </row>
    <row r="1982" spans="1:10" hidden="1" x14ac:dyDescent="0.35">
      <c r="A1982" s="16">
        <v>876</v>
      </c>
      <c r="B1982" s="16" t="s">
        <v>4705</v>
      </c>
      <c r="C1982" s="16" t="s">
        <v>633</v>
      </c>
      <c r="D1982" s="16" t="s">
        <v>124</v>
      </c>
      <c r="E1982" s="16" t="s">
        <v>1329</v>
      </c>
      <c r="F1982" s="16" t="s">
        <v>122</v>
      </c>
      <c r="G1982" s="16" t="s">
        <v>1785</v>
      </c>
      <c r="I1982" s="16" t="s">
        <v>4706</v>
      </c>
    </row>
    <row r="1983" spans="1:10" hidden="1" x14ac:dyDescent="0.35">
      <c r="A1983" s="16">
        <v>884</v>
      </c>
      <c r="B1983" s="16" t="s">
        <v>4707</v>
      </c>
      <c r="C1983" s="16" t="s">
        <v>633</v>
      </c>
      <c r="D1983" s="16" t="s">
        <v>124</v>
      </c>
      <c r="E1983" s="16" t="s">
        <v>1329</v>
      </c>
      <c r="F1983" s="16" t="s">
        <v>122</v>
      </c>
      <c r="G1983" s="16">
        <v>1984</v>
      </c>
      <c r="I1983" s="16" t="s">
        <v>4708</v>
      </c>
      <c r="J1983" s="16" t="s">
        <v>4709</v>
      </c>
    </row>
    <row r="1984" spans="1:10" hidden="1" x14ac:dyDescent="0.35">
      <c r="A1984" s="16">
        <v>884</v>
      </c>
      <c r="B1984" s="16" t="s">
        <v>4710</v>
      </c>
      <c r="C1984" s="16" t="s">
        <v>4711</v>
      </c>
      <c r="D1984" s="16" t="s">
        <v>124</v>
      </c>
      <c r="E1984" s="16" t="s">
        <v>1329</v>
      </c>
      <c r="F1984" s="16" t="s">
        <v>122</v>
      </c>
      <c r="G1984" s="16">
        <v>1984</v>
      </c>
      <c r="I1984" s="16" t="s">
        <v>4712</v>
      </c>
      <c r="J1984" s="16" t="s">
        <v>4713</v>
      </c>
    </row>
    <row r="1985" spans="1:10" hidden="1" x14ac:dyDescent="0.35">
      <c r="A1985" s="16">
        <v>884</v>
      </c>
      <c r="B1985" s="16" t="s">
        <v>4714</v>
      </c>
      <c r="C1985" s="16" t="s">
        <v>4715</v>
      </c>
      <c r="D1985" s="16" t="s">
        <v>124</v>
      </c>
      <c r="E1985" s="16" t="s">
        <v>1329</v>
      </c>
      <c r="F1985" s="16" t="s">
        <v>122</v>
      </c>
      <c r="G1985" s="16">
        <v>1985</v>
      </c>
      <c r="I1985" s="16" t="s">
        <v>4735</v>
      </c>
      <c r="J1985" s="16" t="s">
        <v>4716</v>
      </c>
    </row>
    <row r="1986" spans="1:10" hidden="1" x14ac:dyDescent="0.35">
      <c r="A1986" s="16">
        <v>996</v>
      </c>
      <c r="B1986" s="16" t="s">
        <v>4717</v>
      </c>
      <c r="C1986" s="16" t="s">
        <v>633</v>
      </c>
      <c r="D1986" s="16" t="s">
        <v>124</v>
      </c>
      <c r="E1986" s="16" t="s">
        <v>539</v>
      </c>
      <c r="F1986" s="16" t="s">
        <v>122</v>
      </c>
      <c r="G1986" s="16" t="s">
        <v>3909</v>
      </c>
      <c r="I1986" s="16" t="s">
        <v>4733</v>
      </c>
    </row>
    <row r="1987" spans="1:10" hidden="1" x14ac:dyDescent="0.35">
      <c r="A1987" s="16">
        <v>996</v>
      </c>
      <c r="B1987" s="16" t="s">
        <v>4718</v>
      </c>
      <c r="C1987" s="16" t="s">
        <v>1919</v>
      </c>
      <c r="D1987" s="16" t="s">
        <v>124</v>
      </c>
      <c r="E1987" s="16" t="s">
        <v>539</v>
      </c>
      <c r="F1987" s="16" t="s">
        <v>122</v>
      </c>
      <c r="G1987" s="16" t="s">
        <v>3909</v>
      </c>
      <c r="I1987" s="16" t="s">
        <v>389</v>
      </c>
    </row>
    <row r="1988" spans="1:10" hidden="1" x14ac:dyDescent="0.35">
      <c r="A1988" s="16">
        <v>996</v>
      </c>
      <c r="B1988" s="16" t="s">
        <v>4719</v>
      </c>
      <c r="C1988" s="16" t="s">
        <v>2173</v>
      </c>
      <c r="D1988" s="16" t="s">
        <v>124</v>
      </c>
      <c r="E1988" s="16" t="s">
        <v>539</v>
      </c>
      <c r="F1988" s="16" t="s">
        <v>122</v>
      </c>
      <c r="G1988" s="16" t="s">
        <v>3909</v>
      </c>
      <c r="I1988" s="16" t="s">
        <v>389</v>
      </c>
    </row>
    <row r="1989" spans="1:10" hidden="1" x14ac:dyDescent="0.35">
      <c r="A1989" s="16">
        <v>996</v>
      </c>
      <c r="B1989" s="16" t="s">
        <v>2031</v>
      </c>
      <c r="C1989" s="16" t="s">
        <v>1919</v>
      </c>
      <c r="D1989" s="16" t="s">
        <v>124</v>
      </c>
      <c r="E1989" s="16" t="s">
        <v>539</v>
      </c>
      <c r="F1989" s="16" t="s">
        <v>122</v>
      </c>
      <c r="G1989" s="16" t="s">
        <v>3909</v>
      </c>
      <c r="I1989" s="16" t="s">
        <v>389</v>
      </c>
    </row>
    <row r="1990" spans="1:10" hidden="1" x14ac:dyDescent="0.35">
      <c r="A1990" s="16">
        <v>996</v>
      </c>
      <c r="B1990" s="16" t="s">
        <v>4720</v>
      </c>
      <c r="C1990" s="16" t="s">
        <v>2173</v>
      </c>
      <c r="D1990" s="16" t="s">
        <v>124</v>
      </c>
      <c r="E1990" s="16" t="s">
        <v>539</v>
      </c>
      <c r="F1990" s="16" t="s">
        <v>122</v>
      </c>
      <c r="G1990" s="16" t="s">
        <v>3909</v>
      </c>
      <c r="I1990" s="16" t="s">
        <v>389</v>
      </c>
    </row>
    <row r="1991" spans="1:10" hidden="1" x14ac:dyDescent="0.35">
      <c r="A1991" s="16">
        <v>1018</v>
      </c>
      <c r="B1991" s="16" t="s">
        <v>4721</v>
      </c>
      <c r="C1991" s="16" t="s">
        <v>2173</v>
      </c>
      <c r="D1991" s="16" t="s">
        <v>124</v>
      </c>
      <c r="E1991" s="16" t="s">
        <v>1329</v>
      </c>
      <c r="F1991" s="16" t="s">
        <v>1956</v>
      </c>
      <c r="G1991" s="16">
        <v>2000</v>
      </c>
      <c r="I1991" s="16" t="s">
        <v>4722</v>
      </c>
      <c r="J1991" s="16" t="s">
        <v>4723</v>
      </c>
    </row>
    <row r="1992" spans="1:10" hidden="1" x14ac:dyDescent="0.35">
      <c r="A1992" s="16">
        <v>1018</v>
      </c>
      <c r="B1992" s="16" t="s">
        <v>4724</v>
      </c>
      <c r="C1992" s="16" t="s">
        <v>2034</v>
      </c>
      <c r="D1992" s="16" t="s">
        <v>124</v>
      </c>
      <c r="E1992" s="16" t="s">
        <v>1329</v>
      </c>
      <c r="F1992" s="16" t="s">
        <v>4725</v>
      </c>
      <c r="G1992" s="16">
        <v>2001</v>
      </c>
      <c r="I1992" s="16" t="s">
        <v>4726</v>
      </c>
    </row>
    <row r="1993" spans="1:10" hidden="1" x14ac:dyDescent="0.35">
      <c r="A1993" s="16">
        <v>1018</v>
      </c>
      <c r="B1993" s="16" t="s">
        <v>4727</v>
      </c>
      <c r="C1993" s="16" t="s">
        <v>633</v>
      </c>
      <c r="D1993" s="16" t="s">
        <v>124</v>
      </c>
      <c r="E1993" s="16" t="s">
        <v>1329</v>
      </c>
      <c r="F1993" s="16" t="s">
        <v>4725</v>
      </c>
      <c r="G1993" s="16">
        <v>2002</v>
      </c>
      <c r="I1993" s="16" t="s">
        <v>389</v>
      </c>
      <c r="J1993" s="16" t="s">
        <v>4723</v>
      </c>
    </row>
    <row r="1994" spans="1:10" hidden="1" x14ac:dyDescent="0.35">
      <c r="A1994" s="16">
        <v>1018</v>
      </c>
      <c r="B1994" s="16" t="s">
        <v>4728</v>
      </c>
      <c r="C1994" s="16" t="s">
        <v>2173</v>
      </c>
      <c r="D1994" s="16" t="s">
        <v>124</v>
      </c>
      <c r="E1994" s="16" t="s">
        <v>1329</v>
      </c>
      <c r="F1994" s="16" t="s">
        <v>4725</v>
      </c>
      <c r="G1994" s="16">
        <v>2003</v>
      </c>
      <c r="I1994" s="16" t="s">
        <v>4736</v>
      </c>
    </row>
    <row r="1995" spans="1:10" hidden="1" x14ac:dyDescent="0.35">
      <c r="A1995" s="16">
        <v>645</v>
      </c>
      <c r="B1995" s="16" t="s">
        <v>4729</v>
      </c>
      <c r="C1995" s="16" t="s">
        <v>633</v>
      </c>
      <c r="D1995" s="16" t="s">
        <v>124</v>
      </c>
      <c r="E1995" s="16" t="s">
        <v>536</v>
      </c>
      <c r="F1995" s="16" t="s">
        <v>135</v>
      </c>
      <c r="G1995" s="16" t="s">
        <v>4730</v>
      </c>
      <c r="I1995" s="16" t="s">
        <v>4732</v>
      </c>
    </row>
    <row r="1996" spans="1:10" hidden="1" x14ac:dyDescent="0.35">
      <c r="A1996" s="16">
        <v>645</v>
      </c>
      <c r="B1996" s="16" t="s">
        <v>4731</v>
      </c>
      <c r="C1996" s="16" t="s">
        <v>633</v>
      </c>
      <c r="D1996" s="16" t="s">
        <v>124</v>
      </c>
      <c r="E1996" s="16" t="s">
        <v>536</v>
      </c>
      <c r="F1996" s="16" t="s">
        <v>135</v>
      </c>
      <c r="G1996" s="16" t="s">
        <v>4730</v>
      </c>
      <c r="I1996" s="16" t="s">
        <v>4732</v>
      </c>
    </row>
  </sheetData>
  <autoFilter xmlns:x14="http://schemas.microsoft.com/office/spreadsheetml/2009/9/main" ref="A1:J1996" xr:uid="{8B680D31-6863-4874-979D-DBCE9BF6DEBE}">
    <filterColumn colId="8">
      <filters>
        <mc:AlternateContent xmlns:mc="http://schemas.openxmlformats.org/markup-compatibility/2006">
          <mc:Choice Requires="x14">
            <x14:filter val="burn severity; fire recurrence; time after fire"/>
            <x14:filter val="burn severity; time after fire; season"/>
            <x14:filter val="composite burn index (severity);time since fire"/>
            <x14:filter val="Crown consuption (high, low), fire severity (according to different indices)"/>
            <x14:filter val="Crown consuption (high, low), fire severity (according to different indices), pine seed input (post fire and post harvest), , ground cover (% bare soil, % ash, %litter)"/>
            <x14:filter val="differences pre-post fire; fire severity"/>
            <x14:filter val="drought vulnerability;fire severity;season;site"/>
            <x14:filter val="fire severity"/>
            <x14:filter val="fire severity (low, moderate, high)"/>
            <x14:filter val="Fire severity category; Land use land cover (LUCL); monthly rainfall; monthly mean temperature"/>
            <x14:filter val="Fire severity category; LULC class; monthly rainfall; monthly mean temperature"/>
            <x14:filter val="fire severity; Brachypodium retusum cover"/>
            <x14:filter val="fire severity; post-fire treatment"/>
            <x14:filter val="fire severity; prefire stand age; aspect; year after fire"/>
            <x14:filter val="fire severity; time; season"/>
            <x14:filter val="fire severity; tree diameter; bark thickness; tree status; understory height; shrub cover classes; aspects; soil humidity; soil color"/>
            <x14:filter val="fire severity; tree status; tree diameter; soil humidity; soil color; understory height; aspects"/>
            <x14:filter val="fire severity; year"/>
            <x14:filter val="fire severity; year; vegetation type;"/>
            <x14:filter val="fire severity;burnt area;prefire vegetation condition;time;forest species"/>
            <x14:filter val="Fire severity;Climate;Post‑fire soil moisture);Pre‑fire soil condition;Landscape configuration"/>
            <x14:filter val="fire severity;drought  probability"/>
            <x14:filter val="fire severity;drought  probability;tree species;tree cross-sectional area;stem size"/>
            <x14:filter val="fire severity;ecosystems;time after fire"/>
            <x14:filter val="fire severity;elevation;aspect;slope;position in slope;total density;pine density;oak density;total basal area;understorey height"/>
            <x14:filter val="fire severity;fire recurrence;pre‑fire vegetation structure"/>
            <x14:filter val="fire severity;forest type;distance to seed tree;shrub cover;litter cover;live basal area;slope;aspect;precipitation"/>
            <x14:filter val="fire severity;management"/>
            <x14:filter val="fire severity;plant recovery;time since fire"/>
            <x14:filter val="fire severity;pre-fire seed dispersal;resprouting ability"/>
            <x14:filter val="fire severity;prefire vegetationcover;prefire vegetation moisture and structure;elevation;slope;aspect;dorught index;succesional stage"/>
            <x14:filter val="fire severity;slope;distance to seed trees;elevation;HLI;roughness;Gramineae;forbs;bare soil;shrubs;coarse woody debris;rock"/>
            <x14:filter val="fire severity;species;stump number;stump surface"/>
            <x14:filter val="fire severity;temperature;precipitation"/>
            <x14:filter val="fire severity;time since fire"/>
            <x14:filter val="fire severity;time since last fire"/>
            <x14:filter val="fire severity;water abailability"/>
            <x14:filter val="fire severity;water abailability;tree dbh;tree age;climate"/>
            <x14:filter val="forest type and fire severity"/>
            <x14:filter val="Forest type, days after fire, severity"/>
            <x14:filter val="forest type, severity"/>
            <x14:filter val="gully morphology (width, plan area);topography (ruggeness index, altitude, slope, curvature, flow accumulation);fire severity;time"/>
            <x14:filter val="management time;managment_type;subcatchment area;slope;rougness;stream density;C factor;severity;permeability"/>
            <x14:filter val="NDVI trend (15 yr post fire); landscape type; fire id; severity;"/>
            <x14:filter val="pine climatic niches;fire severity"/>
            <x14:filter val="pine stand ages; fire severity"/>
            <x14:filter val="postfire restoration (intervention);fire severity (dNBR);fire recurrence;time since last fire;Palmer Drought Severity Index (PDSI);topography(aspect;elevation;slope)"/>
            <x14:filter val="postfiretime;severity;fragment"/>
            <x14:filter val="postrecovery time; fire recurrence; fire return interval; burn severity"/>
            <x14:filter val="pre vs. Post-fire;vegetation type;severity"/>
            <x14:filter val="prefire climate;prefire geography;prefire topography and soil;prefire overstorey structure;prefire understorey structure;fire severity;post-fire management;post-fire climate;post-fire overstorey structure; post-fire understorey structure; post-fire soil;Time elapsed since fire to pine regeneration sampling"/>
            <x14:filter val="pre-fire conditions;severity;topography;time since fire;forest type"/>
            <x14:filter val="prefire vegetation state;postfire climate variability;time;fire severity"/>
            <x14:filter val="Reflectance, spectral indices, 1rd &amp; 2rd textures, recurrence, severity"/>
            <x14:filter val="Runoff, vegetation cover, rain intensity, precipitation, soil moisture (precip-days), aspect, slope, fire severity, first vs second winter"/>
            <x14:filter val="severity"/>
            <x14:filter val="severity;pre vs. Post-fire"/>
            <x14:filter val="spatial river gradient; time; fire severity"/>
            <x14:filter val="species;fire severity;time since fire"/>
            <x14:filter val="structural plant species; fire severity; woodland type"/>
            <x14:filter val="time since fire;fire frequency;burn severity;cover of understory"/>
            <x14:filter val="Time since fire;fire severity"/>
            <x14:filter val="time, fire severity, slope"/>
            <x14:filter val="Tree diameter (DBH), fire severity (char depth/height), green crown volume, distance to unburned area, cork exploitation status (exploited/unexploited), and stem wounds."/>
            <x14:filter val="TSLF;fire severity;slope;altitude;prefire vegetation type;"/>
            <x14:filter val="type of fire( wiildfire or prescribed burning); time after fire; fire severity; Soil layer"/>
            <x14:filter val="vegetation type; burn severity"/>
            <x14:filter val="year;burn severity;plant recovery"/>
            <x14:filter val="year;severity"/>
            <x14:filter val="years after fire; fire severity; prefire stand age; aspect"/>
          </mc:Choice>
          <mc:Fallback>
            <filter val="burn severity; fire recurrence; time after fire"/>
            <filter val="burn severity; time after fire; season"/>
            <filter val="composite burn index (severity);time since fire"/>
            <filter val="Crown consuption (high, low), fire severity (according to different indices)"/>
            <filter val="Crown consuption (high, low), fire severity (according to different indices), pine seed input (post fire and post harvest), , ground cover (% bare soil, % ash, %litter)"/>
            <filter val="differences pre-post fire; fire severity"/>
            <filter val="drought vulnerability;fire severity;season;site"/>
            <filter val="fire severity"/>
            <filter val="fire severity (low, moderate, high)"/>
            <filter val="Fire severity category; Land use land cover (LUCL); monthly rainfall; monthly mean temperature"/>
            <filter val="Fire severity category; LULC class; monthly rainfall; monthly mean temperature"/>
            <filter val="fire severity; Brachypodium retusum cover"/>
            <filter val="fire severity; post-fire treatment"/>
            <filter val="fire severity; prefire stand age; aspect; year after fire"/>
            <filter val="fire severity; time; season"/>
            <filter val="fire severity; tree diameter; bark thickness; tree status; understory height; shrub cover classes; aspects; soil humidity; soil color"/>
            <filter val="fire severity; tree status; tree diameter; soil humidity; soil color; understory height; aspects"/>
            <filter val="fire severity; year"/>
            <filter val="fire severity; year; vegetation type;"/>
            <filter val="fire severity;burnt area;prefire vegetation condition;time;forest species"/>
            <filter val="Fire severity;Climate;Post‑fire soil moisture);Pre‑fire soil condition;Landscape configuration"/>
            <filter val="fire severity;drought  probability"/>
            <filter val="fire severity;drought  probability;tree species;tree cross-sectional area;stem size"/>
            <filter val="fire severity;ecosystems;time after fire"/>
            <filter val="fire severity;elevation;aspect;slope;position in slope;total density;pine density;oak density;total basal area;understorey height"/>
            <filter val="fire severity;fire recurrence;pre‑fire vegetation structure"/>
            <filter val="fire severity;forest type;distance to seed tree;shrub cover;litter cover;live basal area;slope;aspect;precipitation"/>
            <filter val="fire severity;management"/>
            <filter val="fire severity;plant recovery;time since fire"/>
            <filter val="fire severity;pre-fire seed dispersal;resprouting ability"/>
            <filter val="fire severity;prefire vegetationcover;prefire vegetation moisture and structure;elevation;slope;aspect;dorught index;succesional stage"/>
            <filter val="fire severity;slope;distance to seed trees;elevation;HLI;roughness;Gramineae;forbs;bare soil;shrubs;coarse woody debris;rock"/>
            <filter val="fire severity;species;stump number;stump surface"/>
            <filter val="fire severity;temperature;precipitation"/>
            <filter val="fire severity;time since fire"/>
            <filter val="fire severity;time since last fire"/>
            <filter val="fire severity;water abailability"/>
            <filter val="fire severity;water abailability;tree dbh;tree age;climate"/>
            <filter val="forest type and fire severity"/>
            <filter val="Forest type, days after fire, severity"/>
            <filter val="forest type, severity"/>
            <filter val="gully morphology (width, plan area);topography (ruggeness index, altitude, slope, curvature, flow accumulation);fire severity;time"/>
            <filter val="management time;managment_type;subcatchment area;slope;rougness;stream density;C factor;severity;permeability"/>
            <filter val="NDVI trend (15 yr post fire); landscape type; fire id; severity;"/>
            <filter val="pine climatic niches;fire severity"/>
            <filter val="pine stand ages; fire severity"/>
            <filter val="postfire restoration (intervention);fire severity (dNBR);fire recurrence;time since last fire;Palmer Drought Severity Index (PDSI);topography(aspect;elevation;slope)"/>
            <filter val="postfiretime;severity;fragment"/>
            <filter val="postrecovery time; fire recurrence; fire return interval; burn severity"/>
            <filter val="pre vs. Post-fire;vegetation type;severity"/>
            <filter val="pre-fire conditions;severity;topography;time since fire;forest type"/>
            <filter val="prefire vegetation state;postfire climate variability;time;fire severity"/>
            <filter val="Reflectance, spectral indices, 1rd &amp; 2rd textures, recurrence, severity"/>
            <filter val="Runoff, vegetation cover, rain intensity, precipitation, soil moisture (precip-days), aspect, slope, fire severity, first vs second winter"/>
            <filter val="severity"/>
            <filter val="severity;pre vs. Post-fire"/>
            <filter val="spatial river gradient; time; fire severity"/>
            <filter val="species;fire severity;time since fire"/>
            <filter val="structural plant species; fire severity; woodland type"/>
            <filter val="time since fire;fire frequency;burn severity;cover of understory"/>
            <filter val="Time since fire;fire severity"/>
            <filter val="time, fire severity, slope"/>
            <filter val="Tree diameter (DBH), fire severity (char depth/height), green crown volume, distance to unburned area, cork exploitation status (exploited/unexploited), and stem wounds."/>
            <filter val="TSLF;fire severity;slope;altitude;prefire vegetation type;"/>
            <filter val="type of fire( wiildfire or prescribed burning); time after fire; fire severity; Soil layer"/>
            <filter val="vegetation type; burn severity"/>
            <filter val="year;burn severity;plant recovery"/>
            <filter val="year;severity"/>
            <filter val="years after fire; fire severity; prefire stand age; aspect"/>
          </mc:Fallback>
        </mc:AlternateContent>
      </filters>
    </filterColumn>
  </autoFilter>
  <phoneticPr fontId="3" type="noConversion"/>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69C1148-F29E-4340-A3B6-AC4E2C9F0981}">
          <x14:formula1>
            <xm:f>Aux!$G$2:$G$5</xm:f>
          </x14:formula1>
          <xm:sqref>D519:D522 D657 D545:D654 D491:D512 D721:D723 D725 D752:D755 D761:D787 D727:D743 D191:D481 D2:D188 D676:D691 D817:D872 D883:D926 D947:D977 D980:D990 D524:D541 D659:D669 D1026:D1063 D1350:D1048576</xm:sqref>
        </x14:dataValidation>
        <x14:dataValidation type="list" allowBlank="1" showInputMessage="1" showErrorMessage="1" xr:uid="{76C03C86-BDDD-4B71-A1DE-8380E0202916}">
          <x14:formula1>
            <xm:f>Aux!#REF!</xm:f>
          </x14:formula1>
          <xm:sqref>G442:G444</xm:sqref>
        </x14:dataValidation>
        <x14:dataValidation type="list" allowBlank="1" showInputMessage="1" showErrorMessage="1" xr:uid="{7C96F1F3-0982-4221-9B11-E2E4EDEDA483}">
          <x14:formula1>
            <xm:f>Aux!$H$2:$H$21</xm:f>
          </x14:formula1>
          <xm:sqref>E2:E188 E817:E872 E883:E926 E947:E977 E711:E787 E980:E1006 E191:E691 E1024:E1063 E1350:E1048576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69AF-A057-4E72-8EEB-F4C0A0CE46ED}">
  <sheetPr filterMode="1"/>
  <dimension ref="A1:P379"/>
  <sheetViews>
    <sheetView workbookViewId="0">
      <selection activeCell="I387" sqref="I387"/>
    </sheetView>
  </sheetViews>
  <sheetFormatPr defaultRowHeight="14.5" x14ac:dyDescent="0.35"/>
  <cols>
    <col min="1" max="1" width="23.54296875" bestFit="1" customWidth="1"/>
    <col min="9" max="9" width="40.453125" customWidth="1"/>
    <col min="10" max="10" width="8.54296875" bestFit="1" customWidth="1"/>
    <col min="11" max="11" width="15.453125" bestFit="1" customWidth="1"/>
    <col min="15" max="15" width="10.453125" bestFit="1" customWidth="1"/>
    <col min="16" max="16" width="13.453125" bestFit="1" customWidth="1"/>
  </cols>
  <sheetData>
    <row r="1" spans="1:16" x14ac:dyDescent="0.35">
      <c r="A1" s="33" t="s">
        <v>2241</v>
      </c>
      <c r="B1" s="33" t="s">
        <v>2242</v>
      </c>
      <c r="C1" s="63" t="s">
        <v>633</v>
      </c>
      <c r="I1" s="67" t="s">
        <v>24</v>
      </c>
      <c r="J1" s="67" t="s">
        <v>2258</v>
      </c>
      <c r="K1" s="67" t="s">
        <v>2551</v>
      </c>
      <c r="O1" s="67" t="s">
        <v>2552</v>
      </c>
      <c r="P1" s="67" t="s">
        <v>2553</v>
      </c>
    </row>
    <row r="2" spans="1:16" x14ac:dyDescent="0.35">
      <c r="A2" s="34" t="s">
        <v>2238</v>
      </c>
      <c r="B2" s="34">
        <f>COUNTIF('3_measures'!D:D, "vegetation")</f>
        <v>955</v>
      </c>
      <c r="C2" s="64">
        <f>B2/$B$6</f>
        <v>0.47869674185463656</v>
      </c>
      <c r="I2" t="s">
        <v>2259</v>
      </c>
      <c r="J2">
        <v>8</v>
      </c>
      <c r="O2" t="s">
        <v>182</v>
      </c>
      <c r="P2" t="s">
        <v>2549</v>
      </c>
    </row>
    <row r="3" spans="1:16" hidden="1" x14ac:dyDescent="0.35">
      <c r="A3" s="34" t="s">
        <v>2239</v>
      </c>
      <c r="B3" s="34">
        <f>COUNTIF('3_measures'!D:D, "soil")</f>
        <v>787</v>
      </c>
      <c r="C3" s="64">
        <f t="shared" ref="C3:C6" si="0">B3/$B$6</f>
        <v>0.39448621553884711</v>
      </c>
      <c r="I3" t="s">
        <v>2260</v>
      </c>
      <c r="J3">
        <v>1</v>
      </c>
      <c r="K3" t="s">
        <v>124</v>
      </c>
      <c r="O3" t="s">
        <v>124</v>
      </c>
    </row>
    <row r="4" spans="1:16" hidden="1" x14ac:dyDescent="0.35">
      <c r="A4" s="34" t="s">
        <v>198</v>
      </c>
      <c r="B4" s="34">
        <f>COUNTIF('3_measures'!D:D, "fauna")</f>
        <v>194</v>
      </c>
      <c r="C4" s="64">
        <f t="shared" si="0"/>
        <v>9.7243107769423562E-2</v>
      </c>
      <c r="I4" t="s">
        <v>2261</v>
      </c>
      <c r="J4">
        <v>1</v>
      </c>
      <c r="K4" t="s">
        <v>182</v>
      </c>
      <c r="O4" t="s">
        <v>2526</v>
      </c>
    </row>
    <row r="5" spans="1:16" hidden="1" x14ac:dyDescent="0.35">
      <c r="A5" s="34" t="s">
        <v>2240</v>
      </c>
      <c r="B5" s="34">
        <f>COUNTIF('3_measures'!D:D, "others")</f>
        <v>59</v>
      </c>
      <c r="C5" s="64">
        <f t="shared" si="0"/>
        <v>2.9573934837092732E-2</v>
      </c>
      <c r="I5" t="s">
        <v>2554</v>
      </c>
      <c r="J5">
        <v>1</v>
      </c>
      <c r="K5" t="s">
        <v>182</v>
      </c>
      <c r="O5" t="s">
        <v>2427</v>
      </c>
    </row>
    <row r="6" spans="1:16" hidden="1" x14ac:dyDescent="0.35">
      <c r="A6" s="34"/>
      <c r="B6" s="34">
        <f>SUM(B2:B5)</f>
        <v>1995</v>
      </c>
      <c r="C6" s="64">
        <f t="shared" si="0"/>
        <v>1</v>
      </c>
      <c r="I6" t="s">
        <v>2262</v>
      </c>
      <c r="J6">
        <v>5</v>
      </c>
      <c r="K6" t="s">
        <v>124</v>
      </c>
    </row>
    <row r="7" spans="1:16" x14ac:dyDescent="0.35">
      <c r="I7" t="s">
        <v>2263</v>
      </c>
      <c r="J7">
        <v>4</v>
      </c>
    </row>
    <row r="8" spans="1:16" x14ac:dyDescent="0.35">
      <c r="I8" t="s">
        <v>2264</v>
      </c>
      <c r="J8">
        <v>5</v>
      </c>
    </row>
    <row r="9" spans="1:16" x14ac:dyDescent="0.35">
      <c r="I9" t="s">
        <v>2265</v>
      </c>
      <c r="J9">
        <v>3</v>
      </c>
    </row>
    <row r="10" spans="1:16" x14ac:dyDescent="0.35">
      <c r="I10" t="s">
        <v>2266</v>
      </c>
      <c r="J10">
        <v>4</v>
      </c>
    </row>
    <row r="11" spans="1:16" x14ac:dyDescent="0.35">
      <c r="I11" t="s">
        <v>2267</v>
      </c>
      <c r="J11">
        <v>1</v>
      </c>
    </row>
    <row r="12" spans="1:16" x14ac:dyDescent="0.35">
      <c r="I12" t="s">
        <v>2268</v>
      </c>
      <c r="J12">
        <v>2</v>
      </c>
    </row>
    <row r="13" spans="1:16" hidden="1" x14ac:dyDescent="0.35">
      <c r="I13" t="s">
        <v>2269</v>
      </c>
      <c r="J13">
        <v>14</v>
      </c>
      <c r="K13" t="s">
        <v>2526</v>
      </c>
    </row>
    <row r="14" spans="1:16" hidden="1" x14ac:dyDescent="0.35">
      <c r="I14" t="s">
        <v>2270</v>
      </c>
      <c r="J14">
        <v>2</v>
      </c>
      <c r="K14" t="s">
        <v>2526</v>
      </c>
    </row>
    <row r="15" spans="1:16" x14ac:dyDescent="0.35">
      <c r="I15" t="s">
        <v>2271</v>
      </c>
      <c r="J15">
        <v>4</v>
      </c>
    </row>
    <row r="16" spans="1:16" x14ac:dyDescent="0.35">
      <c r="I16" t="s">
        <v>2272</v>
      </c>
      <c r="J16">
        <v>1</v>
      </c>
    </row>
    <row r="17" spans="9:11" x14ac:dyDescent="0.35">
      <c r="I17" t="s">
        <v>2273</v>
      </c>
      <c r="J17">
        <v>1</v>
      </c>
    </row>
    <row r="18" spans="9:11" x14ac:dyDescent="0.35">
      <c r="I18" t="s">
        <v>2274</v>
      </c>
      <c r="J18">
        <v>1</v>
      </c>
    </row>
    <row r="19" spans="9:11" x14ac:dyDescent="0.35">
      <c r="I19" t="s">
        <v>2275</v>
      </c>
      <c r="J19">
        <v>1</v>
      </c>
    </row>
    <row r="20" spans="9:11" x14ac:dyDescent="0.35">
      <c r="I20" t="s">
        <v>2276</v>
      </c>
      <c r="J20">
        <v>4</v>
      </c>
    </row>
    <row r="21" spans="9:11" x14ac:dyDescent="0.35">
      <c r="I21" t="s">
        <v>2277</v>
      </c>
      <c r="J21">
        <v>1</v>
      </c>
    </row>
    <row r="22" spans="9:11" x14ac:dyDescent="0.35">
      <c r="I22" t="s">
        <v>2278</v>
      </c>
      <c r="J22">
        <v>2</v>
      </c>
    </row>
    <row r="23" spans="9:11" x14ac:dyDescent="0.35">
      <c r="I23" t="s">
        <v>2279</v>
      </c>
      <c r="J23">
        <v>4</v>
      </c>
    </row>
    <row r="24" spans="9:11" x14ac:dyDescent="0.35">
      <c r="I24" t="s">
        <v>2280</v>
      </c>
      <c r="J24">
        <v>4</v>
      </c>
    </row>
    <row r="25" spans="9:11" x14ac:dyDescent="0.35">
      <c r="I25" t="s">
        <v>2281</v>
      </c>
      <c r="J25">
        <v>1</v>
      </c>
    </row>
    <row r="26" spans="9:11" x14ac:dyDescent="0.35">
      <c r="I26" t="s">
        <v>2282</v>
      </c>
      <c r="J26">
        <v>1</v>
      </c>
    </row>
    <row r="27" spans="9:11" x14ac:dyDescent="0.35">
      <c r="I27" t="s">
        <v>2283</v>
      </c>
      <c r="J27">
        <v>1</v>
      </c>
    </row>
    <row r="28" spans="9:11" x14ac:dyDescent="0.35">
      <c r="I28" t="s">
        <v>2284</v>
      </c>
      <c r="J28">
        <v>4</v>
      </c>
    </row>
    <row r="29" spans="9:11" hidden="1" x14ac:dyDescent="0.35">
      <c r="I29" t="s">
        <v>2285</v>
      </c>
      <c r="J29">
        <v>1</v>
      </c>
      <c r="K29" t="s">
        <v>2526</v>
      </c>
    </row>
    <row r="30" spans="9:11" hidden="1" x14ac:dyDescent="0.35">
      <c r="I30" t="s">
        <v>2286</v>
      </c>
      <c r="J30">
        <v>1</v>
      </c>
      <c r="K30" t="s">
        <v>182</v>
      </c>
    </row>
    <row r="31" spans="9:11" hidden="1" x14ac:dyDescent="0.35">
      <c r="I31" t="s">
        <v>2287</v>
      </c>
      <c r="J31">
        <v>4</v>
      </c>
      <c r="K31" t="s">
        <v>182</v>
      </c>
    </row>
    <row r="32" spans="9:11" hidden="1" x14ac:dyDescent="0.35">
      <c r="I32" t="s">
        <v>2288</v>
      </c>
      <c r="J32">
        <v>10</v>
      </c>
      <c r="K32" t="s">
        <v>182</v>
      </c>
    </row>
    <row r="33" spans="9:11" hidden="1" x14ac:dyDescent="0.35">
      <c r="I33" t="s">
        <v>2289</v>
      </c>
      <c r="J33">
        <v>14</v>
      </c>
      <c r="K33" t="s">
        <v>182</v>
      </c>
    </row>
    <row r="34" spans="9:11" hidden="1" x14ac:dyDescent="0.35">
      <c r="I34" t="s">
        <v>2290</v>
      </c>
      <c r="J34">
        <v>1</v>
      </c>
      <c r="K34" t="s">
        <v>182</v>
      </c>
    </row>
    <row r="35" spans="9:11" hidden="1" x14ac:dyDescent="0.35">
      <c r="I35" t="s">
        <v>2291</v>
      </c>
      <c r="J35">
        <v>21</v>
      </c>
      <c r="K35" t="s">
        <v>182</v>
      </c>
    </row>
    <row r="36" spans="9:11" hidden="1" x14ac:dyDescent="0.35">
      <c r="I36" t="s">
        <v>2292</v>
      </c>
      <c r="J36">
        <v>3</v>
      </c>
      <c r="K36" t="s">
        <v>182</v>
      </c>
    </row>
    <row r="37" spans="9:11" x14ac:dyDescent="0.35">
      <c r="I37" t="s">
        <v>2293</v>
      </c>
      <c r="J37">
        <v>1</v>
      </c>
    </row>
    <row r="38" spans="9:11" x14ac:dyDescent="0.35">
      <c r="I38" t="s">
        <v>2294</v>
      </c>
      <c r="J38">
        <v>1</v>
      </c>
    </row>
    <row r="39" spans="9:11" x14ac:dyDescent="0.35">
      <c r="I39" t="s">
        <v>2295</v>
      </c>
      <c r="J39">
        <v>5</v>
      </c>
    </row>
    <row r="40" spans="9:11" x14ac:dyDescent="0.35">
      <c r="I40" t="s">
        <v>2296</v>
      </c>
      <c r="J40">
        <v>1</v>
      </c>
    </row>
    <row r="41" spans="9:11" x14ac:dyDescent="0.35">
      <c r="I41" t="s">
        <v>2297</v>
      </c>
      <c r="J41">
        <v>2</v>
      </c>
    </row>
    <row r="42" spans="9:11" x14ac:dyDescent="0.35">
      <c r="I42" t="s">
        <v>2298</v>
      </c>
      <c r="J42">
        <v>11</v>
      </c>
    </row>
    <row r="43" spans="9:11" x14ac:dyDescent="0.35">
      <c r="I43" t="s">
        <v>2299</v>
      </c>
      <c r="J43">
        <v>1</v>
      </c>
    </row>
    <row r="44" spans="9:11" x14ac:dyDescent="0.35">
      <c r="I44" t="s">
        <v>2300</v>
      </c>
      <c r="J44">
        <v>4</v>
      </c>
    </row>
    <row r="45" spans="9:11" x14ac:dyDescent="0.35">
      <c r="I45" t="s">
        <v>2301</v>
      </c>
      <c r="J45">
        <v>1</v>
      </c>
    </row>
    <row r="46" spans="9:11" x14ac:dyDescent="0.35">
      <c r="I46" t="s">
        <v>2302</v>
      </c>
      <c r="J46">
        <v>3</v>
      </c>
    </row>
    <row r="47" spans="9:11" x14ac:dyDescent="0.35">
      <c r="I47" t="s">
        <v>2303</v>
      </c>
      <c r="J47">
        <v>4</v>
      </c>
    </row>
    <row r="48" spans="9:11" x14ac:dyDescent="0.35">
      <c r="I48" t="s">
        <v>2304</v>
      </c>
      <c r="J48">
        <v>3</v>
      </c>
    </row>
    <row r="49" spans="9:11" x14ac:dyDescent="0.35">
      <c r="I49" t="s">
        <v>2305</v>
      </c>
      <c r="J49">
        <v>1</v>
      </c>
    </row>
    <row r="50" spans="9:11" x14ac:dyDescent="0.35">
      <c r="I50" t="s">
        <v>2306</v>
      </c>
      <c r="J50">
        <v>1</v>
      </c>
    </row>
    <row r="51" spans="9:11" x14ac:dyDescent="0.35">
      <c r="I51" t="s">
        <v>2307</v>
      </c>
      <c r="J51">
        <v>1</v>
      </c>
    </row>
    <row r="52" spans="9:11" x14ac:dyDescent="0.35">
      <c r="I52" t="s">
        <v>2308</v>
      </c>
      <c r="J52">
        <v>5</v>
      </c>
    </row>
    <row r="53" spans="9:11" hidden="1" x14ac:dyDescent="0.35">
      <c r="I53" t="s">
        <v>2309</v>
      </c>
      <c r="J53">
        <v>9</v>
      </c>
      <c r="K53" t="s">
        <v>182</v>
      </c>
    </row>
    <row r="54" spans="9:11" hidden="1" x14ac:dyDescent="0.35">
      <c r="I54" t="s">
        <v>2310</v>
      </c>
      <c r="J54">
        <v>9</v>
      </c>
      <c r="K54" t="s">
        <v>182</v>
      </c>
    </row>
    <row r="55" spans="9:11" x14ac:dyDescent="0.35">
      <c r="I55" t="s">
        <v>2311</v>
      </c>
      <c r="J55">
        <v>4</v>
      </c>
    </row>
    <row r="56" spans="9:11" hidden="1" x14ac:dyDescent="0.35">
      <c r="I56" t="s">
        <v>2312</v>
      </c>
      <c r="J56">
        <v>6</v>
      </c>
      <c r="K56" t="s">
        <v>182</v>
      </c>
    </row>
    <row r="57" spans="9:11" x14ac:dyDescent="0.35">
      <c r="I57" t="s">
        <v>2313</v>
      </c>
      <c r="J57">
        <v>1</v>
      </c>
    </row>
    <row r="58" spans="9:11" x14ac:dyDescent="0.35">
      <c r="I58" t="s">
        <v>2314</v>
      </c>
      <c r="J58">
        <v>2</v>
      </c>
    </row>
    <row r="59" spans="9:11" x14ac:dyDescent="0.35">
      <c r="I59" t="s">
        <v>2315</v>
      </c>
      <c r="J59">
        <v>1</v>
      </c>
    </row>
    <row r="60" spans="9:11" x14ac:dyDescent="0.35">
      <c r="I60" t="s">
        <v>2316</v>
      </c>
      <c r="J60">
        <v>4</v>
      </c>
    </row>
    <row r="61" spans="9:11" x14ac:dyDescent="0.35">
      <c r="I61" t="s">
        <v>2317</v>
      </c>
      <c r="J61">
        <v>10</v>
      </c>
    </row>
    <row r="62" spans="9:11" x14ac:dyDescent="0.35">
      <c r="I62" t="s">
        <v>2318</v>
      </c>
      <c r="J62">
        <v>2</v>
      </c>
    </row>
    <row r="63" spans="9:11" x14ac:dyDescent="0.35">
      <c r="I63" t="s">
        <v>2319</v>
      </c>
      <c r="J63">
        <v>1</v>
      </c>
    </row>
    <row r="64" spans="9:11" x14ac:dyDescent="0.35">
      <c r="I64" t="s">
        <v>2320</v>
      </c>
      <c r="J64">
        <v>1</v>
      </c>
    </row>
    <row r="65" spans="9:11" x14ac:dyDescent="0.35">
      <c r="I65" t="s">
        <v>2321</v>
      </c>
      <c r="J65">
        <v>15</v>
      </c>
    </row>
    <row r="66" spans="9:11" hidden="1" x14ac:dyDescent="0.35">
      <c r="I66" t="s">
        <v>2322</v>
      </c>
      <c r="J66">
        <v>9</v>
      </c>
      <c r="K66" t="s">
        <v>2526</v>
      </c>
    </row>
    <row r="67" spans="9:11" x14ac:dyDescent="0.35">
      <c r="I67" t="s">
        <v>2323</v>
      </c>
      <c r="J67">
        <v>2</v>
      </c>
    </row>
    <row r="68" spans="9:11" x14ac:dyDescent="0.35">
      <c r="I68" t="s">
        <v>2324</v>
      </c>
      <c r="J68">
        <v>2</v>
      </c>
    </row>
    <row r="69" spans="9:11" x14ac:dyDescent="0.35">
      <c r="I69" t="s">
        <v>2325</v>
      </c>
      <c r="J69">
        <v>2</v>
      </c>
    </row>
    <row r="70" spans="9:11" x14ac:dyDescent="0.35">
      <c r="I70" t="s">
        <v>2326</v>
      </c>
      <c r="J70">
        <v>3</v>
      </c>
    </row>
    <row r="71" spans="9:11" x14ac:dyDescent="0.35">
      <c r="I71" t="s">
        <v>2327</v>
      </c>
      <c r="J71">
        <v>1</v>
      </c>
    </row>
    <row r="72" spans="9:11" x14ac:dyDescent="0.35">
      <c r="I72" t="s">
        <v>2328</v>
      </c>
      <c r="J72">
        <v>1</v>
      </c>
    </row>
    <row r="73" spans="9:11" hidden="1" x14ac:dyDescent="0.35">
      <c r="I73" t="s">
        <v>2329</v>
      </c>
      <c r="J73">
        <v>1</v>
      </c>
      <c r="K73" t="s">
        <v>2526</v>
      </c>
    </row>
    <row r="74" spans="9:11" x14ac:dyDescent="0.35">
      <c r="I74" t="s">
        <v>2330</v>
      </c>
      <c r="J74">
        <v>12</v>
      </c>
    </row>
    <row r="75" spans="9:11" hidden="1" x14ac:dyDescent="0.35">
      <c r="I75" t="s">
        <v>2331</v>
      </c>
      <c r="J75">
        <v>45</v>
      </c>
      <c r="K75" t="s">
        <v>182</v>
      </c>
    </row>
    <row r="76" spans="9:11" hidden="1" x14ac:dyDescent="0.35">
      <c r="I76" t="s">
        <v>2332</v>
      </c>
      <c r="J76">
        <v>3</v>
      </c>
      <c r="K76" t="s">
        <v>182</v>
      </c>
    </row>
    <row r="77" spans="9:11" x14ac:dyDescent="0.35">
      <c r="I77" t="s">
        <v>2333</v>
      </c>
      <c r="J77">
        <v>1</v>
      </c>
    </row>
    <row r="78" spans="9:11" x14ac:dyDescent="0.35">
      <c r="I78" t="s">
        <v>2334</v>
      </c>
      <c r="J78">
        <v>4</v>
      </c>
    </row>
    <row r="79" spans="9:11" x14ac:dyDescent="0.35">
      <c r="I79" t="s">
        <v>2335</v>
      </c>
      <c r="J79">
        <v>2</v>
      </c>
    </row>
    <row r="80" spans="9:11" x14ac:dyDescent="0.35">
      <c r="I80" t="s">
        <v>2336</v>
      </c>
      <c r="J80">
        <v>2</v>
      </c>
    </row>
    <row r="81" spans="9:11" x14ac:dyDescent="0.35">
      <c r="I81" t="s">
        <v>2337</v>
      </c>
      <c r="J81">
        <v>1</v>
      </c>
    </row>
    <row r="82" spans="9:11" x14ac:dyDescent="0.35">
      <c r="I82" t="s">
        <v>2338</v>
      </c>
      <c r="J82">
        <v>2</v>
      </c>
    </row>
    <row r="83" spans="9:11" x14ac:dyDescent="0.35">
      <c r="I83" t="s">
        <v>2339</v>
      </c>
      <c r="J83">
        <v>3</v>
      </c>
    </row>
    <row r="84" spans="9:11" x14ac:dyDescent="0.35">
      <c r="I84" t="s">
        <v>2340</v>
      </c>
      <c r="J84">
        <v>1</v>
      </c>
    </row>
    <row r="85" spans="9:11" x14ac:dyDescent="0.35">
      <c r="I85" t="s">
        <v>2341</v>
      </c>
      <c r="J85">
        <v>5</v>
      </c>
    </row>
    <row r="86" spans="9:11" x14ac:dyDescent="0.35">
      <c r="I86" t="s">
        <v>2342</v>
      </c>
      <c r="J86">
        <v>8</v>
      </c>
    </row>
    <row r="87" spans="9:11" x14ac:dyDescent="0.35">
      <c r="I87" t="s">
        <v>2343</v>
      </c>
      <c r="J87">
        <v>7</v>
      </c>
    </row>
    <row r="88" spans="9:11" hidden="1" x14ac:dyDescent="0.35">
      <c r="I88" t="s">
        <v>2344</v>
      </c>
      <c r="J88">
        <v>1</v>
      </c>
      <c r="K88" t="s">
        <v>182</v>
      </c>
    </row>
    <row r="89" spans="9:11" x14ac:dyDescent="0.35">
      <c r="I89" t="s">
        <v>2345</v>
      </c>
      <c r="J89">
        <v>1</v>
      </c>
    </row>
    <row r="90" spans="9:11" x14ac:dyDescent="0.35">
      <c r="I90" t="s">
        <v>2346</v>
      </c>
      <c r="J90">
        <v>1</v>
      </c>
    </row>
    <row r="91" spans="9:11" x14ac:dyDescent="0.35">
      <c r="I91" t="s">
        <v>2347</v>
      </c>
      <c r="J91">
        <v>1</v>
      </c>
    </row>
    <row r="92" spans="9:11" x14ac:dyDescent="0.35">
      <c r="I92" t="s">
        <v>2018</v>
      </c>
      <c r="J92">
        <v>2</v>
      </c>
    </row>
    <row r="93" spans="9:11" x14ac:dyDescent="0.35">
      <c r="I93" t="s">
        <v>2348</v>
      </c>
      <c r="J93">
        <v>4</v>
      </c>
    </row>
    <row r="94" spans="9:11" hidden="1" x14ac:dyDescent="0.35">
      <c r="I94" t="s">
        <v>2109</v>
      </c>
      <c r="J94">
        <v>18</v>
      </c>
      <c r="K94" t="s">
        <v>182</v>
      </c>
    </row>
    <row r="95" spans="9:11" hidden="1" x14ac:dyDescent="0.35">
      <c r="I95" t="s">
        <v>2349</v>
      </c>
      <c r="J95">
        <v>1</v>
      </c>
      <c r="K95" t="s">
        <v>182</v>
      </c>
    </row>
    <row r="96" spans="9:11" x14ac:dyDescent="0.35">
      <c r="I96" t="s">
        <v>2350</v>
      </c>
      <c r="J96">
        <v>1</v>
      </c>
    </row>
    <row r="97" spans="9:11" x14ac:dyDescent="0.35">
      <c r="I97" t="s">
        <v>2351</v>
      </c>
      <c r="J97">
        <v>1</v>
      </c>
    </row>
    <row r="98" spans="9:11" x14ac:dyDescent="0.35">
      <c r="I98" t="s">
        <v>2352</v>
      </c>
      <c r="J98">
        <v>1</v>
      </c>
    </row>
    <row r="99" spans="9:11" x14ac:dyDescent="0.35">
      <c r="I99" t="s">
        <v>1330</v>
      </c>
      <c r="J99">
        <v>62</v>
      </c>
    </row>
    <row r="100" spans="9:11" hidden="1" x14ac:dyDescent="0.35">
      <c r="I100" t="s">
        <v>2353</v>
      </c>
      <c r="J100">
        <v>1</v>
      </c>
      <c r="K100" t="s">
        <v>124</v>
      </c>
    </row>
    <row r="101" spans="9:11" hidden="1" x14ac:dyDescent="0.35">
      <c r="I101" t="s">
        <v>2354</v>
      </c>
      <c r="J101">
        <v>1</v>
      </c>
      <c r="K101" t="s">
        <v>182</v>
      </c>
    </row>
    <row r="102" spans="9:11" x14ac:dyDescent="0.35">
      <c r="I102" t="s">
        <v>2355</v>
      </c>
      <c r="J102">
        <v>1</v>
      </c>
    </row>
    <row r="103" spans="9:11" hidden="1" x14ac:dyDescent="0.35">
      <c r="I103" t="s">
        <v>2356</v>
      </c>
      <c r="J103">
        <v>9</v>
      </c>
      <c r="K103" t="s">
        <v>182</v>
      </c>
    </row>
    <row r="104" spans="9:11" x14ac:dyDescent="0.35">
      <c r="I104" t="s">
        <v>2357</v>
      </c>
      <c r="J104">
        <v>1</v>
      </c>
    </row>
    <row r="105" spans="9:11" hidden="1" x14ac:dyDescent="0.35">
      <c r="I105" t="s">
        <v>2358</v>
      </c>
      <c r="J105">
        <v>1</v>
      </c>
      <c r="K105" t="s">
        <v>182</v>
      </c>
    </row>
    <row r="106" spans="9:11" hidden="1" x14ac:dyDescent="0.35">
      <c r="I106" t="s">
        <v>1923</v>
      </c>
      <c r="J106">
        <v>4</v>
      </c>
      <c r="K106" t="s">
        <v>182</v>
      </c>
    </row>
    <row r="107" spans="9:11" x14ac:dyDescent="0.35">
      <c r="I107" t="s">
        <v>2359</v>
      </c>
      <c r="J107">
        <v>8</v>
      </c>
    </row>
    <row r="108" spans="9:11" hidden="1" x14ac:dyDescent="0.35">
      <c r="I108" t="s">
        <v>244</v>
      </c>
      <c r="J108">
        <v>12</v>
      </c>
      <c r="K108" t="s">
        <v>182</v>
      </c>
    </row>
    <row r="109" spans="9:11" hidden="1" x14ac:dyDescent="0.35">
      <c r="I109" t="s">
        <v>2360</v>
      </c>
      <c r="J109">
        <v>6</v>
      </c>
      <c r="K109" t="s">
        <v>182</v>
      </c>
    </row>
    <row r="110" spans="9:11" hidden="1" x14ac:dyDescent="0.35">
      <c r="I110" t="s">
        <v>752</v>
      </c>
      <c r="J110">
        <v>1</v>
      </c>
      <c r="K110" t="s">
        <v>182</v>
      </c>
    </row>
    <row r="111" spans="9:11" hidden="1" x14ac:dyDescent="0.35">
      <c r="I111" t="s">
        <v>2135</v>
      </c>
      <c r="J111">
        <v>1</v>
      </c>
      <c r="K111" t="s">
        <v>182</v>
      </c>
    </row>
    <row r="112" spans="9:11" hidden="1" x14ac:dyDescent="0.35">
      <c r="I112" t="s">
        <v>2138</v>
      </c>
      <c r="J112">
        <v>4</v>
      </c>
      <c r="K112" t="s">
        <v>182</v>
      </c>
    </row>
    <row r="113" spans="9:11" hidden="1" x14ac:dyDescent="0.35">
      <c r="I113" t="s">
        <v>1900</v>
      </c>
      <c r="J113">
        <v>1</v>
      </c>
      <c r="K113" t="s">
        <v>182</v>
      </c>
    </row>
    <row r="114" spans="9:11" hidden="1" x14ac:dyDescent="0.35">
      <c r="I114" t="s">
        <v>1898</v>
      </c>
      <c r="J114">
        <v>1</v>
      </c>
      <c r="K114" t="s">
        <v>182</v>
      </c>
    </row>
    <row r="115" spans="9:11" x14ac:dyDescent="0.35">
      <c r="I115" t="s">
        <v>2361</v>
      </c>
      <c r="J115">
        <v>1</v>
      </c>
    </row>
    <row r="116" spans="9:11" x14ac:dyDescent="0.35">
      <c r="I116" t="s">
        <v>2362</v>
      </c>
      <c r="J116">
        <v>14</v>
      </c>
    </row>
    <row r="117" spans="9:11" hidden="1" x14ac:dyDescent="0.35">
      <c r="I117" t="s">
        <v>2363</v>
      </c>
      <c r="J117">
        <v>10</v>
      </c>
      <c r="K117" t="s">
        <v>2526</v>
      </c>
    </row>
    <row r="118" spans="9:11" x14ac:dyDescent="0.35">
      <c r="I118" t="s">
        <v>2364</v>
      </c>
      <c r="J118">
        <v>8</v>
      </c>
    </row>
    <row r="119" spans="9:11" x14ac:dyDescent="0.35">
      <c r="I119" t="s">
        <v>1530</v>
      </c>
      <c r="J119">
        <v>5</v>
      </c>
    </row>
    <row r="120" spans="9:11" hidden="1" x14ac:dyDescent="0.35">
      <c r="I120" t="s">
        <v>2201</v>
      </c>
      <c r="J120">
        <v>16</v>
      </c>
      <c r="K120" t="s">
        <v>2526</v>
      </c>
    </row>
    <row r="121" spans="9:11" x14ac:dyDescent="0.35">
      <c r="I121" t="s">
        <v>2365</v>
      </c>
      <c r="J121">
        <v>1</v>
      </c>
    </row>
    <row r="122" spans="9:11" x14ac:dyDescent="0.35">
      <c r="I122" t="s">
        <v>1079</v>
      </c>
      <c r="J122">
        <v>13</v>
      </c>
    </row>
    <row r="123" spans="9:11" x14ac:dyDescent="0.35">
      <c r="I123" t="s">
        <v>2366</v>
      </c>
      <c r="J123">
        <v>8</v>
      </c>
    </row>
    <row r="124" spans="9:11" x14ac:dyDescent="0.35">
      <c r="I124" t="s">
        <v>2367</v>
      </c>
      <c r="J124">
        <v>1</v>
      </c>
    </row>
    <row r="125" spans="9:11" x14ac:dyDescent="0.35">
      <c r="I125" t="s">
        <v>2368</v>
      </c>
      <c r="J125">
        <v>2</v>
      </c>
    </row>
    <row r="126" spans="9:11" x14ac:dyDescent="0.35">
      <c r="I126" t="s">
        <v>2369</v>
      </c>
      <c r="J126">
        <v>5</v>
      </c>
    </row>
    <row r="127" spans="9:11" x14ac:dyDescent="0.35">
      <c r="I127" t="s">
        <v>2370</v>
      </c>
      <c r="J127">
        <v>1</v>
      </c>
    </row>
    <row r="128" spans="9:11" x14ac:dyDescent="0.35">
      <c r="I128" t="s">
        <v>2371</v>
      </c>
      <c r="J128">
        <v>1</v>
      </c>
    </row>
    <row r="129" spans="9:10" x14ac:dyDescent="0.35">
      <c r="I129" t="s">
        <v>2372</v>
      </c>
      <c r="J129">
        <v>29</v>
      </c>
    </row>
    <row r="130" spans="9:10" x14ac:dyDescent="0.35">
      <c r="I130" t="s">
        <v>2373</v>
      </c>
      <c r="J130">
        <v>1</v>
      </c>
    </row>
    <row r="131" spans="9:10" x14ac:dyDescent="0.35">
      <c r="I131" t="s">
        <v>2374</v>
      </c>
      <c r="J131">
        <v>1</v>
      </c>
    </row>
    <row r="132" spans="9:10" x14ac:dyDescent="0.35">
      <c r="I132" t="s">
        <v>1973</v>
      </c>
      <c r="J132">
        <v>2</v>
      </c>
    </row>
    <row r="133" spans="9:10" x14ac:dyDescent="0.35">
      <c r="I133" t="s">
        <v>1268</v>
      </c>
      <c r="J133">
        <v>6</v>
      </c>
    </row>
    <row r="134" spans="9:10" x14ac:dyDescent="0.35">
      <c r="I134" t="s">
        <v>2375</v>
      </c>
      <c r="J134">
        <v>11</v>
      </c>
    </row>
    <row r="135" spans="9:10" x14ac:dyDescent="0.35">
      <c r="I135" t="s">
        <v>137</v>
      </c>
      <c r="J135">
        <v>1</v>
      </c>
    </row>
    <row r="136" spans="9:10" x14ac:dyDescent="0.35">
      <c r="I136" t="s">
        <v>868</v>
      </c>
      <c r="J136">
        <v>3</v>
      </c>
    </row>
    <row r="137" spans="9:10" x14ac:dyDescent="0.35">
      <c r="I137" t="s">
        <v>2376</v>
      </c>
      <c r="J137">
        <v>3</v>
      </c>
    </row>
    <row r="138" spans="9:10" x14ac:dyDescent="0.35">
      <c r="I138" t="s">
        <v>2377</v>
      </c>
      <c r="J138">
        <v>8</v>
      </c>
    </row>
    <row r="139" spans="9:10" x14ac:dyDescent="0.35">
      <c r="I139" t="s">
        <v>2378</v>
      </c>
      <c r="J139">
        <v>1</v>
      </c>
    </row>
    <row r="140" spans="9:10" x14ac:dyDescent="0.35">
      <c r="I140" t="s">
        <v>238</v>
      </c>
      <c r="J140">
        <v>1</v>
      </c>
    </row>
    <row r="141" spans="9:10" x14ac:dyDescent="0.35">
      <c r="I141" t="s">
        <v>2379</v>
      </c>
      <c r="J141">
        <v>1</v>
      </c>
    </row>
    <row r="142" spans="9:10" x14ac:dyDescent="0.35">
      <c r="I142" t="s">
        <v>2380</v>
      </c>
      <c r="J142">
        <v>16</v>
      </c>
    </row>
    <row r="143" spans="9:10" x14ac:dyDescent="0.35">
      <c r="I143" t="s">
        <v>2381</v>
      </c>
      <c r="J143">
        <v>9</v>
      </c>
    </row>
    <row r="144" spans="9:10" x14ac:dyDescent="0.35">
      <c r="I144" t="s">
        <v>2382</v>
      </c>
      <c r="J144">
        <v>7</v>
      </c>
    </row>
    <row r="145" spans="9:11" x14ac:dyDescent="0.35">
      <c r="I145" t="s">
        <v>2017</v>
      </c>
      <c r="J145">
        <v>1</v>
      </c>
    </row>
    <row r="146" spans="9:11" x14ac:dyDescent="0.35">
      <c r="I146" t="s">
        <v>212</v>
      </c>
      <c r="J146">
        <v>1</v>
      </c>
    </row>
    <row r="147" spans="9:11" hidden="1" x14ac:dyDescent="0.35">
      <c r="I147" t="s">
        <v>2383</v>
      </c>
      <c r="J147">
        <v>1</v>
      </c>
      <c r="K147" t="s">
        <v>182</v>
      </c>
    </row>
    <row r="148" spans="9:11" x14ac:dyDescent="0.35">
      <c r="I148" t="s">
        <v>2384</v>
      </c>
      <c r="J148">
        <v>2</v>
      </c>
    </row>
    <row r="149" spans="9:11" x14ac:dyDescent="0.35">
      <c r="I149" t="s">
        <v>2385</v>
      </c>
      <c r="J149">
        <v>1</v>
      </c>
    </row>
    <row r="150" spans="9:11" x14ac:dyDescent="0.35">
      <c r="I150" t="s">
        <v>2386</v>
      </c>
      <c r="J150">
        <v>1</v>
      </c>
    </row>
    <row r="151" spans="9:11" x14ac:dyDescent="0.35">
      <c r="I151" t="s">
        <v>2387</v>
      </c>
      <c r="J151">
        <v>1</v>
      </c>
    </row>
    <row r="152" spans="9:11" x14ac:dyDescent="0.35">
      <c r="I152" t="s">
        <v>2388</v>
      </c>
      <c r="J152">
        <v>1</v>
      </c>
    </row>
    <row r="153" spans="9:11" x14ac:dyDescent="0.35">
      <c r="I153" t="s">
        <v>2389</v>
      </c>
      <c r="J153">
        <v>1</v>
      </c>
    </row>
    <row r="154" spans="9:11" x14ac:dyDescent="0.35">
      <c r="I154" t="s">
        <v>2390</v>
      </c>
      <c r="J154">
        <v>10</v>
      </c>
    </row>
    <row r="155" spans="9:11" x14ac:dyDescent="0.35">
      <c r="I155" t="s">
        <v>2391</v>
      </c>
      <c r="J155">
        <v>1</v>
      </c>
    </row>
    <row r="156" spans="9:11" x14ac:dyDescent="0.35">
      <c r="I156" t="s">
        <v>2392</v>
      </c>
      <c r="J156">
        <v>8</v>
      </c>
    </row>
    <row r="157" spans="9:11" x14ac:dyDescent="0.35">
      <c r="I157" t="s">
        <v>2393</v>
      </c>
      <c r="J157">
        <v>6</v>
      </c>
    </row>
    <row r="158" spans="9:11" x14ac:dyDescent="0.35">
      <c r="I158" t="s">
        <v>2394</v>
      </c>
      <c r="J158">
        <v>6</v>
      </c>
    </row>
    <row r="159" spans="9:11" x14ac:dyDescent="0.35">
      <c r="I159" t="s">
        <v>2395</v>
      </c>
      <c r="J159">
        <v>4</v>
      </c>
    </row>
    <row r="160" spans="9:11" x14ac:dyDescent="0.35">
      <c r="I160" t="s">
        <v>2396</v>
      </c>
      <c r="J160">
        <v>1</v>
      </c>
    </row>
    <row r="161" spans="9:11" x14ac:dyDescent="0.35">
      <c r="I161" t="s">
        <v>2397</v>
      </c>
      <c r="J161">
        <v>1</v>
      </c>
    </row>
    <row r="162" spans="9:11" x14ac:dyDescent="0.35">
      <c r="I162" t="s">
        <v>2398</v>
      </c>
      <c r="J162">
        <v>1</v>
      </c>
    </row>
    <row r="163" spans="9:11" x14ac:dyDescent="0.35">
      <c r="I163" t="s">
        <v>814</v>
      </c>
      <c r="J163">
        <v>8</v>
      </c>
    </row>
    <row r="164" spans="9:11" hidden="1" x14ac:dyDescent="0.35">
      <c r="I164" t="s">
        <v>13</v>
      </c>
      <c r="J164">
        <v>9</v>
      </c>
      <c r="K164" t="s">
        <v>2526</v>
      </c>
    </row>
    <row r="165" spans="9:11" x14ac:dyDescent="0.35">
      <c r="I165" t="s">
        <v>334</v>
      </c>
      <c r="J165">
        <v>5</v>
      </c>
    </row>
    <row r="166" spans="9:11" hidden="1" x14ac:dyDescent="0.35">
      <c r="I166" t="s">
        <v>2399</v>
      </c>
      <c r="J166">
        <v>5</v>
      </c>
      <c r="K166" t="s">
        <v>2526</v>
      </c>
    </row>
    <row r="167" spans="9:11" hidden="1" x14ac:dyDescent="0.35">
      <c r="I167" t="s">
        <v>182</v>
      </c>
      <c r="J167">
        <v>1</v>
      </c>
      <c r="K167" t="s">
        <v>182</v>
      </c>
    </row>
    <row r="168" spans="9:11" hidden="1" x14ac:dyDescent="0.35">
      <c r="I168" t="s">
        <v>2400</v>
      </c>
      <c r="J168">
        <v>1</v>
      </c>
      <c r="K168" t="s">
        <v>182</v>
      </c>
    </row>
    <row r="169" spans="9:11" hidden="1" x14ac:dyDescent="0.35">
      <c r="I169" t="s">
        <v>965</v>
      </c>
      <c r="J169">
        <v>1</v>
      </c>
      <c r="K169" t="s">
        <v>182</v>
      </c>
    </row>
    <row r="170" spans="9:11" hidden="1" x14ac:dyDescent="0.35">
      <c r="I170" t="s">
        <v>2401</v>
      </c>
      <c r="J170">
        <v>14</v>
      </c>
      <c r="K170" t="s">
        <v>182</v>
      </c>
    </row>
    <row r="171" spans="9:11" hidden="1" x14ac:dyDescent="0.35">
      <c r="I171" t="s">
        <v>2087</v>
      </c>
      <c r="J171">
        <v>19</v>
      </c>
      <c r="K171" t="s">
        <v>182</v>
      </c>
    </row>
    <row r="172" spans="9:11" hidden="1" x14ac:dyDescent="0.35">
      <c r="I172" t="s">
        <v>2402</v>
      </c>
      <c r="J172">
        <v>3</v>
      </c>
      <c r="K172" t="s">
        <v>182</v>
      </c>
    </row>
    <row r="173" spans="9:11" hidden="1" x14ac:dyDescent="0.35">
      <c r="I173" t="s">
        <v>144</v>
      </c>
      <c r="J173">
        <v>5</v>
      </c>
      <c r="K173" t="s">
        <v>182</v>
      </c>
    </row>
    <row r="174" spans="9:11" hidden="1" x14ac:dyDescent="0.35">
      <c r="I174" t="s">
        <v>2403</v>
      </c>
      <c r="J174">
        <v>1</v>
      </c>
      <c r="K174" t="s">
        <v>182</v>
      </c>
    </row>
    <row r="175" spans="9:11" hidden="1" x14ac:dyDescent="0.35">
      <c r="I175" t="s">
        <v>1986</v>
      </c>
      <c r="J175">
        <v>14</v>
      </c>
      <c r="K175" t="s">
        <v>182</v>
      </c>
    </row>
    <row r="176" spans="9:11" hidden="1" x14ac:dyDescent="0.35">
      <c r="I176" t="s">
        <v>2404</v>
      </c>
      <c r="J176">
        <v>1</v>
      </c>
      <c r="K176" t="s">
        <v>182</v>
      </c>
    </row>
    <row r="177" spans="9:11" hidden="1" x14ac:dyDescent="0.35">
      <c r="I177" t="s">
        <v>2405</v>
      </c>
      <c r="J177">
        <v>18</v>
      </c>
      <c r="K177" t="s">
        <v>182</v>
      </c>
    </row>
    <row r="178" spans="9:11" hidden="1" x14ac:dyDescent="0.35">
      <c r="I178" t="s">
        <v>2081</v>
      </c>
      <c r="J178">
        <v>2</v>
      </c>
      <c r="K178" t="s">
        <v>182</v>
      </c>
    </row>
    <row r="179" spans="9:11" hidden="1" x14ac:dyDescent="0.35">
      <c r="I179" t="s">
        <v>2406</v>
      </c>
      <c r="J179">
        <v>1</v>
      </c>
      <c r="K179" t="s">
        <v>182</v>
      </c>
    </row>
    <row r="180" spans="9:11" hidden="1" x14ac:dyDescent="0.35">
      <c r="I180" t="s">
        <v>157</v>
      </c>
      <c r="J180">
        <v>22</v>
      </c>
      <c r="K180" t="s">
        <v>182</v>
      </c>
    </row>
    <row r="181" spans="9:11" hidden="1" x14ac:dyDescent="0.35">
      <c r="I181" t="s">
        <v>2407</v>
      </c>
      <c r="J181">
        <v>8</v>
      </c>
      <c r="K181" t="s">
        <v>182</v>
      </c>
    </row>
    <row r="182" spans="9:11" hidden="1" x14ac:dyDescent="0.35">
      <c r="I182" t="s">
        <v>1066</v>
      </c>
      <c r="J182">
        <v>18</v>
      </c>
      <c r="K182" t="s">
        <v>182</v>
      </c>
    </row>
    <row r="183" spans="9:11" hidden="1" x14ac:dyDescent="0.35">
      <c r="I183" t="s">
        <v>534</v>
      </c>
      <c r="J183">
        <v>107</v>
      </c>
      <c r="K183" t="s">
        <v>182</v>
      </c>
    </row>
    <row r="184" spans="9:11" hidden="1" x14ac:dyDescent="0.35">
      <c r="I184" t="s">
        <v>2060</v>
      </c>
      <c r="J184">
        <v>16</v>
      </c>
      <c r="K184" t="s">
        <v>182</v>
      </c>
    </row>
    <row r="185" spans="9:11" hidden="1" x14ac:dyDescent="0.35">
      <c r="I185" t="s">
        <v>2408</v>
      </c>
      <c r="J185">
        <v>4</v>
      </c>
      <c r="K185" t="s">
        <v>182</v>
      </c>
    </row>
    <row r="186" spans="9:11" x14ac:dyDescent="0.35">
      <c r="I186" t="s">
        <v>2409</v>
      </c>
      <c r="J186">
        <v>1</v>
      </c>
    </row>
    <row r="187" spans="9:11" x14ac:dyDescent="0.35">
      <c r="I187" t="s">
        <v>1686</v>
      </c>
      <c r="J187">
        <v>1</v>
      </c>
    </row>
    <row r="188" spans="9:11" x14ac:dyDescent="0.35">
      <c r="I188" t="s">
        <v>2410</v>
      </c>
      <c r="J188">
        <v>1</v>
      </c>
    </row>
    <row r="189" spans="9:11" x14ac:dyDescent="0.35">
      <c r="I189" t="s">
        <v>2411</v>
      </c>
      <c r="J189">
        <v>3</v>
      </c>
    </row>
    <row r="190" spans="9:11" x14ac:dyDescent="0.35">
      <c r="I190" t="s">
        <v>2412</v>
      </c>
      <c r="J190">
        <v>3</v>
      </c>
    </row>
    <row r="191" spans="9:11" x14ac:dyDescent="0.35">
      <c r="I191" t="s">
        <v>930</v>
      </c>
      <c r="J191">
        <v>27</v>
      </c>
    </row>
    <row r="192" spans="9:11" x14ac:dyDescent="0.35">
      <c r="I192" t="s">
        <v>2413</v>
      </c>
      <c r="J192">
        <v>2</v>
      </c>
    </row>
    <row r="193" spans="9:11" x14ac:dyDescent="0.35">
      <c r="I193" t="s">
        <v>2414</v>
      </c>
      <c r="J193">
        <v>1</v>
      </c>
    </row>
    <row r="194" spans="9:11" x14ac:dyDescent="0.35">
      <c r="I194" t="s">
        <v>2415</v>
      </c>
      <c r="J194">
        <v>8</v>
      </c>
    </row>
    <row r="195" spans="9:11" hidden="1" x14ac:dyDescent="0.35">
      <c r="I195" t="s">
        <v>2416</v>
      </c>
      <c r="J195">
        <v>4</v>
      </c>
      <c r="K195" t="s">
        <v>2526</v>
      </c>
    </row>
    <row r="196" spans="9:11" x14ac:dyDescent="0.35">
      <c r="I196" t="s">
        <v>2417</v>
      </c>
      <c r="J196">
        <v>1</v>
      </c>
    </row>
    <row r="197" spans="9:11" x14ac:dyDescent="0.35">
      <c r="I197" t="s">
        <v>1748</v>
      </c>
      <c r="J197">
        <v>7</v>
      </c>
    </row>
    <row r="198" spans="9:11" x14ac:dyDescent="0.35">
      <c r="I198" t="s">
        <v>2418</v>
      </c>
      <c r="J198">
        <v>1</v>
      </c>
    </row>
    <row r="199" spans="9:11" x14ac:dyDescent="0.35">
      <c r="I199" t="s">
        <v>1253</v>
      </c>
      <c r="J199">
        <v>10</v>
      </c>
    </row>
    <row r="200" spans="9:11" x14ac:dyDescent="0.35">
      <c r="I200" t="s">
        <v>211</v>
      </c>
      <c r="J200">
        <v>3</v>
      </c>
    </row>
    <row r="201" spans="9:11" x14ac:dyDescent="0.35">
      <c r="I201" t="s">
        <v>2419</v>
      </c>
      <c r="J201">
        <v>1</v>
      </c>
    </row>
    <row r="202" spans="9:11" x14ac:dyDescent="0.35">
      <c r="I202" t="s">
        <v>230</v>
      </c>
      <c r="J202">
        <v>2</v>
      </c>
    </row>
    <row r="203" spans="9:11" x14ac:dyDescent="0.35">
      <c r="I203" t="s">
        <v>2420</v>
      </c>
      <c r="J203">
        <v>4</v>
      </c>
    </row>
    <row r="204" spans="9:11" x14ac:dyDescent="0.35">
      <c r="I204" t="s">
        <v>1650</v>
      </c>
      <c r="J204">
        <v>8</v>
      </c>
    </row>
    <row r="205" spans="9:11" x14ac:dyDescent="0.35">
      <c r="I205" t="s">
        <v>2421</v>
      </c>
      <c r="J205">
        <v>2</v>
      </c>
    </row>
    <row r="206" spans="9:11" x14ac:dyDescent="0.35">
      <c r="I206" t="s">
        <v>2422</v>
      </c>
      <c r="J206">
        <v>2</v>
      </c>
    </row>
    <row r="207" spans="9:11" x14ac:dyDescent="0.35">
      <c r="I207" t="s">
        <v>232</v>
      </c>
      <c r="J207">
        <v>1</v>
      </c>
    </row>
    <row r="208" spans="9:11" x14ac:dyDescent="0.35">
      <c r="I208" t="s">
        <v>2423</v>
      </c>
      <c r="J208">
        <v>1</v>
      </c>
    </row>
    <row r="209" spans="9:11" x14ac:dyDescent="0.35">
      <c r="I209" t="s">
        <v>2424</v>
      </c>
      <c r="J209">
        <v>1</v>
      </c>
    </row>
    <row r="210" spans="9:11" x14ac:dyDescent="0.35">
      <c r="I210" t="s">
        <v>2425</v>
      </c>
      <c r="J210">
        <v>1</v>
      </c>
    </row>
    <row r="211" spans="9:11" x14ac:dyDescent="0.35">
      <c r="I211" t="s">
        <v>2426</v>
      </c>
      <c r="J211">
        <v>1</v>
      </c>
    </row>
    <row r="212" spans="9:11" x14ac:dyDescent="0.35">
      <c r="I212" t="s">
        <v>2427</v>
      </c>
      <c r="J212">
        <v>3</v>
      </c>
    </row>
    <row r="213" spans="9:11" x14ac:dyDescent="0.35">
      <c r="I213" t="s">
        <v>1300</v>
      </c>
      <c r="J213">
        <v>3</v>
      </c>
    </row>
    <row r="214" spans="9:11" x14ac:dyDescent="0.35">
      <c r="I214" t="s">
        <v>2428</v>
      </c>
      <c r="J214">
        <v>1</v>
      </c>
    </row>
    <row r="215" spans="9:11" x14ac:dyDescent="0.35">
      <c r="I215" t="s">
        <v>2429</v>
      </c>
      <c r="J215">
        <v>1</v>
      </c>
    </row>
    <row r="216" spans="9:11" x14ac:dyDescent="0.35">
      <c r="I216" t="s">
        <v>786</v>
      </c>
      <c r="J216">
        <v>73</v>
      </c>
    </row>
    <row r="217" spans="9:11" x14ac:dyDescent="0.35">
      <c r="I217" t="s">
        <v>2430</v>
      </c>
      <c r="J217">
        <v>1</v>
      </c>
    </row>
    <row r="218" spans="9:11" x14ac:dyDescent="0.35">
      <c r="I218" t="s">
        <v>2431</v>
      </c>
      <c r="J218">
        <v>1</v>
      </c>
    </row>
    <row r="219" spans="9:11" x14ac:dyDescent="0.35">
      <c r="I219" t="s">
        <v>268</v>
      </c>
      <c r="J219">
        <v>1</v>
      </c>
    </row>
    <row r="220" spans="9:11" x14ac:dyDescent="0.35">
      <c r="I220" t="s">
        <v>2432</v>
      </c>
      <c r="J220">
        <v>1</v>
      </c>
    </row>
    <row r="221" spans="9:11" x14ac:dyDescent="0.35">
      <c r="I221" t="s">
        <v>2433</v>
      </c>
      <c r="J221">
        <v>1</v>
      </c>
    </row>
    <row r="222" spans="9:11" hidden="1" x14ac:dyDescent="0.35">
      <c r="I222" t="s">
        <v>2434</v>
      </c>
      <c r="J222">
        <v>1</v>
      </c>
      <c r="K222" t="s">
        <v>182</v>
      </c>
    </row>
    <row r="223" spans="9:11" hidden="1" x14ac:dyDescent="0.35">
      <c r="I223" t="s">
        <v>1674</v>
      </c>
      <c r="J223">
        <v>7</v>
      </c>
      <c r="K223" t="s">
        <v>182</v>
      </c>
    </row>
    <row r="224" spans="9:11" hidden="1" x14ac:dyDescent="0.35">
      <c r="I224" t="s">
        <v>2435</v>
      </c>
      <c r="J224">
        <v>3</v>
      </c>
      <c r="K224" t="s">
        <v>182</v>
      </c>
    </row>
    <row r="225" spans="9:10" x14ac:dyDescent="0.35">
      <c r="I225" t="s">
        <v>2436</v>
      </c>
      <c r="J225">
        <v>3</v>
      </c>
    </row>
    <row r="226" spans="9:10" x14ac:dyDescent="0.35">
      <c r="I226" t="s">
        <v>2437</v>
      </c>
      <c r="J226">
        <v>8</v>
      </c>
    </row>
    <row r="227" spans="9:10" x14ac:dyDescent="0.35">
      <c r="I227" t="s">
        <v>2438</v>
      </c>
      <c r="J227">
        <v>1</v>
      </c>
    </row>
    <row r="228" spans="9:10" x14ac:dyDescent="0.35">
      <c r="I228" t="s">
        <v>2439</v>
      </c>
      <c r="J228">
        <v>1</v>
      </c>
    </row>
    <row r="229" spans="9:10" x14ac:dyDescent="0.35">
      <c r="I229" t="s">
        <v>2440</v>
      </c>
      <c r="J229">
        <v>1</v>
      </c>
    </row>
    <row r="230" spans="9:10" x14ac:dyDescent="0.35">
      <c r="I230" t="s">
        <v>2441</v>
      </c>
      <c r="J230">
        <v>1</v>
      </c>
    </row>
    <row r="231" spans="9:10" x14ac:dyDescent="0.35">
      <c r="I231" t="s">
        <v>2442</v>
      </c>
      <c r="J231">
        <v>2</v>
      </c>
    </row>
    <row r="232" spans="9:10" x14ac:dyDescent="0.35">
      <c r="I232" t="s">
        <v>816</v>
      </c>
      <c r="J232">
        <v>1</v>
      </c>
    </row>
    <row r="233" spans="9:10" x14ac:dyDescent="0.35">
      <c r="I233" t="s">
        <v>286</v>
      </c>
      <c r="J233">
        <v>21</v>
      </c>
    </row>
    <row r="234" spans="9:10" x14ac:dyDescent="0.35">
      <c r="I234" t="s">
        <v>2443</v>
      </c>
      <c r="J234">
        <v>1</v>
      </c>
    </row>
    <row r="235" spans="9:10" x14ac:dyDescent="0.35">
      <c r="I235" t="s">
        <v>2444</v>
      </c>
      <c r="J235">
        <v>2</v>
      </c>
    </row>
    <row r="236" spans="9:10" x14ac:dyDescent="0.35">
      <c r="I236" t="s">
        <v>2445</v>
      </c>
      <c r="J236">
        <v>2</v>
      </c>
    </row>
    <row r="237" spans="9:10" x14ac:dyDescent="0.35">
      <c r="I237" t="s">
        <v>2446</v>
      </c>
      <c r="J237">
        <v>1</v>
      </c>
    </row>
    <row r="238" spans="9:10" x14ac:dyDescent="0.35">
      <c r="I238" t="s">
        <v>214</v>
      </c>
      <c r="J238">
        <v>2</v>
      </c>
    </row>
    <row r="239" spans="9:10" x14ac:dyDescent="0.35">
      <c r="I239" t="s">
        <v>2447</v>
      </c>
      <c r="J239">
        <v>1</v>
      </c>
    </row>
    <row r="240" spans="9:10" x14ac:dyDescent="0.35">
      <c r="I240" t="s">
        <v>2448</v>
      </c>
      <c r="J240">
        <v>1</v>
      </c>
    </row>
    <row r="241" spans="9:11" x14ac:dyDescent="0.35">
      <c r="I241" t="s">
        <v>2449</v>
      </c>
      <c r="J241">
        <v>1</v>
      </c>
    </row>
    <row r="242" spans="9:11" x14ac:dyDescent="0.35">
      <c r="I242" t="s">
        <v>2450</v>
      </c>
      <c r="J242">
        <v>1</v>
      </c>
    </row>
    <row r="243" spans="9:11" x14ac:dyDescent="0.35">
      <c r="I243" t="s">
        <v>2451</v>
      </c>
      <c r="J243">
        <v>8</v>
      </c>
    </row>
    <row r="244" spans="9:11" x14ac:dyDescent="0.35">
      <c r="I244" t="s">
        <v>2452</v>
      </c>
      <c r="J244">
        <v>1</v>
      </c>
    </row>
    <row r="245" spans="9:11" x14ac:dyDescent="0.35">
      <c r="I245" t="s">
        <v>2453</v>
      </c>
      <c r="J245">
        <v>12</v>
      </c>
    </row>
    <row r="246" spans="9:11" x14ac:dyDescent="0.35">
      <c r="I246" t="s">
        <v>2454</v>
      </c>
      <c r="J246">
        <v>1</v>
      </c>
    </row>
    <row r="247" spans="9:11" x14ac:dyDescent="0.35">
      <c r="I247" t="s">
        <v>2455</v>
      </c>
      <c r="J247">
        <v>3</v>
      </c>
    </row>
    <row r="248" spans="9:11" x14ac:dyDescent="0.35">
      <c r="I248" t="s">
        <v>2456</v>
      </c>
      <c r="J248">
        <v>1</v>
      </c>
    </row>
    <row r="249" spans="9:11" x14ac:dyDescent="0.35">
      <c r="I249" t="s">
        <v>2457</v>
      </c>
      <c r="J249">
        <v>1</v>
      </c>
    </row>
    <row r="250" spans="9:11" x14ac:dyDescent="0.35">
      <c r="I250" t="s">
        <v>122</v>
      </c>
      <c r="J250">
        <v>29</v>
      </c>
    </row>
    <row r="251" spans="9:11" hidden="1" x14ac:dyDescent="0.35">
      <c r="I251" t="s">
        <v>2458</v>
      </c>
      <c r="J251">
        <v>3</v>
      </c>
      <c r="K251" t="s">
        <v>2526</v>
      </c>
    </row>
    <row r="252" spans="9:11" hidden="1" x14ac:dyDescent="0.35">
      <c r="I252" t="s">
        <v>2459</v>
      </c>
      <c r="J252">
        <v>2</v>
      </c>
      <c r="K252" t="s">
        <v>2526</v>
      </c>
    </row>
    <row r="253" spans="9:11" hidden="1" x14ac:dyDescent="0.35">
      <c r="I253" t="s">
        <v>2460</v>
      </c>
      <c r="J253">
        <v>10</v>
      </c>
      <c r="K253" t="s">
        <v>182</v>
      </c>
    </row>
    <row r="254" spans="9:11" hidden="1" x14ac:dyDescent="0.35">
      <c r="I254" t="s">
        <v>2461</v>
      </c>
      <c r="J254">
        <v>1</v>
      </c>
      <c r="K254" t="s">
        <v>182</v>
      </c>
    </row>
    <row r="255" spans="9:11" hidden="1" x14ac:dyDescent="0.35">
      <c r="I255" t="s">
        <v>2462</v>
      </c>
      <c r="J255">
        <v>6</v>
      </c>
      <c r="K255" t="s">
        <v>182</v>
      </c>
    </row>
    <row r="256" spans="9:11" hidden="1" x14ac:dyDescent="0.35">
      <c r="I256" t="s">
        <v>1739</v>
      </c>
      <c r="J256">
        <v>2</v>
      </c>
      <c r="K256" t="s">
        <v>182</v>
      </c>
    </row>
    <row r="257" spans="9:11" hidden="1" x14ac:dyDescent="0.35">
      <c r="I257" t="s">
        <v>2463</v>
      </c>
      <c r="J257">
        <v>2</v>
      </c>
      <c r="K257" t="s">
        <v>182</v>
      </c>
    </row>
    <row r="258" spans="9:11" x14ac:dyDescent="0.35">
      <c r="I258" t="s">
        <v>2464</v>
      </c>
      <c r="J258">
        <v>1</v>
      </c>
    </row>
    <row r="259" spans="9:11" hidden="1" x14ac:dyDescent="0.35">
      <c r="I259" t="s">
        <v>2465</v>
      </c>
      <c r="J259">
        <v>8</v>
      </c>
      <c r="K259" t="s">
        <v>182</v>
      </c>
    </row>
    <row r="260" spans="9:11" hidden="1" x14ac:dyDescent="0.35">
      <c r="I260" t="s">
        <v>2016</v>
      </c>
      <c r="J260">
        <v>1</v>
      </c>
      <c r="K260" t="s">
        <v>182</v>
      </c>
    </row>
    <row r="261" spans="9:11" x14ac:dyDescent="0.35">
      <c r="I261" t="s">
        <v>2466</v>
      </c>
      <c r="J261">
        <v>1</v>
      </c>
    </row>
    <row r="262" spans="9:11" x14ac:dyDescent="0.35">
      <c r="I262" t="s">
        <v>2467</v>
      </c>
      <c r="J262">
        <v>1</v>
      </c>
    </row>
    <row r="263" spans="9:11" hidden="1" x14ac:dyDescent="0.35">
      <c r="I263" t="s">
        <v>2468</v>
      </c>
      <c r="J263">
        <v>3</v>
      </c>
      <c r="K263" t="s">
        <v>182</v>
      </c>
    </row>
    <row r="264" spans="9:11" hidden="1" x14ac:dyDescent="0.35">
      <c r="I264" t="s">
        <v>2469</v>
      </c>
      <c r="J264">
        <v>1</v>
      </c>
      <c r="K264" t="s">
        <v>182</v>
      </c>
    </row>
    <row r="265" spans="9:11" hidden="1" x14ac:dyDescent="0.35">
      <c r="I265" t="s">
        <v>2470</v>
      </c>
      <c r="J265">
        <v>1</v>
      </c>
      <c r="K265" t="s">
        <v>182</v>
      </c>
    </row>
    <row r="266" spans="9:11" hidden="1" x14ac:dyDescent="0.35">
      <c r="I266" t="s">
        <v>2471</v>
      </c>
      <c r="J266">
        <v>4</v>
      </c>
      <c r="K266" t="s">
        <v>182</v>
      </c>
    </row>
    <row r="267" spans="9:11" hidden="1" x14ac:dyDescent="0.35">
      <c r="I267" t="s">
        <v>2472</v>
      </c>
      <c r="J267">
        <v>1</v>
      </c>
      <c r="K267" t="s">
        <v>182</v>
      </c>
    </row>
    <row r="268" spans="9:11" x14ac:dyDescent="0.35">
      <c r="I268" t="s">
        <v>2473</v>
      </c>
      <c r="J268">
        <v>1</v>
      </c>
    </row>
    <row r="269" spans="9:11" hidden="1" x14ac:dyDescent="0.35">
      <c r="I269" t="s">
        <v>2474</v>
      </c>
      <c r="J269">
        <v>8</v>
      </c>
      <c r="K269" t="s">
        <v>182</v>
      </c>
    </row>
    <row r="270" spans="9:11" x14ac:dyDescent="0.35">
      <c r="I270" t="s">
        <v>384</v>
      </c>
      <c r="J270">
        <v>3</v>
      </c>
    </row>
    <row r="271" spans="9:11" x14ac:dyDescent="0.35">
      <c r="I271" t="s">
        <v>2475</v>
      </c>
      <c r="J271">
        <v>3</v>
      </c>
    </row>
    <row r="272" spans="9:11" x14ac:dyDescent="0.35">
      <c r="I272" t="s">
        <v>2476</v>
      </c>
      <c r="J272">
        <v>2</v>
      </c>
    </row>
    <row r="273" spans="9:11" x14ac:dyDescent="0.35">
      <c r="I273" t="s">
        <v>2477</v>
      </c>
      <c r="J273">
        <v>1</v>
      </c>
    </row>
    <row r="274" spans="9:11" x14ac:dyDescent="0.35">
      <c r="I274" t="s">
        <v>2478</v>
      </c>
      <c r="J274">
        <v>2</v>
      </c>
    </row>
    <row r="275" spans="9:11" x14ac:dyDescent="0.35">
      <c r="I275" t="s">
        <v>2479</v>
      </c>
      <c r="J275">
        <v>3</v>
      </c>
    </row>
    <row r="276" spans="9:11" x14ac:dyDescent="0.35">
      <c r="I276" t="s">
        <v>2480</v>
      </c>
      <c r="J276">
        <v>5</v>
      </c>
    </row>
    <row r="277" spans="9:11" x14ac:dyDescent="0.35">
      <c r="I277" t="s">
        <v>2481</v>
      </c>
      <c r="J277">
        <v>1</v>
      </c>
    </row>
    <row r="278" spans="9:11" x14ac:dyDescent="0.35">
      <c r="I278" t="s">
        <v>2482</v>
      </c>
      <c r="J278">
        <v>4</v>
      </c>
    </row>
    <row r="279" spans="9:11" x14ac:dyDescent="0.35">
      <c r="I279" t="s">
        <v>1533</v>
      </c>
      <c r="J279">
        <v>1</v>
      </c>
    </row>
    <row r="280" spans="9:11" x14ac:dyDescent="0.35">
      <c r="I280" t="s">
        <v>2483</v>
      </c>
      <c r="J280">
        <v>1</v>
      </c>
    </row>
    <row r="281" spans="9:11" hidden="1" x14ac:dyDescent="0.35">
      <c r="I281" t="s">
        <v>2484</v>
      </c>
      <c r="J281">
        <v>1</v>
      </c>
      <c r="K281" t="s">
        <v>2526</v>
      </c>
    </row>
    <row r="282" spans="9:11" hidden="1" x14ac:dyDescent="0.35">
      <c r="I282" t="s">
        <v>2485</v>
      </c>
      <c r="J282">
        <v>1</v>
      </c>
      <c r="K282" t="s">
        <v>2526</v>
      </c>
    </row>
    <row r="283" spans="9:11" x14ac:dyDescent="0.35">
      <c r="I283" t="s">
        <v>227</v>
      </c>
      <c r="J283">
        <v>53</v>
      </c>
    </row>
    <row r="284" spans="9:11" x14ac:dyDescent="0.35">
      <c r="I284" t="s">
        <v>2486</v>
      </c>
      <c r="J284">
        <v>8</v>
      </c>
    </row>
    <row r="285" spans="9:11" x14ac:dyDescent="0.35">
      <c r="I285" t="s">
        <v>2487</v>
      </c>
      <c r="J285">
        <v>10</v>
      </c>
    </row>
    <row r="286" spans="9:11" x14ac:dyDescent="0.35">
      <c r="I286" t="s">
        <v>2488</v>
      </c>
      <c r="J286">
        <v>1</v>
      </c>
    </row>
    <row r="287" spans="9:11" x14ac:dyDescent="0.35">
      <c r="I287" t="s">
        <v>2489</v>
      </c>
      <c r="J287">
        <v>1</v>
      </c>
    </row>
    <row r="288" spans="9:11" x14ac:dyDescent="0.35">
      <c r="I288" t="s">
        <v>197</v>
      </c>
      <c r="J288">
        <v>19</v>
      </c>
    </row>
    <row r="289" spans="9:11" x14ac:dyDescent="0.35">
      <c r="I289" t="s">
        <v>2490</v>
      </c>
      <c r="J289">
        <v>1</v>
      </c>
    </row>
    <row r="290" spans="9:11" x14ac:dyDescent="0.35">
      <c r="I290" t="s">
        <v>2491</v>
      </c>
      <c r="J290">
        <v>10</v>
      </c>
    </row>
    <row r="291" spans="9:11" x14ac:dyDescent="0.35">
      <c r="I291" t="s">
        <v>719</v>
      </c>
      <c r="J291">
        <v>14</v>
      </c>
    </row>
    <row r="292" spans="9:11" x14ac:dyDescent="0.35">
      <c r="I292" t="s">
        <v>820</v>
      </c>
      <c r="J292">
        <v>4</v>
      </c>
    </row>
    <row r="293" spans="9:11" x14ac:dyDescent="0.35">
      <c r="I293" t="s">
        <v>2492</v>
      </c>
      <c r="J293">
        <v>1</v>
      </c>
    </row>
    <row r="294" spans="9:11" x14ac:dyDescent="0.35">
      <c r="I294" t="s">
        <v>15</v>
      </c>
      <c r="J294">
        <v>8</v>
      </c>
    </row>
    <row r="295" spans="9:11" x14ac:dyDescent="0.35">
      <c r="I295" t="s">
        <v>1929</v>
      </c>
      <c r="J295">
        <v>2</v>
      </c>
    </row>
    <row r="296" spans="9:11" x14ac:dyDescent="0.35">
      <c r="I296" t="s">
        <v>2493</v>
      </c>
      <c r="J296">
        <v>1</v>
      </c>
    </row>
    <row r="297" spans="9:11" x14ac:dyDescent="0.35">
      <c r="I297" t="s">
        <v>2494</v>
      </c>
      <c r="J297">
        <v>3</v>
      </c>
    </row>
    <row r="298" spans="9:11" x14ac:dyDescent="0.35">
      <c r="I298" t="s">
        <v>2495</v>
      </c>
      <c r="J298">
        <v>1</v>
      </c>
    </row>
    <row r="299" spans="9:11" x14ac:dyDescent="0.35">
      <c r="I299" t="s">
        <v>1002</v>
      </c>
      <c r="J299">
        <v>77</v>
      </c>
    </row>
    <row r="300" spans="9:11" hidden="1" x14ac:dyDescent="0.35">
      <c r="I300" t="s">
        <v>2496</v>
      </c>
      <c r="J300">
        <v>4</v>
      </c>
      <c r="K300" t="s">
        <v>182</v>
      </c>
    </row>
    <row r="301" spans="9:11" hidden="1" x14ac:dyDescent="0.35">
      <c r="I301" t="s">
        <v>2497</v>
      </c>
      <c r="J301">
        <v>31</v>
      </c>
      <c r="K301" t="s">
        <v>2526</v>
      </c>
    </row>
    <row r="302" spans="9:11" hidden="1" x14ac:dyDescent="0.35">
      <c r="I302" t="s">
        <v>2498</v>
      </c>
      <c r="J302">
        <v>5</v>
      </c>
      <c r="K302" t="s">
        <v>2526</v>
      </c>
    </row>
    <row r="303" spans="9:11" x14ac:dyDescent="0.35">
      <c r="I303" t="s">
        <v>159</v>
      </c>
      <c r="J303">
        <v>1</v>
      </c>
    </row>
    <row r="304" spans="9:11" x14ac:dyDescent="0.35">
      <c r="I304" t="s">
        <v>2499</v>
      </c>
      <c r="J304">
        <v>1</v>
      </c>
    </row>
    <row r="305" spans="9:10" x14ac:dyDescent="0.35">
      <c r="I305" t="s">
        <v>2500</v>
      </c>
      <c r="J305">
        <v>2</v>
      </c>
    </row>
    <row r="306" spans="9:10" x14ac:dyDescent="0.35">
      <c r="I306" t="s">
        <v>2501</v>
      </c>
      <c r="J306">
        <v>33</v>
      </c>
    </row>
    <row r="307" spans="9:10" x14ac:dyDescent="0.35">
      <c r="I307" t="s">
        <v>2502</v>
      </c>
      <c r="J307">
        <v>2</v>
      </c>
    </row>
    <row r="308" spans="9:10" x14ac:dyDescent="0.35">
      <c r="I308" t="s">
        <v>2503</v>
      </c>
      <c r="J308">
        <v>2</v>
      </c>
    </row>
    <row r="309" spans="9:10" x14ac:dyDescent="0.35">
      <c r="I309" t="s">
        <v>2504</v>
      </c>
      <c r="J309">
        <v>1</v>
      </c>
    </row>
    <row r="310" spans="9:10" x14ac:dyDescent="0.35">
      <c r="I310" t="s">
        <v>2505</v>
      </c>
      <c r="J310">
        <v>6</v>
      </c>
    </row>
    <row r="311" spans="9:10" x14ac:dyDescent="0.35">
      <c r="I311" t="s">
        <v>2506</v>
      </c>
      <c r="J311">
        <v>6</v>
      </c>
    </row>
    <row r="312" spans="9:10" x14ac:dyDescent="0.35">
      <c r="I312" t="s">
        <v>140</v>
      </c>
      <c r="J312">
        <v>2</v>
      </c>
    </row>
    <row r="313" spans="9:10" x14ac:dyDescent="0.35">
      <c r="I313" t="s">
        <v>2507</v>
      </c>
      <c r="J313">
        <v>1</v>
      </c>
    </row>
    <row r="314" spans="9:10" x14ac:dyDescent="0.35">
      <c r="I314" t="s">
        <v>2508</v>
      </c>
      <c r="J314">
        <v>2</v>
      </c>
    </row>
    <row r="315" spans="9:10" x14ac:dyDescent="0.35">
      <c r="I315" t="s">
        <v>30</v>
      </c>
      <c r="J315">
        <v>5</v>
      </c>
    </row>
    <row r="316" spans="9:10" x14ac:dyDescent="0.35">
      <c r="I316" t="s">
        <v>243</v>
      </c>
      <c r="J316">
        <v>19</v>
      </c>
    </row>
    <row r="317" spans="9:10" x14ac:dyDescent="0.35">
      <c r="I317" t="s">
        <v>2509</v>
      </c>
      <c r="J317">
        <v>1</v>
      </c>
    </row>
    <row r="318" spans="9:10" x14ac:dyDescent="0.35">
      <c r="I318" t="s">
        <v>174</v>
      </c>
      <c r="J318">
        <v>6</v>
      </c>
    </row>
    <row r="319" spans="9:10" x14ac:dyDescent="0.35">
      <c r="I319" t="s">
        <v>178</v>
      </c>
      <c r="J319">
        <v>1</v>
      </c>
    </row>
    <row r="320" spans="9:10" x14ac:dyDescent="0.35">
      <c r="I320" t="s">
        <v>2510</v>
      </c>
      <c r="J320">
        <v>1</v>
      </c>
    </row>
    <row r="321" spans="9:11" x14ac:dyDescent="0.35">
      <c r="I321" t="s">
        <v>330</v>
      </c>
      <c r="J321">
        <v>1</v>
      </c>
    </row>
    <row r="322" spans="9:11" x14ac:dyDescent="0.35">
      <c r="I322" t="s">
        <v>2511</v>
      </c>
      <c r="J322">
        <v>3</v>
      </c>
    </row>
    <row r="323" spans="9:11" x14ac:dyDescent="0.35">
      <c r="I323" t="s">
        <v>2512</v>
      </c>
      <c r="J323">
        <v>1</v>
      </c>
    </row>
    <row r="324" spans="9:11" x14ac:dyDescent="0.35">
      <c r="I324" t="s">
        <v>2513</v>
      </c>
      <c r="J324">
        <v>1</v>
      </c>
    </row>
    <row r="325" spans="9:11" x14ac:dyDescent="0.35">
      <c r="I325" t="s">
        <v>2514</v>
      </c>
      <c r="J325">
        <v>8</v>
      </c>
    </row>
    <row r="326" spans="9:11" x14ac:dyDescent="0.35">
      <c r="I326" t="s">
        <v>2515</v>
      </c>
      <c r="J326">
        <v>1</v>
      </c>
    </row>
    <row r="327" spans="9:11" x14ac:dyDescent="0.35">
      <c r="I327" t="s">
        <v>2516</v>
      </c>
      <c r="J327">
        <v>1</v>
      </c>
    </row>
    <row r="328" spans="9:11" x14ac:dyDescent="0.35">
      <c r="I328" t="s">
        <v>2517</v>
      </c>
      <c r="J328">
        <v>1</v>
      </c>
    </row>
    <row r="329" spans="9:11" hidden="1" x14ac:dyDescent="0.35">
      <c r="I329" t="s">
        <v>1240</v>
      </c>
      <c r="J329">
        <v>4</v>
      </c>
      <c r="K329" t="s">
        <v>182</v>
      </c>
    </row>
    <row r="330" spans="9:11" x14ac:dyDescent="0.35">
      <c r="I330" t="s">
        <v>1633</v>
      </c>
      <c r="J330">
        <v>7</v>
      </c>
    </row>
    <row r="331" spans="9:11" x14ac:dyDescent="0.35">
      <c r="I331" t="s">
        <v>2518</v>
      </c>
      <c r="J331">
        <v>13</v>
      </c>
    </row>
    <row r="332" spans="9:11" x14ac:dyDescent="0.35">
      <c r="I332" t="s">
        <v>2519</v>
      </c>
      <c r="J332">
        <v>1</v>
      </c>
    </row>
    <row r="333" spans="9:11" x14ac:dyDescent="0.35">
      <c r="I333" t="s">
        <v>2520</v>
      </c>
      <c r="J333">
        <v>1</v>
      </c>
    </row>
    <row r="334" spans="9:11" x14ac:dyDescent="0.35">
      <c r="I334" t="s">
        <v>2521</v>
      </c>
      <c r="J334">
        <v>3</v>
      </c>
    </row>
    <row r="335" spans="9:11" x14ac:dyDescent="0.35">
      <c r="I335" t="s">
        <v>190</v>
      </c>
      <c r="J335">
        <v>47</v>
      </c>
    </row>
    <row r="336" spans="9:11" hidden="1" x14ac:dyDescent="0.35">
      <c r="I336" t="s">
        <v>962</v>
      </c>
      <c r="J336">
        <v>53</v>
      </c>
      <c r="K336" t="s">
        <v>182</v>
      </c>
    </row>
    <row r="337" spans="9:11" hidden="1" x14ac:dyDescent="0.35">
      <c r="I337" t="s">
        <v>2522</v>
      </c>
      <c r="J337">
        <v>3</v>
      </c>
      <c r="K337" t="s">
        <v>182</v>
      </c>
    </row>
    <row r="338" spans="9:11" hidden="1" x14ac:dyDescent="0.35">
      <c r="I338" t="s">
        <v>389</v>
      </c>
      <c r="J338">
        <v>73</v>
      </c>
      <c r="K338" t="s">
        <v>182</v>
      </c>
    </row>
    <row r="339" spans="9:11" hidden="1" x14ac:dyDescent="0.35">
      <c r="I339" t="s">
        <v>2523</v>
      </c>
      <c r="J339">
        <v>1</v>
      </c>
      <c r="K339" t="s">
        <v>182</v>
      </c>
    </row>
    <row r="340" spans="9:11" hidden="1" x14ac:dyDescent="0.35">
      <c r="I340" t="s">
        <v>1029</v>
      </c>
      <c r="J340">
        <v>31</v>
      </c>
      <c r="K340" t="s">
        <v>182</v>
      </c>
    </row>
    <row r="341" spans="9:11" hidden="1" x14ac:dyDescent="0.35">
      <c r="I341" t="s">
        <v>2524</v>
      </c>
      <c r="J341">
        <v>10</v>
      </c>
      <c r="K341" t="s">
        <v>182</v>
      </c>
    </row>
    <row r="342" spans="9:11" x14ac:dyDescent="0.35">
      <c r="I342" t="s">
        <v>180</v>
      </c>
      <c r="J342">
        <v>1</v>
      </c>
    </row>
    <row r="343" spans="9:11" x14ac:dyDescent="0.35">
      <c r="I343" t="s">
        <v>176</v>
      </c>
      <c r="J343">
        <v>1</v>
      </c>
    </row>
    <row r="344" spans="9:11" x14ac:dyDescent="0.35">
      <c r="I344" t="s">
        <v>183</v>
      </c>
      <c r="J344">
        <v>1</v>
      </c>
    </row>
    <row r="345" spans="9:11" hidden="1" x14ac:dyDescent="0.35">
      <c r="I345" t="s">
        <v>2525</v>
      </c>
      <c r="J345">
        <v>1</v>
      </c>
      <c r="K345" t="s">
        <v>2526</v>
      </c>
    </row>
    <row r="346" spans="9:11" hidden="1" x14ac:dyDescent="0.35">
      <c r="I346" t="s">
        <v>2526</v>
      </c>
      <c r="J346">
        <v>5</v>
      </c>
      <c r="K346" t="s">
        <v>2526</v>
      </c>
    </row>
    <row r="347" spans="9:11" hidden="1" x14ac:dyDescent="0.35">
      <c r="I347" t="s">
        <v>2527</v>
      </c>
      <c r="J347">
        <v>1</v>
      </c>
      <c r="K347" t="s">
        <v>2526</v>
      </c>
    </row>
    <row r="348" spans="9:11" x14ac:dyDescent="0.35">
      <c r="I348" t="s">
        <v>1197</v>
      </c>
      <c r="J348">
        <v>8</v>
      </c>
    </row>
    <row r="349" spans="9:11" x14ac:dyDescent="0.35">
      <c r="I349" t="s">
        <v>2528</v>
      </c>
      <c r="J349">
        <v>2</v>
      </c>
    </row>
    <row r="350" spans="9:11" x14ac:dyDescent="0.35">
      <c r="I350" t="s">
        <v>2529</v>
      </c>
      <c r="J350">
        <v>2</v>
      </c>
    </row>
    <row r="351" spans="9:11" x14ac:dyDescent="0.35">
      <c r="I351" t="s">
        <v>2530</v>
      </c>
      <c r="J351">
        <v>1</v>
      </c>
    </row>
    <row r="352" spans="9:11" x14ac:dyDescent="0.35">
      <c r="I352" t="s">
        <v>2531</v>
      </c>
      <c r="J352">
        <v>15</v>
      </c>
    </row>
    <row r="353" spans="9:11" x14ac:dyDescent="0.35">
      <c r="I353" t="s">
        <v>2532</v>
      </c>
      <c r="J353">
        <v>1</v>
      </c>
    </row>
    <row r="354" spans="9:11" x14ac:dyDescent="0.35">
      <c r="I354" t="s">
        <v>2533</v>
      </c>
      <c r="J354">
        <v>1</v>
      </c>
    </row>
    <row r="355" spans="9:11" x14ac:dyDescent="0.35">
      <c r="I355" t="s">
        <v>267</v>
      </c>
      <c r="J355">
        <v>1</v>
      </c>
    </row>
    <row r="356" spans="9:11" x14ac:dyDescent="0.35">
      <c r="I356" t="s">
        <v>2534</v>
      </c>
      <c r="J356">
        <v>1</v>
      </c>
    </row>
    <row r="357" spans="9:11" x14ac:dyDescent="0.35">
      <c r="I357" t="s">
        <v>2535</v>
      </c>
      <c r="J357">
        <v>1</v>
      </c>
    </row>
    <row r="358" spans="9:11" x14ac:dyDescent="0.35">
      <c r="I358" t="s">
        <v>306</v>
      </c>
      <c r="J358">
        <v>1</v>
      </c>
    </row>
    <row r="359" spans="9:11" x14ac:dyDescent="0.35">
      <c r="I359" t="s">
        <v>2536</v>
      </c>
      <c r="J359">
        <v>1</v>
      </c>
    </row>
    <row r="360" spans="9:11" x14ac:dyDescent="0.35">
      <c r="I360" t="s">
        <v>2537</v>
      </c>
      <c r="J360">
        <v>1</v>
      </c>
    </row>
    <row r="361" spans="9:11" x14ac:dyDescent="0.35">
      <c r="I361" t="s">
        <v>2538</v>
      </c>
      <c r="J361">
        <v>3</v>
      </c>
    </row>
    <row r="362" spans="9:11" x14ac:dyDescent="0.35">
      <c r="I362" t="s">
        <v>2539</v>
      </c>
      <c r="J362">
        <v>3</v>
      </c>
    </row>
    <row r="363" spans="9:11" x14ac:dyDescent="0.35">
      <c r="I363" t="s">
        <v>1528</v>
      </c>
      <c r="J363">
        <v>2</v>
      </c>
    </row>
    <row r="364" spans="9:11" x14ac:dyDescent="0.35">
      <c r="I364" t="s">
        <v>2540</v>
      </c>
      <c r="J364">
        <v>3</v>
      </c>
    </row>
    <row r="365" spans="9:11" hidden="1" x14ac:dyDescent="0.35">
      <c r="I365" t="s">
        <v>2541</v>
      </c>
      <c r="J365">
        <v>5</v>
      </c>
      <c r="K365" t="s">
        <v>182</v>
      </c>
    </row>
    <row r="366" spans="9:11" x14ac:dyDescent="0.35">
      <c r="I366" t="s">
        <v>2542</v>
      </c>
      <c r="J366">
        <v>8</v>
      </c>
    </row>
    <row r="367" spans="9:11" x14ac:dyDescent="0.35">
      <c r="I367" t="s">
        <v>2543</v>
      </c>
      <c r="J367">
        <v>1</v>
      </c>
    </row>
    <row r="368" spans="9:11" x14ac:dyDescent="0.35">
      <c r="I368" t="s">
        <v>2544</v>
      </c>
      <c r="J368">
        <v>1</v>
      </c>
    </row>
    <row r="369" spans="9:11" x14ac:dyDescent="0.35">
      <c r="I369" t="s">
        <v>173</v>
      </c>
      <c r="J369">
        <v>4</v>
      </c>
    </row>
    <row r="370" spans="9:11" x14ac:dyDescent="0.35">
      <c r="I370" t="s">
        <v>2545</v>
      </c>
      <c r="J370">
        <v>1</v>
      </c>
    </row>
    <row r="371" spans="9:11" x14ac:dyDescent="0.35">
      <c r="I371" t="s">
        <v>2546</v>
      </c>
      <c r="J371">
        <v>3</v>
      </c>
    </row>
    <row r="372" spans="9:11" x14ac:dyDescent="0.35">
      <c r="I372" t="s">
        <v>2030</v>
      </c>
      <c r="J372">
        <v>2</v>
      </c>
    </row>
    <row r="373" spans="9:11" x14ac:dyDescent="0.35">
      <c r="I373" t="s">
        <v>285</v>
      </c>
      <c r="J373">
        <v>37</v>
      </c>
    </row>
    <row r="374" spans="9:11" x14ac:dyDescent="0.35">
      <c r="I374" t="s">
        <v>2547</v>
      </c>
      <c r="J374">
        <v>4</v>
      </c>
    </row>
    <row r="375" spans="9:11" x14ac:dyDescent="0.35">
      <c r="I375" t="s">
        <v>2548</v>
      </c>
      <c r="J375">
        <v>8</v>
      </c>
    </row>
    <row r="376" spans="9:11" hidden="1" x14ac:dyDescent="0.35">
      <c r="I376" t="s">
        <v>657</v>
      </c>
      <c r="J376">
        <v>28</v>
      </c>
      <c r="K376" t="s">
        <v>182</v>
      </c>
    </row>
    <row r="377" spans="9:11" hidden="1" x14ac:dyDescent="0.35">
      <c r="I377" t="s">
        <v>2549</v>
      </c>
      <c r="J377">
        <v>5</v>
      </c>
      <c r="K377" t="s">
        <v>182</v>
      </c>
    </row>
    <row r="378" spans="9:11" hidden="1" x14ac:dyDescent="0.35">
      <c r="I378" t="s">
        <v>899</v>
      </c>
      <c r="J378">
        <v>26</v>
      </c>
      <c r="K378" t="s">
        <v>182</v>
      </c>
    </row>
    <row r="379" spans="9:11" hidden="1" x14ac:dyDescent="0.35">
      <c r="I379" t="s">
        <v>2550</v>
      </c>
      <c r="J379">
        <v>5</v>
      </c>
      <c r="K379" t="s">
        <v>182</v>
      </c>
    </row>
  </sheetData>
  <autoFilter ref="I1:K379" xr:uid="{268369AF-A057-4E72-8EEB-F4C0A0CE46ED}">
    <filterColumn colId="2">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F23B-073C-473A-B860-09169BAEFFE0}">
  <sheetPr>
    <tabColor theme="7"/>
  </sheetPr>
  <dimension ref="A1:G226"/>
  <sheetViews>
    <sheetView zoomScale="85" zoomScaleNormal="85" workbookViewId="0">
      <pane ySplit="1" topLeftCell="A8" activePane="bottomLeft" state="frozen"/>
      <selection pane="bottomLeft" activeCell="E20" sqref="E20"/>
    </sheetView>
  </sheetViews>
  <sheetFormatPr defaultColWidth="11.453125" defaultRowHeight="14.5" x14ac:dyDescent="0.35"/>
  <cols>
    <col min="2" max="2" width="83.1796875" customWidth="1"/>
  </cols>
  <sheetData>
    <row r="1" spans="1:7" x14ac:dyDescent="0.35">
      <c r="A1" s="14" t="s">
        <v>1</v>
      </c>
      <c r="B1" s="14" t="s">
        <v>26</v>
      </c>
      <c r="C1" s="20" t="s">
        <v>435</v>
      </c>
      <c r="D1" s="14" t="s">
        <v>4652</v>
      </c>
    </row>
    <row r="2" spans="1:7" x14ac:dyDescent="0.35">
      <c r="A2" s="16">
        <v>31</v>
      </c>
      <c r="B2" s="16" t="s">
        <v>350</v>
      </c>
      <c r="D2" t="s">
        <v>4653</v>
      </c>
    </row>
    <row r="3" spans="1:7" x14ac:dyDescent="0.35">
      <c r="A3" s="16">
        <v>36</v>
      </c>
      <c r="B3" s="16" t="s">
        <v>351</v>
      </c>
      <c r="D3" t="s">
        <v>4654</v>
      </c>
    </row>
    <row r="4" spans="1:7" x14ac:dyDescent="0.35">
      <c r="A4" s="16">
        <v>37</v>
      </c>
      <c r="B4" s="16" t="s">
        <v>351</v>
      </c>
      <c r="D4" t="s">
        <v>4654</v>
      </c>
      <c r="F4" t="s">
        <v>4659</v>
      </c>
      <c r="G4" t="s">
        <v>633</v>
      </c>
    </row>
    <row r="5" spans="1:7" x14ac:dyDescent="0.35">
      <c r="A5" s="16">
        <v>45</v>
      </c>
      <c r="B5" s="16" t="s">
        <v>352</v>
      </c>
      <c r="D5" t="s">
        <v>4654</v>
      </c>
      <c r="F5">
        <f>COUNTIF(D:D,"C1")</f>
        <v>16</v>
      </c>
      <c r="G5" s="90">
        <f>F5/$F$10</f>
        <v>0.30769230769230771</v>
      </c>
    </row>
    <row r="6" spans="1:7" x14ac:dyDescent="0.35">
      <c r="A6" s="16">
        <v>86</v>
      </c>
      <c r="B6" s="16" t="s">
        <v>353</v>
      </c>
      <c r="D6" t="s">
        <v>4653</v>
      </c>
      <c r="F6">
        <f>COUNTIF(D:D,"C2")</f>
        <v>19</v>
      </c>
      <c r="G6" s="90">
        <f>F6/$F$10</f>
        <v>0.36538461538461536</v>
      </c>
    </row>
    <row r="7" spans="1:7" x14ac:dyDescent="0.35">
      <c r="A7" s="16">
        <v>88</v>
      </c>
      <c r="B7" s="16" t="s">
        <v>354</v>
      </c>
      <c r="D7" t="s">
        <v>4653</v>
      </c>
      <c r="F7">
        <f>COUNTIF(D:D,"C3")</f>
        <v>1</v>
      </c>
      <c r="G7" s="90">
        <f t="shared" ref="G7:G9" si="0">F7/$F$10</f>
        <v>1.9230769230769232E-2</v>
      </c>
    </row>
    <row r="8" spans="1:7" x14ac:dyDescent="0.35">
      <c r="A8" s="16">
        <v>46</v>
      </c>
      <c r="B8" s="16" t="s">
        <v>355</v>
      </c>
      <c r="D8" t="s">
        <v>4655</v>
      </c>
      <c r="F8">
        <f>COUNTIF(D:D,"C4")</f>
        <v>14</v>
      </c>
      <c r="G8" s="90">
        <f t="shared" si="0"/>
        <v>0.26923076923076922</v>
      </c>
    </row>
    <row r="9" spans="1:7" x14ac:dyDescent="0.35">
      <c r="A9" s="16">
        <v>108</v>
      </c>
      <c r="B9" s="16" t="s">
        <v>356</v>
      </c>
      <c r="D9" t="s">
        <v>4656</v>
      </c>
      <c r="F9">
        <f>COUNTIF(D:D,"C5")</f>
        <v>2</v>
      </c>
      <c r="G9" s="90">
        <f t="shared" si="0"/>
        <v>3.8461538461538464E-2</v>
      </c>
    </row>
    <row r="10" spans="1:7" x14ac:dyDescent="0.35">
      <c r="A10" s="16">
        <v>135</v>
      </c>
      <c r="B10" s="16" t="s">
        <v>357</v>
      </c>
      <c r="D10" t="s">
        <v>4657</v>
      </c>
      <c r="F10">
        <f>SUM(F5:F9)</f>
        <v>52</v>
      </c>
    </row>
    <row r="11" spans="1:7" x14ac:dyDescent="0.35">
      <c r="A11" s="16">
        <v>140</v>
      </c>
      <c r="B11" s="16" t="s">
        <v>354</v>
      </c>
      <c r="D11" t="s">
        <v>4653</v>
      </c>
    </row>
    <row r="12" spans="1:7" x14ac:dyDescent="0.35">
      <c r="A12" s="16">
        <v>163</v>
      </c>
      <c r="B12" s="16" t="s">
        <v>358</v>
      </c>
      <c r="D12" t="s">
        <v>4657</v>
      </c>
    </row>
    <row r="13" spans="1:7" x14ac:dyDescent="0.35">
      <c r="A13" s="16">
        <v>181</v>
      </c>
      <c r="B13" s="16" t="s">
        <v>351</v>
      </c>
      <c r="D13" t="s">
        <v>4654</v>
      </c>
    </row>
    <row r="14" spans="1:7" x14ac:dyDescent="0.35">
      <c r="A14" s="16">
        <v>194</v>
      </c>
      <c r="B14" s="16" t="s">
        <v>359</v>
      </c>
      <c r="D14" t="s">
        <v>4657</v>
      </c>
    </row>
    <row r="15" spans="1:7" x14ac:dyDescent="0.35">
      <c r="A15" s="16">
        <v>202</v>
      </c>
      <c r="B15" s="16" t="s">
        <v>360</v>
      </c>
      <c r="D15" t="s">
        <v>4657</v>
      </c>
    </row>
    <row r="16" spans="1:7" x14ac:dyDescent="0.35">
      <c r="A16" s="16">
        <v>205</v>
      </c>
      <c r="B16" s="16" t="s">
        <v>361</v>
      </c>
      <c r="D16" t="s">
        <v>4657</v>
      </c>
    </row>
    <row r="17" spans="1:4" x14ac:dyDescent="0.35">
      <c r="A17" s="16">
        <v>246</v>
      </c>
      <c r="B17" s="16" t="s">
        <v>362</v>
      </c>
      <c r="D17" t="s">
        <v>4657</v>
      </c>
    </row>
    <row r="18" spans="1:4" x14ac:dyDescent="0.35">
      <c r="A18">
        <v>656</v>
      </c>
      <c r="B18" s="16" t="s">
        <v>352</v>
      </c>
      <c r="D18" t="s">
        <v>4654</v>
      </c>
    </row>
    <row r="19" spans="1:4" x14ac:dyDescent="0.35">
      <c r="A19">
        <v>693</v>
      </c>
      <c r="B19" s="16" t="s">
        <v>363</v>
      </c>
      <c r="D19" t="s">
        <v>4654</v>
      </c>
    </row>
    <row r="20" spans="1:4" x14ac:dyDescent="0.35">
      <c r="A20">
        <v>770</v>
      </c>
      <c r="B20" s="16" t="s">
        <v>363</v>
      </c>
      <c r="D20" t="s">
        <v>4654</v>
      </c>
    </row>
    <row r="21" spans="1:4" x14ac:dyDescent="0.35">
      <c r="A21">
        <v>998</v>
      </c>
      <c r="B21" s="16" t="s">
        <v>352</v>
      </c>
      <c r="D21" t="s">
        <v>4654</v>
      </c>
    </row>
    <row r="22" spans="1:4" x14ac:dyDescent="0.35">
      <c r="A22">
        <v>1019</v>
      </c>
      <c r="B22" s="16" t="s">
        <v>363</v>
      </c>
      <c r="D22" t="s">
        <v>4654</v>
      </c>
    </row>
    <row r="23" spans="1:4" x14ac:dyDescent="0.35">
      <c r="A23">
        <v>1041</v>
      </c>
      <c r="B23" s="16" t="s">
        <v>364</v>
      </c>
      <c r="D23" t="s">
        <v>4654</v>
      </c>
    </row>
    <row r="24" spans="1:4" x14ac:dyDescent="0.35">
      <c r="A24">
        <v>1072</v>
      </c>
      <c r="B24" s="16" t="s">
        <v>363</v>
      </c>
      <c r="D24" t="s">
        <v>4654</v>
      </c>
    </row>
    <row r="25" spans="1:4" x14ac:dyDescent="0.35">
      <c r="A25">
        <v>279</v>
      </c>
      <c r="B25" s="16" t="s">
        <v>365</v>
      </c>
      <c r="D25" t="s">
        <v>4655</v>
      </c>
    </row>
    <row r="26" spans="1:4" x14ac:dyDescent="0.35">
      <c r="A26">
        <v>84</v>
      </c>
      <c r="B26" s="16" t="s">
        <v>366</v>
      </c>
    </row>
    <row r="27" spans="1:4" x14ac:dyDescent="0.35">
      <c r="A27">
        <v>307</v>
      </c>
      <c r="B27" s="16" t="s">
        <v>367</v>
      </c>
      <c r="D27" t="s">
        <v>4658</v>
      </c>
    </row>
    <row r="28" spans="1:4" x14ac:dyDescent="0.35">
      <c r="A28">
        <v>321</v>
      </c>
      <c r="B28" s="16" t="s">
        <v>368</v>
      </c>
      <c r="D28" t="s">
        <v>4653</v>
      </c>
    </row>
    <row r="29" spans="1:4" x14ac:dyDescent="0.35">
      <c r="A29">
        <v>341</v>
      </c>
      <c r="B29" s="16" t="s">
        <v>369</v>
      </c>
      <c r="D29" t="s">
        <v>4658</v>
      </c>
    </row>
    <row r="30" spans="1:4" x14ac:dyDescent="0.35">
      <c r="A30">
        <v>404</v>
      </c>
      <c r="B30" s="16" t="s">
        <v>370</v>
      </c>
      <c r="D30" t="s">
        <v>4657</v>
      </c>
    </row>
    <row r="31" spans="1:4" x14ac:dyDescent="0.35">
      <c r="A31">
        <v>410</v>
      </c>
      <c r="B31" s="16" t="s">
        <v>371</v>
      </c>
    </row>
    <row r="32" spans="1:4" x14ac:dyDescent="0.35">
      <c r="A32">
        <v>411</v>
      </c>
      <c r="B32" s="16" t="s">
        <v>371</v>
      </c>
    </row>
    <row r="33" spans="1:4" x14ac:dyDescent="0.35">
      <c r="A33">
        <v>513</v>
      </c>
      <c r="B33" s="16" t="s">
        <v>372</v>
      </c>
      <c r="D33" t="s">
        <v>4657</v>
      </c>
    </row>
    <row r="34" spans="1:4" x14ac:dyDescent="0.35">
      <c r="A34">
        <v>539</v>
      </c>
      <c r="B34" s="16" t="s">
        <v>373</v>
      </c>
      <c r="D34" t="s">
        <v>4657</v>
      </c>
    </row>
    <row r="35" spans="1:4" x14ac:dyDescent="0.35">
      <c r="A35">
        <v>568</v>
      </c>
      <c r="B35" s="16" t="s">
        <v>374</v>
      </c>
      <c r="D35" t="s">
        <v>4653</v>
      </c>
    </row>
    <row r="36" spans="1:4" x14ac:dyDescent="0.35">
      <c r="A36">
        <v>52</v>
      </c>
      <c r="B36" s="16" t="s">
        <v>411</v>
      </c>
    </row>
    <row r="37" spans="1:4" x14ac:dyDescent="0.35">
      <c r="A37">
        <v>666</v>
      </c>
      <c r="B37" s="16" t="s">
        <v>452</v>
      </c>
      <c r="D37" t="s">
        <v>4658</v>
      </c>
    </row>
    <row r="38" spans="1:4" x14ac:dyDescent="0.35">
      <c r="A38">
        <v>675</v>
      </c>
      <c r="B38" s="16" t="s">
        <v>453</v>
      </c>
      <c r="D38" t="s">
        <v>4653</v>
      </c>
    </row>
    <row r="39" spans="1:4" x14ac:dyDescent="0.35">
      <c r="A39">
        <v>737</v>
      </c>
      <c r="B39" s="16" t="s">
        <v>601</v>
      </c>
    </row>
    <row r="40" spans="1:4" x14ac:dyDescent="0.35">
      <c r="A40">
        <v>746</v>
      </c>
      <c r="B40" s="16" t="s">
        <v>618</v>
      </c>
    </row>
    <row r="41" spans="1:4" x14ac:dyDescent="0.35">
      <c r="A41">
        <v>843</v>
      </c>
      <c r="B41" s="16" t="s">
        <v>876</v>
      </c>
      <c r="D41" t="s">
        <v>4657</v>
      </c>
    </row>
    <row r="42" spans="1:4" x14ac:dyDescent="0.35">
      <c r="A42">
        <v>957</v>
      </c>
      <c r="B42" s="16" t="s">
        <v>877</v>
      </c>
    </row>
    <row r="43" spans="1:4" x14ac:dyDescent="0.35">
      <c r="A43">
        <v>1068</v>
      </c>
      <c r="B43" s="16" t="s">
        <v>878</v>
      </c>
      <c r="D43" t="s">
        <v>4657</v>
      </c>
    </row>
    <row r="44" spans="1:4" x14ac:dyDescent="0.35">
      <c r="A44">
        <v>1078</v>
      </c>
      <c r="B44" s="16" t="s">
        <v>879</v>
      </c>
    </row>
    <row r="45" spans="1:4" x14ac:dyDescent="0.35">
      <c r="A45">
        <v>1034</v>
      </c>
      <c r="B45" s="16" t="s">
        <v>914</v>
      </c>
      <c r="D45" t="s">
        <v>4654</v>
      </c>
    </row>
    <row r="46" spans="1:4" x14ac:dyDescent="0.35">
      <c r="A46">
        <v>1031</v>
      </c>
      <c r="B46" s="16" t="s">
        <v>920</v>
      </c>
      <c r="D46" t="s">
        <v>4653</v>
      </c>
    </row>
    <row r="47" spans="1:4" x14ac:dyDescent="0.35">
      <c r="A47">
        <v>914</v>
      </c>
      <c r="B47" s="16" t="s">
        <v>966</v>
      </c>
    </row>
    <row r="48" spans="1:4" x14ac:dyDescent="0.35">
      <c r="A48">
        <v>919</v>
      </c>
      <c r="B48" s="16" t="s">
        <v>969</v>
      </c>
      <c r="D48" t="s">
        <v>4657</v>
      </c>
    </row>
    <row r="49" spans="1:4" x14ac:dyDescent="0.35">
      <c r="A49">
        <v>1021</v>
      </c>
      <c r="B49" s="16" t="s">
        <v>877</v>
      </c>
    </row>
    <row r="50" spans="1:4" x14ac:dyDescent="0.35">
      <c r="A50">
        <v>989</v>
      </c>
      <c r="B50" s="16" t="s">
        <v>877</v>
      </c>
    </row>
    <row r="51" spans="1:4" x14ac:dyDescent="0.35">
      <c r="A51">
        <v>1003</v>
      </c>
      <c r="B51" s="16" t="s">
        <v>997</v>
      </c>
      <c r="D51" s="28"/>
    </row>
    <row r="52" spans="1:4" x14ac:dyDescent="0.35">
      <c r="A52">
        <v>60</v>
      </c>
      <c r="B52" s="16" t="s">
        <v>877</v>
      </c>
    </row>
    <row r="53" spans="1:4" x14ac:dyDescent="0.35">
      <c r="A53">
        <v>122</v>
      </c>
      <c r="B53" s="16" t="s">
        <v>1098</v>
      </c>
      <c r="D53" t="s">
        <v>4657</v>
      </c>
    </row>
    <row r="54" spans="1:4" x14ac:dyDescent="0.35">
      <c r="A54">
        <v>149</v>
      </c>
      <c r="B54" s="16" t="s">
        <v>1132</v>
      </c>
      <c r="D54" t="s">
        <v>4653</v>
      </c>
    </row>
    <row r="55" spans="1:4" x14ac:dyDescent="0.35">
      <c r="A55">
        <v>214</v>
      </c>
      <c r="B55" s="16" t="s">
        <v>1155</v>
      </c>
      <c r="D55" t="s">
        <v>4658</v>
      </c>
    </row>
    <row r="56" spans="1:4" x14ac:dyDescent="0.35">
      <c r="A56">
        <v>234</v>
      </c>
      <c r="B56" s="16" t="s">
        <v>1194</v>
      </c>
      <c r="C56" t="s">
        <v>2039</v>
      </c>
    </row>
    <row r="57" spans="1:4" x14ac:dyDescent="0.35">
      <c r="A57">
        <v>358</v>
      </c>
      <c r="B57" s="16" t="s">
        <v>1289</v>
      </c>
      <c r="D57" t="s">
        <v>4653</v>
      </c>
    </row>
    <row r="58" spans="1:4" x14ac:dyDescent="0.35">
      <c r="A58">
        <v>363</v>
      </c>
      <c r="B58" s="16" t="s">
        <v>1290</v>
      </c>
      <c r="D58" t="s">
        <v>4657</v>
      </c>
    </row>
    <row r="59" spans="1:4" x14ac:dyDescent="0.35">
      <c r="A59">
        <v>1011</v>
      </c>
      <c r="B59" s="16" t="s">
        <v>351</v>
      </c>
      <c r="D59" t="s">
        <v>4654</v>
      </c>
    </row>
    <row r="60" spans="1:4" x14ac:dyDescent="0.35">
      <c r="A60">
        <v>878</v>
      </c>
      <c r="B60" s="16" t="s">
        <v>1705</v>
      </c>
      <c r="D60" t="s">
        <v>4658</v>
      </c>
    </row>
    <row r="61" spans="1:4" x14ac:dyDescent="0.35">
      <c r="A61">
        <v>400</v>
      </c>
      <c r="B61" s="16" t="s">
        <v>2038</v>
      </c>
      <c r="C61" t="s">
        <v>2040</v>
      </c>
    </row>
    <row r="62" spans="1:4" x14ac:dyDescent="0.35">
      <c r="A62">
        <v>150</v>
      </c>
      <c r="B62" s="17" t="s">
        <v>2205</v>
      </c>
      <c r="D62" t="s">
        <v>4657</v>
      </c>
    </row>
    <row r="63" spans="1:4" x14ac:dyDescent="0.35">
      <c r="A63" s="69">
        <v>793</v>
      </c>
      <c r="B63" s="55" t="s">
        <v>2661</v>
      </c>
      <c r="D63" t="s">
        <v>4658</v>
      </c>
    </row>
    <row r="64" spans="1:4" x14ac:dyDescent="0.35">
      <c r="A64">
        <v>796</v>
      </c>
      <c r="B64" s="16" t="s">
        <v>2662</v>
      </c>
      <c r="D64" t="s">
        <v>4658</v>
      </c>
    </row>
    <row r="65" spans="1:4" x14ac:dyDescent="0.35">
      <c r="A65" s="71">
        <v>534</v>
      </c>
      <c r="B65" s="72" t="s">
        <v>2669</v>
      </c>
    </row>
    <row r="66" spans="1:4" x14ac:dyDescent="0.35">
      <c r="A66" s="71">
        <v>573</v>
      </c>
      <c r="B66" s="72" t="s">
        <v>1132</v>
      </c>
      <c r="D66" t="s">
        <v>4653</v>
      </c>
    </row>
    <row r="67" spans="1:4" x14ac:dyDescent="0.35">
      <c r="A67" s="71">
        <v>579</v>
      </c>
      <c r="B67" s="72" t="s">
        <v>2669</v>
      </c>
    </row>
    <row r="68" spans="1:4" ht="29" x14ac:dyDescent="0.35">
      <c r="A68">
        <v>134</v>
      </c>
      <c r="B68" s="51" t="s">
        <v>2688</v>
      </c>
      <c r="C68" s="73" t="s">
        <v>2689</v>
      </c>
      <c r="D68" t="s">
        <v>4658</v>
      </c>
    </row>
    <row r="69" spans="1:4" ht="43.5" x14ac:dyDescent="0.35">
      <c r="A69">
        <v>185</v>
      </c>
      <c r="B69" s="51" t="s">
        <v>2690</v>
      </c>
      <c r="D69" t="s">
        <v>4658</v>
      </c>
    </row>
    <row r="70" spans="1:4" x14ac:dyDescent="0.35">
      <c r="A70">
        <v>227</v>
      </c>
      <c r="B70" s="16" t="s">
        <v>2691</v>
      </c>
      <c r="C70" s="73" t="s">
        <v>2692</v>
      </c>
      <c r="D70" t="s">
        <v>4658</v>
      </c>
    </row>
    <row r="71" spans="1:4" x14ac:dyDescent="0.35">
      <c r="A71">
        <v>235</v>
      </c>
      <c r="B71" s="16" t="s">
        <v>91</v>
      </c>
    </row>
    <row r="72" spans="1:4" x14ac:dyDescent="0.35">
      <c r="A72">
        <v>326</v>
      </c>
      <c r="B72" t="s">
        <v>2696</v>
      </c>
    </row>
    <row r="73" spans="1:4" x14ac:dyDescent="0.35">
      <c r="A73">
        <v>356</v>
      </c>
      <c r="B73" s="16" t="s">
        <v>2697</v>
      </c>
    </row>
    <row r="74" spans="1:4" x14ac:dyDescent="0.35">
      <c r="A74">
        <v>385</v>
      </c>
      <c r="B74" s="16" t="s">
        <v>2698</v>
      </c>
      <c r="D74" t="s">
        <v>4653</v>
      </c>
    </row>
    <row r="75" spans="1:4" x14ac:dyDescent="0.35">
      <c r="A75">
        <v>503</v>
      </c>
      <c r="B75" s="16" t="s">
        <v>2699</v>
      </c>
      <c r="D75" t="s">
        <v>4653</v>
      </c>
    </row>
    <row r="76" spans="1:4" x14ac:dyDescent="0.35">
      <c r="A76">
        <v>542</v>
      </c>
      <c r="B76" s="16" t="s">
        <v>2714</v>
      </c>
      <c r="D76" t="s">
        <v>4657</v>
      </c>
    </row>
    <row r="77" spans="1:4" x14ac:dyDescent="0.35">
      <c r="A77">
        <v>554</v>
      </c>
      <c r="B77" s="16" t="s">
        <v>2715</v>
      </c>
    </row>
    <row r="78" spans="1:4" x14ac:dyDescent="0.35">
      <c r="A78">
        <v>394</v>
      </c>
      <c r="B78" s="16" t="s">
        <v>2721</v>
      </c>
      <c r="D78" t="s">
        <v>4657</v>
      </c>
    </row>
    <row r="79" spans="1:4" x14ac:dyDescent="0.35">
      <c r="A79">
        <v>366</v>
      </c>
      <c r="B79" s="16" t="s">
        <v>2722</v>
      </c>
      <c r="D79" t="s">
        <v>4657</v>
      </c>
    </row>
    <row r="80" spans="1:4" x14ac:dyDescent="0.35">
      <c r="A80">
        <v>331</v>
      </c>
      <c r="B80" s="16" t="s">
        <v>91</v>
      </c>
    </row>
    <row r="81" spans="1:4" x14ac:dyDescent="0.35">
      <c r="A81">
        <v>201</v>
      </c>
      <c r="B81" s="16" t="s">
        <v>351</v>
      </c>
      <c r="D81" t="s">
        <v>4654</v>
      </c>
    </row>
    <row r="82" spans="1:4" x14ac:dyDescent="0.35">
      <c r="A82">
        <v>901</v>
      </c>
      <c r="B82" s="16" t="s">
        <v>352</v>
      </c>
      <c r="D82" t="s">
        <v>4654</v>
      </c>
    </row>
    <row r="83" spans="1:4" x14ac:dyDescent="0.35">
      <c r="A83">
        <v>1010</v>
      </c>
      <c r="B83" s="16" t="s">
        <v>4738</v>
      </c>
    </row>
    <row r="84" spans="1:4" x14ac:dyDescent="0.35">
      <c r="A84">
        <v>691</v>
      </c>
      <c r="B84" s="16" t="s">
        <v>4737</v>
      </c>
      <c r="D84" t="s">
        <v>4654</v>
      </c>
    </row>
    <row r="85" spans="1:4" x14ac:dyDescent="0.35">
      <c r="A85">
        <v>792</v>
      </c>
      <c r="B85" s="16" t="s">
        <v>4739</v>
      </c>
    </row>
    <row r="86" spans="1:4" x14ac:dyDescent="0.35">
      <c r="A86">
        <v>494</v>
      </c>
      <c r="B86" s="16" t="s">
        <v>4747</v>
      </c>
      <c r="D86" t="s">
        <v>4657</v>
      </c>
    </row>
    <row r="87" spans="1:4" x14ac:dyDescent="0.35">
      <c r="A87">
        <v>994</v>
      </c>
      <c r="B87" s="16" t="s">
        <v>4748</v>
      </c>
      <c r="D87" t="s">
        <v>4653</v>
      </c>
    </row>
    <row r="88" spans="1:4" x14ac:dyDescent="0.35">
      <c r="B88" s="16"/>
    </row>
    <row r="89" spans="1:4" x14ac:dyDescent="0.35">
      <c r="B89" s="16"/>
    </row>
    <row r="90" spans="1:4" x14ac:dyDescent="0.35">
      <c r="B90" s="16"/>
    </row>
    <row r="91" spans="1:4" x14ac:dyDescent="0.35">
      <c r="B91" s="16"/>
    </row>
    <row r="92" spans="1:4" x14ac:dyDescent="0.35">
      <c r="B92" s="16"/>
    </row>
    <row r="93" spans="1:4" x14ac:dyDescent="0.35">
      <c r="B93" s="16"/>
    </row>
    <row r="94" spans="1:4" x14ac:dyDescent="0.35">
      <c r="B94" s="16"/>
    </row>
    <row r="95" spans="1:4" x14ac:dyDescent="0.35">
      <c r="B95" s="16"/>
    </row>
    <row r="96" spans="1:4" x14ac:dyDescent="0.35">
      <c r="B96" s="16"/>
    </row>
    <row r="97" spans="2:2" x14ac:dyDescent="0.35">
      <c r="B97" s="16"/>
    </row>
    <row r="98" spans="2:2" x14ac:dyDescent="0.35">
      <c r="B98" s="16"/>
    </row>
    <row r="99" spans="2:2" x14ac:dyDescent="0.35">
      <c r="B99" s="16"/>
    </row>
    <row r="100" spans="2:2" x14ac:dyDescent="0.35">
      <c r="B100" s="16"/>
    </row>
    <row r="101" spans="2:2" x14ac:dyDescent="0.35">
      <c r="B101" s="16"/>
    </row>
    <row r="102" spans="2:2" x14ac:dyDescent="0.35">
      <c r="B102" s="16"/>
    </row>
    <row r="103" spans="2:2" x14ac:dyDescent="0.35">
      <c r="B103" s="16"/>
    </row>
    <row r="104" spans="2:2" x14ac:dyDescent="0.35">
      <c r="B104" s="16"/>
    </row>
    <row r="105" spans="2:2" x14ac:dyDescent="0.35">
      <c r="B105" s="16"/>
    </row>
    <row r="106" spans="2:2" x14ac:dyDescent="0.35">
      <c r="B106" s="16"/>
    </row>
    <row r="107" spans="2:2" x14ac:dyDescent="0.35">
      <c r="B107" s="16"/>
    </row>
    <row r="108" spans="2:2" x14ac:dyDescent="0.35">
      <c r="B108" s="16"/>
    </row>
    <row r="109" spans="2:2" x14ac:dyDescent="0.35">
      <c r="B109" s="16"/>
    </row>
    <row r="110" spans="2:2" x14ac:dyDescent="0.35">
      <c r="B110" s="16"/>
    </row>
    <row r="111" spans="2:2" x14ac:dyDescent="0.35">
      <c r="B111" s="16"/>
    </row>
    <row r="112" spans="2:2" x14ac:dyDescent="0.35">
      <c r="B112" s="16"/>
    </row>
    <row r="113" spans="2:2" x14ac:dyDescent="0.35">
      <c r="B113" s="16"/>
    </row>
    <row r="114" spans="2:2" x14ac:dyDescent="0.35">
      <c r="B114" s="16"/>
    </row>
    <row r="115" spans="2:2" x14ac:dyDescent="0.35">
      <c r="B115" s="16"/>
    </row>
    <row r="116" spans="2:2" x14ac:dyDescent="0.35">
      <c r="B116" s="16"/>
    </row>
    <row r="117" spans="2:2" x14ac:dyDescent="0.35">
      <c r="B117" s="16"/>
    </row>
    <row r="118" spans="2:2" x14ac:dyDescent="0.35">
      <c r="B118" s="16"/>
    </row>
    <row r="119" spans="2:2" x14ac:dyDescent="0.35">
      <c r="B119" s="16"/>
    </row>
    <row r="120" spans="2:2" x14ac:dyDescent="0.35">
      <c r="B120" s="16"/>
    </row>
    <row r="121" spans="2:2" x14ac:dyDescent="0.35">
      <c r="B121" s="16"/>
    </row>
    <row r="122" spans="2:2" x14ac:dyDescent="0.35">
      <c r="B122" s="16"/>
    </row>
    <row r="123" spans="2:2" x14ac:dyDescent="0.35">
      <c r="B123" s="16"/>
    </row>
    <row r="124" spans="2:2" x14ac:dyDescent="0.35">
      <c r="B124" s="16"/>
    </row>
    <row r="125" spans="2:2" x14ac:dyDescent="0.35">
      <c r="B125" s="16"/>
    </row>
    <row r="126" spans="2:2" x14ac:dyDescent="0.35">
      <c r="B126" s="16"/>
    </row>
    <row r="127" spans="2:2" x14ac:dyDescent="0.35">
      <c r="B127" s="16"/>
    </row>
    <row r="128" spans="2:2" x14ac:dyDescent="0.35">
      <c r="B128" s="16"/>
    </row>
    <row r="129" spans="2:2" x14ac:dyDescent="0.35">
      <c r="B129" s="16"/>
    </row>
    <row r="130" spans="2:2" x14ac:dyDescent="0.35">
      <c r="B130" s="16"/>
    </row>
    <row r="131" spans="2:2" x14ac:dyDescent="0.35">
      <c r="B131" s="16"/>
    </row>
    <row r="132" spans="2:2" x14ac:dyDescent="0.35">
      <c r="B132" s="16"/>
    </row>
    <row r="133" spans="2:2" x14ac:dyDescent="0.35">
      <c r="B133" s="16"/>
    </row>
    <row r="134" spans="2:2" x14ac:dyDescent="0.35">
      <c r="B134" s="16"/>
    </row>
    <row r="135" spans="2:2" x14ac:dyDescent="0.35">
      <c r="B135" s="16"/>
    </row>
    <row r="136" spans="2:2" x14ac:dyDescent="0.35">
      <c r="B136" s="16"/>
    </row>
    <row r="137" spans="2:2" x14ac:dyDescent="0.35">
      <c r="B137" s="16"/>
    </row>
    <row r="138" spans="2:2" x14ac:dyDescent="0.35">
      <c r="B138" s="16"/>
    </row>
    <row r="139" spans="2:2" x14ac:dyDescent="0.35">
      <c r="B139" s="16"/>
    </row>
    <row r="140" spans="2:2" x14ac:dyDescent="0.35">
      <c r="B140" s="16"/>
    </row>
    <row r="141" spans="2:2" x14ac:dyDescent="0.35">
      <c r="B141" s="16"/>
    </row>
    <row r="142" spans="2:2" x14ac:dyDescent="0.35">
      <c r="B142" s="16"/>
    </row>
    <row r="143" spans="2:2" x14ac:dyDescent="0.35">
      <c r="B143" s="16"/>
    </row>
    <row r="144" spans="2:2" x14ac:dyDescent="0.35">
      <c r="B144" s="16"/>
    </row>
    <row r="145" spans="2:2" x14ac:dyDescent="0.35">
      <c r="B145" s="16"/>
    </row>
    <row r="146" spans="2:2" x14ac:dyDescent="0.35">
      <c r="B146" s="16"/>
    </row>
    <row r="147" spans="2:2" x14ac:dyDescent="0.35">
      <c r="B147" s="16"/>
    </row>
    <row r="148" spans="2:2" x14ac:dyDescent="0.35">
      <c r="B148" s="16"/>
    </row>
    <row r="149" spans="2:2" x14ac:dyDescent="0.35">
      <c r="B149" s="16"/>
    </row>
    <row r="150" spans="2:2" x14ac:dyDescent="0.35">
      <c r="B150" s="16"/>
    </row>
    <row r="151" spans="2:2" x14ac:dyDescent="0.35">
      <c r="B151" s="16"/>
    </row>
    <row r="152" spans="2:2" x14ac:dyDescent="0.35">
      <c r="B152" s="16"/>
    </row>
    <row r="153" spans="2:2" x14ac:dyDescent="0.35">
      <c r="B153" s="16"/>
    </row>
    <row r="154" spans="2:2" x14ac:dyDescent="0.35">
      <c r="B154" s="16"/>
    </row>
    <row r="155" spans="2:2" x14ac:dyDescent="0.35">
      <c r="B155" s="16"/>
    </row>
    <row r="156" spans="2:2" x14ac:dyDescent="0.35">
      <c r="B156" s="16"/>
    </row>
    <row r="157" spans="2:2" x14ac:dyDescent="0.35">
      <c r="B157" s="16"/>
    </row>
    <row r="158" spans="2:2" x14ac:dyDescent="0.35">
      <c r="B158" s="16"/>
    </row>
    <row r="159" spans="2:2" x14ac:dyDescent="0.35">
      <c r="B159" s="16"/>
    </row>
    <row r="160" spans="2:2" x14ac:dyDescent="0.35">
      <c r="B160" s="16"/>
    </row>
    <row r="161" spans="2:2" x14ac:dyDescent="0.35">
      <c r="B161" s="16"/>
    </row>
    <row r="162" spans="2:2" x14ac:dyDescent="0.35">
      <c r="B162" s="16"/>
    </row>
    <row r="163" spans="2:2" x14ac:dyDescent="0.35">
      <c r="B163" s="16"/>
    </row>
    <row r="164" spans="2:2" x14ac:dyDescent="0.35">
      <c r="B164" s="16"/>
    </row>
    <row r="165" spans="2:2" x14ac:dyDescent="0.35">
      <c r="B165" s="16"/>
    </row>
    <row r="166" spans="2:2" x14ac:dyDescent="0.35">
      <c r="B166" s="16"/>
    </row>
    <row r="167" spans="2:2" x14ac:dyDescent="0.35">
      <c r="B167" s="16"/>
    </row>
    <row r="168" spans="2:2" x14ac:dyDescent="0.35">
      <c r="B168" s="16"/>
    </row>
    <row r="169" spans="2:2" x14ac:dyDescent="0.35">
      <c r="B169" s="16"/>
    </row>
    <row r="170" spans="2:2" x14ac:dyDescent="0.35">
      <c r="B170" s="16"/>
    </row>
    <row r="171" spans="2:2" x14ac:dyDescent="0.35">
      <c r="B171" s="16"/>
    </row>
    <row r="172" spans="2:2" x14ac:dyDescent="0.35">
      <c r="B172" s="16"/>
    </row>
    <row r="173" spans="2:2" x14ac:dyDescent="0.35">
      <c r="B173" s="16"/>
    </row>
    <row r="174" spans="2:2" x14ac:dyDescent="0.35">
      <c r="B174" s="16"/>
    </row>
    <row r="175" spans="2:2" x14ac:dyDescent="0.35">
      <c r="B175" s="16"/>
    </row>
    <row r="176" spans="2:2" x14ac:dyDescent="0.35">
      <c r="B176" s="16"/>
    </row>
    <row r="177" spans="2:2" x14ac:dyDescent="0.35">
      <c r="B177" s="16"/>
    </row>
    <row r="178" spans="2:2" x14ac:dyDescent="0.35">
      <c r="B178" s="16"/>
    </row>
    <row r="179" spans="2:2" x14ac:dyDescent="0.35">
      <c r="B179" s="16"/>
    </row>
    <row r="180" spans="2:2" x14ac:dyDescent="0.35">
      <c r="B180" s="16"/>
    </row>
    <row r="181" spans="2:2" x14ac:dyDescent="0.35">
      <c r="B181" s="16"/>
    </row>
    <row r="182" spans="2:2" x14ac:dyDescent="0.35">
      <c r="B182" s="16"/>
    </row>
    <row r="183" spans="2:2" x14ac:dyDescent="0.35">
      <c r="B183" s="16"/>
    </row>
    <row r="184" spans="2:2" x14ac:dyDescent="0.35">
      <c r="B184" s="16"/>
    </row>
    <row r="185" spans="2:2" x14ac:dyDescent="0.35">
      <c r="B185" s="16"/>
    </row>
    <row r="186" spans="2:2" x14ac:dyDescent="0.35">
      <c r="B186" s="16"/>
    </row>
    <row r="187" spans="2:2" x14ac:dyDescent="0.35">
      <c r="B187" s="16"/>
    </row>
    <row r="188" spans="2:2" x14ac:dyDescent="0.35">
      <c r="B188" s="16"/>
    </row>
    <row r="189" spans="2:2" x14ac:dyDescent="0.35">
      <c r="B189" s="16"/>
    </row>
    <row r="190" spans="2:2" x14ac:dyDescent="0.35">
      <c r="B190" s="16"/>
    </row>
    <row r="191" spans="2:2" x14ac:dyDescent="0.35">
      <c r="B191" s="16"/>
    </row>
    <row r="192" spans="2:2" x14ac:dyDescent="0.35">
      <c r="B192" s="16"/>
    </row>
    <row r="193" spans="2:2" x14ac:dyDescent="0.35">
      <c r="B193" s="16"/>
    </row>
    <row r="194" spans="2:2" x14ac:dyDescent="0.35">
      <c r="B194" s="16"/>
    </row>
    <row r="195" spans="2:2" x14ac:dyDescent="0.35">
      <c r="B195" s="16"/>
    </row>
    <row r="196" spans="2:2" x14ac:dyDescent="0.35">
      <c r="B196" s="16"/>
    </row>
    <row r="197" spans="2:2" x14ac:dyDescent="0.35">
      <c r="B197" s="16"/>
    </row>
    <row r="198" spans="2:2" x14ac:dyDescent="0.35">
      <c r="B198" s="16"/>
    </row>
    <row r="199" spans="2:2" x14ac:dyDescent="0.35">
      <c r="B199" s="16"/>
    </row>
    <row r="200" spans="2:2" x14ac:dyDescent="0.35">
      <c r="B200" s="16"/>
    </row>
    <row r="201" spans="2:2" x14ac:dyDescent="0.35">
      <c r="B201" s="16"/>
    </row>
    <row r="202" spans="2:2" x14ac:dyDescent="0.35">
      <c r="B202" s="16"/>
    </row>
    <row r="203" spans="2:2" x14ac:dyDescent="0.35">
      <c r="B203" s="16"/>
    </row>
    <row r="204" spans="2:2" x14ac:dyDescent="0.35">
      <c r="B204" s="16"/>
    </row>
    <row r="205" spans="2:2" x14ac:dyDescent="0.35">
      <c r="B205" s="16"/>
    </row>
    <row r="206" spans="2:2" x14ac:dyDescent="0.35">
      <c r="B206" s="16"/>
    </row>
    <row r="207" spans="2:2" x14ac:dyDescent="0.35">
      <c r="B207" s="16"/>
    </row>
    <row r="208" spans="2:2" x14ac:dyDescent="0.35">
      <c r="B208" s="16"/>
    </row>
    <row r="209" spans="2:2" x14ac:dyDescent="0.35">
      <c r="B209" s="16"/>
    </row>
    <row r="210" spans="2:2" x14ac:dyDescent="0.35">
      <c r="B210" s="16"/>
    </row>
    <row r="211" spans="2:2" x14ac:dyDescent="0.35">
      <c r="B211" s="16"/>
    </row>
    <row r="212" spans="2:2" x14ac:dyDescent="0.35">
      <c r="B212" s="16"/>
    </row>
    <row r="213" spans="2:2" x14ac:dyDescent="0.35">
      <c r="B213" s="16"/>
    </row>
    <row r="214" spans="2:2" x14ac:dyDescent="0.35">
      <c r="B214" s="16"/>
    </row>
    <row r="215" spans="2:2" x14ac:dyDescent="0.35">
      <c r="B215" s="16"/>
    </row>
    <row r="216" spans="2:2" x14ac:dyDescent="0.35">
      <c r="B216" s="16"/>
    </row>
    <row r="217" spans="2:2" x14ac:dyDescent="0.35">
      <c r="B217" s="16"/>
    </row>
    <row r="218" spans="2:2" x14ac:dyDescent="0.35">
      <c r="B218" s="16"/>
    </row>
    <row r="219" spans="2:2" x14ac:dyDescent="0.35">
      <c r="B219" s="16"/>
    </row>
    <row r="220" spans="2:2" x14ac:dyDescent="0.35">
      <c r="B220" s="16"/>
    </row>
    <row r="221" spans="2:2" x14ac:dyDescent="0.35">
      <c r="B221" s="16"/>
    </row>
    <row r="222" spans="2:2" x14ac:dyDescent="0.35">
      <c r="B222" s="16"/>
    </row>
    <row r="223" spans="2:2" x14ac:dyDescent="0.35">
      <c r="B223" s="16"/>
    </row>
    <row r="224" spans="2:2" x14ac:dyDescent="0.35">
      <c r="B224" s="16"/>
    </row>
    <row r="225" spans="2:2" x14ac:dyDescent="0.35">
      <c r="B225" s="16"/>
    </row>
    <row r="226" spans="2:2" x14ac:dyDescent="0.35">
      <c r="B226" s="16"/>
    </row>
  </sheetData>
  <autoFilter ref="A1:C81" xr:uid="{96BDF23B-073C-473A-B860-09169BAEFFE0}"/>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541F9-1F4F-439F-A3AB-9495F45C755A}">
  <dimension ref="A1:X21"/>
  <sheetViews>
    <sheetView workbookViewId="0">
      <selection activeCell="C30" sqref="C30"/>
    </sheetView>
  </sheetViews>
  <sheetFormatPr defaultColWidth="11.453125" defaultRowHeight="14.5" x14ac:dyDescent="0.35"/>
  <cols>
    <col min="1" max="1" width="17.81640625" bestFit="1" customWidth="1"/>
    <col min="2" max="2" width="15.1796875" bestFit="1" customWidth="1"/>
    <col min="3" max="3" width="15.1796875" customWidth="1"/>
    <col min="5" max="5" width="20.1796875" bestFit="1" customWidth="1"/>
    <col min="7" max="7" width="12.81640625" bestFit="1" customWidth="1"/>
    <col min="8" max="8" width="19.54296875" bestFit="1" customWidth="1"/>
    <col min="10" max="10" width="18" bestFit="1" customWidth="1"/>
  </cols>
  <sheetData>
    <row r="1" spans="1:24" x14ac:dyDescent="0.35">
      <c r="A1" s="10" t="s">
        <v>3</v>
      </c>
      <c r="B1" s="10" t="s">
        <v>4</v>
      </c>
      <c r="C1" s="11" t="s">
        <v>619</v>
      </c>
      <c r="D1" s="11" t="s">
        <v>15</v>
      </c>
      <c r="E1" s="11" t="s">
        <v>21</v>
      </c>
      <c r="F1" s="11" t="s">
        <v>16</v>
      </c>
      <c r="G1" s="19" t="s">
        <v>121</v>
      </c>
      <c r="H1" s="19" t="s">
        <v>427</v>
      </c>
      <c r="J1" s="94" t="s">
        <v>2252</v>
      </c>
      <c r="K1" s="1"/>
      <c r="L1" s="1"/>
      <c r="M1" s="1"/>
      <c r="N1" s="1"/>
      <c r="O1" s="1"/>
      <c r="P1" s="1"/>
      <c r="Q1" s="1"/>
      <c r="R1" s="1"/>
      <c r="S1" s="1"/>
      <c r="T1" s="1"/>
      <c r="U1" s="1"/>
      <c r="V1" s="1"/>
      <c r="W1" s="1"/>
      <c r="X1" s="1"/>
    </row>
    <row r="2" spans="1:24" x14ac:dyDescent="0.35">
      <c r="A2" t="s">
        <v>28</v>
      </c>
      <c r="B2" t="s">
        <v>243</v>
      </c>
      <c r="C2" t="s">
        <v>620</v>
      </c>
      <c r="D2" t="s">
        <v>73</v>
      </c>
      <c r="E2" t="s">
        <v>44</v>
      </c>
      <c r="F2" t="s">
        <v>34</v>
      </c>
      <c r="G2" t="s">
        <v>124</v>
      </c>
      <c r="H2" s="29" t="s">
        <v>539</v>
      </c>
      <c r="J2" s="94"/>
      <c r="K2" s="1"/>
      <c r="L2" s="1"/>
      <c r="M2" s="1"/>
      <c r="N2" s="1"/>
      <c r="O2" s="1"/>
      <c r="P2" s="1"/>
      <c r="Q2" s="1"/>
      <c r="R2" s="1"/>
      <c r="S2" s="1"/>
      <c r="T2" s="1"/>
      <c r="U2" s="1"/>
      <c r="V2" s="1"/>
      <c r="W2" s="1"/>
      <c r="X2" s="1"/>
    </row>
    <row r="3" spans="1:24" x14ac:dyDescent="0.35">
      <c r="A3" t="s">
        <v>31</v>
      </c>
      <c r="B3" t="s">
        <v>436</v>
      </c>
      <c r="C3" t="s">
        <v>621</v>
      </c>
      <c r="D3" t="s">
        <v>375</v>
      </c>
      <c r="E3" t="s">
        <v>48</v>
      </c>
      <c r="F3" t="s">
        <v>51</v>
      </c>
      <c r="G3" t="s">
        <v>130</v>
      </c>
      <c r="H3" s="29" t="s">
        <v>538</v>
      </c>
      <c r="J3" s="65" t="s">
        <v>1127</v>
      </c>
      <c r="K3" s="66" t="s">
        <v>1131</v>
      </c>
      <c r="L3" s="1"/>
      <c r="M3" s="1"/>
      <c r="N3" s="1"/>
      <c r="O3" s="1"/>
      <c r="P3" s="1"/>
      <c r="Q3" s="1"/>
      <c r="R3" s="1"/>
      <c r="S3" s="1"/>
      <c r="T3" s="1"/>
      <c r="U3" s="1"/>
      <c r="V3" s="1"/>
      <c r="W3" s="1"/>
      <c r="X3" s="1"/>
    </row>
    <row r="4" spans="1:24" x14ac:dyDescent="0.35">
      <c r="A4" t="s">
        <v>29</v>
      </c>
      <c r="B4" t="s">
        <v>458</v>
      </c>
      <c r="C4" t="s">
        <v>622</v>
      </c>
      <c r="D4" t="s">
        <v>33</v>
      </c>
      <c r="E4" t="s">
        <v>376</v>
      </c>
      <c r="G4" t="s">
        <v>198</v>
      </c>
      <c r="H4" s="29" t="s">
        <v>559</v>
      </c>
      <c r="J4" s="65" t="s">
        <v>1128</v>
      </c>
      <c r="K4" s="66" t="s">
        <v>1130</v>
      </c>
      <c r="L4" s="1"/>
      <c r="M4" s="1"/>
      <c r="N4" s="1"/>
      <c r="O4" s="1"/>
      <c r="P4" s="1"/>
      <c r="Q4" s="1"/>
      <c r="R4" s="1"/>
      <c r="S4" s="1"/>
      <c r="T4" s="1"/>
      <c r="U4" s="1"/>
      <c r="V4" s="1"/>
      <c r="W4" s="1"/>
      <c r="X4" s="1"/>
    </row>
    <row r="5" spans="1:24" x14ac:dyDescent="0.35">
      <c r="A5" t="s">
        <v>431</v>
      </c>
      <c r="B5" t="s">
        <v>1330</v>
      </c>
      <c r="D5" t="s">
        <v>430</v>
      </c>
      <c r="E5" t="s">
        <v>433</v>
      </c>
      <c r="G5" t="s">
        <v>428</v>
      </c>
      <c r="H5" s="29" t="s">
        <v>536</v>
      </c>
      <c r="J5" s="65" t="s">
        <v>1727</v>
      </c>
      <c r="K5" s="66" t="s">
        <v>1728</v>
      </c>
      <c r="L5" s="1"/>
      <c r="M5" s="1"/>
      <c r="N5" s="1"/>
      <c r="O5" s="1"/>
      <c r="P5" s="1"/>
      <c r="Q5" s="1"/>
      <c r="R5" s="1"/>
      <c r="S5" s="1"/>
      <c r="T5" s="1"/>
      <c r="U5" s="1"/>
      <c r="V5" s="1"/>
      <c r="W5" s="1"/>
      <c r="X5" s="1"/>
    </row>
    <row r="6" spans="1:24" x14ac:dyDescent="0.35">
      <c r="A6" t="s">
        <v>428</v>
      </c>
      <c r="D6" t="s">
        <v>432</v>
      </c>
      <c r="E6" t="s">
        <v>730</v>
      </c>
      <c r="H6" s="29" t="s">
        <v>809</v>
      </c>
      <c r="J6" s="28"/>
    </row>
    <row r="7" spans="1:24" x14ac:dyDescent="0.35">
      <c r="D7" t="s">
        <v>1101</v>
      </c>
      <c r="E7" t="s">
        <v>114</v>
      </c>
      <c r="H7" s="29" t="s">
        <v>813</v>
      </c>
      <c r="J7" s="28"/>
    </row>
    <row r="8" spans="1:24" x14ac:dyDescent="0.35">
      <c r="D8" t="s">
        <v>102</v>
      </c>
      <c r="E8" t="s">
        <v>101</v>
      </c>
      <c r="H8" s="29" t="s">
        <v>1118</v>
      </c>
      <c r="J8" s="28"/>
    </row>
    <row r="9" spans="1:24" x14ac:dyDescent="0.35">
      <c r="D9" t="s">
        <v>1330</v>
      </c>
      <c r="E9" t="s">
        <v>1143</v>
      </c>
      <c r="H9" s="29" t="s">
        <v>1126</v>
      </c>
      <c r="J9" s="28"/>
    </row>
    <row r="10" spans="1:24" x14ac:dyDescent="0.35">
      <c r="E10" t="s">
        <v>1292</v>
      </c>
      <c r="H10" s="29" t="s">
        <v>1021</v>
      </c>
    </row>
    <row r="11" spans="1:24" x14ac:dyDescent="0.35">
      <c r="E11" t="s">
        <v>1538</v>
      </c>
      <c r="H11" s="29" t="s">
        <v>1022</v>
      </c>
    </row>
    <row r="12" spans="1:24" x14ac:dyDescent="0.35">
      <c r="E12" t="s">
        <v>1330</v>
      </c>
      <c r="H12" s="29" t="s">
        <v>1220</v>
      </c>
    </row>
    <row r="13" spans="1:24" x14ac:dyDescent="0.35">
      <c r="E13" t="s">
        <v>1725</v>
      </c>
      <c r="H13" s="29" t="s">
        <v>1329</v>
      </c>
    </row>
    <row r="14" spans="1:24" x14ac:dyDescent="0.35">
      <c r="E14" t="s">
        <v>2214</v>
      </c>
      <c r="H14" s="29" t="s">
        <v>428</v>
      </c>
    </row>
    <row r="15" spans="1:24" x14ac:dyDescent="0.35">
      <c r="H15" s="29" t="s">
        <v>1595</v>
      </c>
    </row>
    <row r="16" spans="1:24" x14ac:dyDescent="0.35">
      <c r="H16" s="30" t="s">
        <v>150</v>
      </c>
      <c r="I16" s="32" t="s">
        <v>2257</v>
      </c>
      <c r="J16" s="31"/>
    </row>
    <row r="17" spans="8:8" x14ac:dyDescent="0.35">
      <c r="H17" s="30" t="s">
        <v>156</v>
      </c>
    </row>
    <row r="18" spans="8:8" x14ac:dyDescent="0.35">
      <c r="H18" s="30" t="s">
        <v>1729</v>
      </c>
    </row>
    <row r="19" spans="8:8" x14ac:dyDescent="0.35">
      <c r="H19" s="30" t="s">
        <v>1730</v>
      </c>
    </row>
    <row r="20" spans="8:8" x14ac:dyDescent="0.35">
      <c r="H20" s="30" t="s">
        <v>1731</v>
      </c>
    </row>
    <row r="21" spans="8:8" x14ac:dyDescent="0.35">
      <c r="H21" s="29" t="s">
        <v>2243</v>
      </c>
    </row>
  </sheetData>
  <mergeCells count="1">
    <mergeCell ref="J1:J2"/>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40CE8A3A04EF654EBDFED3E4D54E8777" ma:contentTypeVersion="12" ma:contentTypeDescription="Crear nuevo documento." ma:contentTypeScope="" ma:versionID="e6b5b427dc2cc6cd663f00a00bc00af3">
  <xsd:schema xmlns:xsd="http://www.w3.org/2001/XMLSchema" xmlns:xs="http://www.w3.org/2001/XMLSchema" xmlns:p="http://schemas.microsoft.com/office/2006/metadata/properties" xmlns:ns3="9099b4f9-c5c0-44f5-8162-1be5bae6b1fc" targetNamespace="http://schemas.microsoft.com/office/2006/metadata/properties" ma:root="true" ma:fieldsID="520a9726f90877a8c18c9d8929fb0c3c" ns3:_="">
    <xsd:import namespace="9099b4f9-c5c0-44f5-8162-1be5bae6b1f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9b4f9-c5c0-44f5-8162-1be5bae6b1f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9099b4f9-c5c0-44f5-8162-1be5bae6b1fc" xsi:nil="true"/>
  </documentManagement>
</p:properties>
</file>

<file path=customXml/itemProps1.xml><?xml version="1.0" encoding="utf-8"?>
<ds:datastoreItem xmlns:ds="http://schemas.openxmlformats.org/officeDocument/2006/customXml" ds:itemID="{7F17B87E-8C3E-41DE-906B-56B05DD77FCB}">
  <ds:schemaRefs>
    <ds:schemaRef ds:uri="http://schemas.microsoft.com/sharepoint/v3/contenttype/forms"/>
  </ds:schemaRefs>
</ds:datastoreItem>
</file>

<file path=customXml/itemProps2.xml><?xml version="1.0" encoding="utf-8"?>
<ds:datastoreItem xmlns:ds="http://schemas.openxmlformats.org/officeDocument/2006/customXml" ds:itemID="{E24155F9-49D1-4A42-A9D6-B29BECC0C402}">
  <ds:schemaRefs>
    <ds:schemaRef ds:uri="http://schemas.microsoft.com/DataMashup"/>
  </ds:schemaRefs>
</ds:datastoreItem>
</file>

<file path=customXml/itemProps3.xml><?xml version="1.0" encoding="utf-8"?>
<ds:datastoreItem xmlns:ds="http://schemas.openxmlformats.org/officeDocument/2006/customXml" ds:itemID="{23147DA5-995A-4786-A930-35FA370ECC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9b4f9-c5c0-44f5-8162-1be5bae6b1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EC603C5-F10A-4A2C-ABF8-D19C0552915E}">
  <ds:schemaRefs>
    <ds:schemaRef ds:uri="9099b4f9-c5c0-44f5-8162-1be5bae6b1fc"/>
    <ds:schemaRef ds:uri="http://purl.org/dc/elements/1.1/"/>
    <ds:schemaRef ds:uri="http://purl.org/dc/term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9</vt:i4>
      </vt:variant>
    </vt:vector>
  </HeadingPairs>
  <TitlesOfParts>
    <vt:vector size="9" baseType="lpstr">
      <vt:lpstr>0_guide</vt:lpstr>
      <vt:lpstr>1_study</vt:lpstr>
      <vt:lpstr>1_study_resumen</vt:lpstr>
      <vt:lpstr>2_fire</vt:lpstr>
      <vt:lpstr>2_fire_resumen</vt:lpstr>
      <vt:lpstr>3_measures</vt:lpstr>
      <vt:lpstr>3_measures_resumen</vt:lpstr>
      <vt:lpstr>4_Exclusion</vt:lpstr>
      <vt:lpstr>Aux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annac</dc:creator>
  <cp:keywords/>
  <dc:description/>
  <cp:lastModifiedBy>Carrión Megías Anna</cp:lastModifiedBy>
  <cp:revision/>
  <dcterms:created xsi:type="dcterms:W3CDTF">2015-06-05T18:19:34Z</dcterms:created>
  <dcterms:modified xsi:type="dcterms:W3CDTF">2026-06-28T12:34:45Z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0x01010040CE8A3A04EF654EBDFED3E4D54E8777</vt:lpwstr>
  </property>
</Properties>
</file>